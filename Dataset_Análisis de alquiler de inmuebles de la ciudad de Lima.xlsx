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erv\Downloads\Dada Analytics\"/>
    </mc:Choice>
  </mc:AlternateContent>
  <xr:revisionPtr revIDLastSave="0" documentId="13_ncr:1_{395A84D7-9B2B-4102-87F9-E4927107375D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Indice" sheetId="2" r:id="rId1"/>
    <sheet name="ReadMe" sheetId="3" r:id="rId2"/>
    <sheet name="Dataset_Análisis de alquiler de" sheetId="1" r:id="rId3"/>
    <sheet name="DataBaseA" sheetId="7" r:id="rId4"/>
    <sheet name="Preguntas y Respuestas" sheetId="5" r:id="rId5"/>
    <sheet name="Tablas Aux" sheetId="10" r:id="rId6"/>
    <sheet name="Dashboard" sheetId="6" r:id="rId7"/>
  </sheets>
  <definedNames>
    <definedName name="_xlnm._FilterDatabase" localSheetId="3" hidden="1">DataBaseA!$B$5:$U$926</definedName>
    <definedName name="SegmentaciónDeDatos_Ciudad">#N/A</definedName>
    <definedName name="SegmentaciónDeDatos_Distrito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" i="7" l="1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6" i="7"/>
  <c r="D30" i="5"/>
  <c r="D24" i="5"/>
  <c r="D18" i="5"/>
  <c r="D6" i="5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D12" i="5" l="1"/>
</calcChain>
</file>

<file path=xl/sharedStrings.xml><?xml version="1.0" encoding="utf-8"?>
<sst xmlns="http://schemas.openxmlformats.org/spreadsheetml/2006/main" count="11751" uniqueCount="3178">
  <si>
    <t>title,location,price,bedroom,bathroom,area,year_contruction,maintenance,housing_type,operation_type,date_pub,url</t>
  </si>
  <si>
    <t>Apartamento en alquiler en Ur. Santa Cruz,"Ur. Santa Cruz, Miraflores, Lima, Lima ",USD900,2 dormitorios,2 baÃ±os,103 mÂ²,2010,,Apartamento,Alquiler,"Hace 1 semana, 1 dÃ­a - Publicado por GARRIDO SECLEN RICARDY BUENAVENTURA",https://www.properati.com.pe/detalle/14032-32-d823-cfb2289def34-6e71b2e0-9ba2-120d</t>
  </si>
  <si>
    <t>Apartamento en alquiler en Cercado,"Cercado, Arequipa, Arequipa, Arequipa ","S/.3,100",3 dormitorios,4 baÃ±os,151 mÂ²,2021,,Apartamento,Alquiler,7 feb. 2023 - Publicado por Inmuebles Peruanos,https://www.properati.com.pe/detalle/14032-32-7f7c-b5e0b5e8c66c-846e2c62-9f6e-341f</t>
  </si>
  <si>
    <t>Apartamento en alquiler en Ur. San Luis,"Ur. San Luis, Barranco, Lima, Lima ",USD720,2 dormitorios,2 baÃ±os,66 mÂ²,2020,S/.150,Apartamento,Alquiler,26 mar. 2023 - Publicado por JESUS ALTAMIRANO CONDEMARIN,https://www.properati.com.pe/detalle/14032-32-d929-423094f1e665-e35d2a8d-ba23-4949</t>
  </si>
  <si>
    <t>Apartamento en alquiler en Ur. Risso,"Ur. Risso, Lince, Lima, Lima ","S/.2,600",1 dormitorio,2 baÃ±os,60 mÂ²,,S/.330,Apartamento,Alquiler,"Hace 1 dÃ­a, 18 horas - Publicado por KRB Agencia PerÃº",https://www.properati.com.pe/detalle/14032-32-18f5-9866cb5c4148-4615cdf5-9a34-4656</t>
  </si>
  <si>
    <t>Apartamento en alquiler en Ur. Chacarilla Del Estanque,"Ur. Chacarilla Del Estanque, Santiago de Surco, Lima, Lima ","S/.2,300",2 dormitorios,2 baÃ±os,50 mÂ²,2022,S/.250,Apartamento,Alquiler,"Hace 2 semanas, 3 dÃ­as - Publicado por CASA VIP-CARLA ROSEMBERG",https://www.properati.com.pe/detalle/14032-32-d0c8-57679cfca873-81eb0680-a810-120d</t>
  </si>
  <si>
    <t>Casa en alquiler en Chorrillos,"Chorrillos, Lima, Lima ","USD2,300",5 dormitorios,3 baÃ±os,194 mÂ²,1962,S/.70,Casa,Alquiler,20 mar. 2023 - Publicado por Century 21 Horizonte,https://www.properati.com.pe/detalle/14032-32-98ae-591ec1d4ea75-d376fe09-8de7-489c</t>
  </si>
  <si>
    <t>HabitaciÃ³n en alquiler en Ah. Los Jazmines Del Naranjal Sector Ii,"Ah. Los Jazmines Del Naranjal Sector Ii, San MartÃ­n de Porres, Lima, Lima ",S/.350,1 dormitorio,1 baÃ±o,14 mÂ²,2017,,HabitaciÃ³n,Alquiler,11 mar. 2023 - Publicado por Jara Consorcio Inmobiliario,https://www.properati.com.pe/detalle/14032-32-fb43-d684356c7e87-29eed143-9924-49bd</t>
  </si>
  <si>
    <t>Apartamento en alquiler en Ba. S/N,"Ba. S/N, Rimac, Lima, Lima ","USD1,200",1 dormitorio,2 baÃ±os,134 mÂ²,,S/.650,Apartamento,Alquiler,"Hace 4 dÃ­as, 2 horas - Publicado por KRB Agencia PerÃº",https://www.properati.com.pe/detalle/14032-32-e243-fa558c79236d-1d09f077-a2ae-49d1</t>
  </si>
  <si>
    <t>Apartamento en alquiler en Piura,"Piura, Piura, Piura ","S/.1,500",1 dormitorio,1 baÃ±o,,,,Apartamento,Alquiler,"Hace 6 dÃ­as, 12 horas - Publicado por Inmuebles El Buho",https://www.properati.com.pe/detalle/14032-32-2252-6ae4b9ef1230-e51bebe0-bf38-3118</t>
  </si>
  <si>
    <t>Apartamento en alquiler en Ur. Balta,"Ur. Balta, Miraflores, Lima, Lima ","USD1,450",4 dormitorios,2 baÃ±os,185 mÂ²,2000,S/.225,Apartamento,Alquiler,7 feb. 2023 - Publicado por SOCIOS INMOBILIARIOS,https://www.properati.com.pe/detalle/14032-32-395e-7fe825129747-57da5cd2-9bd3-4737</t>
  </si>
  <si>
    <t>Finca en alquiler en Tarata,"Tarata, Tarata, Tacna ","USD1,820",2 dormitorios,2 baÃ±os,80 mÂ²,,,Finca,Alquiler,17 oct. 2022 - Publicado por MAS PROPERTIES,https://www.properati.com.pe/detalle/14032-32-e76d-d40a944ecf-a2cf456f-9dbc-3c99</t>
  </si>
  <si>
    <t>Apartamento en alquiler en Ur. Santa Rosa,"Ur. Santa Rosa, San Isidro, Lima, Lima ","S/.3,000",3 dormitorios,3 baÃ±os,70 mÂ²,,S/.280,Apartamento,Alquiler,"Hace 1 dÃ­a, 16 horas - Publicado por KRB Agencia PerÃº",https://www.properati.com.pe/detalle/14032-32-354b-6d5017ed3a54-800f052b-bfd2-4e1d</t>
  </si>
  <si>
    <t>Apartamento en alquiler en Surquillo,"Surquillo, Lima, Lima ","S/.2,600",2 dormitorios,2 baÃ±os,70 mÂ²,2022,S/.280,Apartamento,Alquiler,10 mar. 2023 - Publicado por BERTTOLÃ SERVICIOS INMOBILIARIOS,https://www.properati.com.pe/detalle/14032-32-bfb2-578e8a9e4d4b-a7c96ee0-b74f-120d</t>
  </si>
  <si>
    <t>Apartamento en alquiler en Chiclayo,"Chiclayo, Chiclayo, Lambayeque ","S/.1,800",2 dormitorios,2 baÃ±os,120 mÂ²,120 mÂ²,,Apartamento,Alquiler,11 ene. 2023 - Publicado por Lula Botey Inmobiliaria,https://www.properati.com.pe/detalle/14032-32-a739-716f5245544f-7a369613-96d4-339f</t>
  </si>
  <si>
    <t>Apartamento en alquiler en Tacna,"Tacna, Tacna, Tacna ",USD980,1 dormitorio,1 baÃ±o,40 mÂ²,,,Apartamento,Alquiler,17 oct. 2022 - Publicado por MAS PROPERTIES,https://www.properati.com.pe/detalle/14032-32-cdba-c24d0eac5a38-b773dc73-8fba-3fdb</t>
  </si>
  <si>
    <t>Casa en alquiler en Ur. San Andres,"Ur. San Andres, Trujillo, Trujillo, La Libertad ","S/.5,500",6 dormitorios,5 baÃ±os,300 mÂ²,1983,,Casa,Alquiler,16 mar. 2023 - Publicado por JOSE CARDENAS BIENES RAICES,https://www.properati.com.pe/detalle/14032-32-eaf3-f878ce8ad03e-f605c047-b32c-4b7f</t>
  </si>
  <si>
    <t>Apartamento en alquiler en Ur. La CampiÃ±a,"Ur. La CampiÃ±a, Chorrillos, Lima, Lima ","S/.1,600",3 dormitorios,2 baÃ±os,76 mÂ²,,,Apartamento,Alquiler,Hace 1 dÃ­a - Publicado por Patricia y Rogelio,https://www.properati.com.pe/detalle/14032-32-de19-59e83e2b10db-bceeb890-a46f-120d</t>
  </si>
  <si>
    <t>Casa en alquiler en Pimentel,"Pimentel, Chiclayo, Lambayeque ","S/.3,500",2 dormitorios,3 baÃ±os,300 mÂ²,200 mÂ²,,Casa,Alquiler,"Hace 2 semanas, 3 dÃ­as - Publicado por Lula Botey Inmobiliaria",https://www.properati.com.pe/detalle/14032-32-3c40-b6ee15efdf52-b0769207-8818-3e42</t>
  </si>
  <si>
    <t>Apartamento en alquiler en Hu. Cercado De Miraflores,"Hu. Cercado De Miraflores, Miraflores, Lima, Lima ","S/.2,600",2 dormitorios,2 baÃ±os,59 mÂ²,2018,S/.180,Apartamento,Alquiler,"Hace 6 dÃ­as, 21 horas - Publicado por Remax VisiÃ³n Miraflores Lima",https://www.properati.com.pe/detalle/14032-32-b131-dcf648d5175e-8a70a8d9-ad23-443a</t>
  </si>
  <si>
    <t>Apartamento en alquiler en Sd. Aeropuerto De Collique,"Sd. Aeropuerto De Collique, Comas, Lima, Lima ","S/.1,100",3 dormitorios,2 baÃ±os,75 mÂ²,2018,S/.1,Apartamento,Alquiler,"Hace 1 dÃ­a, 20 horas - Publicado por RE/MAX Principal pe",https://www.properati.com.pe/detalle/14032-32-5d53-f4ee2212b4a9-253d030d-b7e7-42cb</t>
  </si>
  <si>
    <t>Apartamento en alquiler en Ur. Santa Beatriz,"Ur. Santa Beatriz, Lima, Lima, Lima ",USD650,2 dormitorios,2 baÃ±os,67 mÂ²,,,Apartamento,Alquiler,24 feb. 2023 - Publicado por Remax Concept,https://www.properati.com.pe/detalle/14032-32-49a0-30bd2c863788-b3875756-a152-4c8d</t>
  </si>
  <si>
    <t>Apartamento en alquiler en Ur. Jorge Chavez,"Ur. Jorge Chavez, Surquillo, Lima, Lima ","S/.2,300",3 dormitorios,2 baÃ±os,81 mÂ²,2011,S/.260,Apartamento,Alquiler,Hace 23 horas - Publicado por Century 21 Horizonte,https://www.properati.com.pe/detalle/14032-32-a193-d0793ffe4a08-361818ac-b031-4ab9</t>
  </si>
  <si>
    <t>Apartamento en alquiler en Miraflores,"Miraflores, Lima, Lima ","S/.2,600",2 dormitorios,2 baÃ±os,100 mÂ²,2015,,Apartamento,Alquiler,27 mar. 2023 - Publicado por Arias Propiedades,https://www.properati.com.pe/detalle/14032-32-4f01-631d281a2f33-b0955520-8b2d-4540</t>
  </si>
  <si>
    <t>Apartamento en alquiler en Chiclayo,"Chiclayo, Chiclayo, Lambayeque ","S/.1,800",3 dormitorios,2 baÃ±os,120 mÂ²,,,Apartamento,Alquiler,11 ene. 2023 - Publicado por Lula Botey Inmobiliaria,https://www.properati.com.pe/detalle/14032-32-d46e-bc3a6d693414-5794d311-9b91-4d61</t>
  </si>
  <si>
    <t>Apartamento en alquiler en Ur. Aurora,"Ur. Aurora, Miraflores, Lima, Lima ","S/.1,800",2 dormitorios,1 baÃ±o,80 mÂ²,,,Apartamento,Alquiler,11 mar. 2023 - Publicado por RealWasi Inmobiliaria,https://www.properati.com.pe/detalle/14032-32-c073-1d4275824b2e-f1992ee0-83dc-120d</t>
  </si>
  <si>
    <t>Apartamento en alquiler en Ur. Orrantia Del Mar,"Ur. Orrantia Del Mar, San Isidro, Lima, Lima ",USD620,1 dormitorio,2 baÃ±os,90 mÂ²,2015,,Apartamento,Alquiler,28 feb. 2023 - Publicado por Fernando AlcalÃ¡ Luna,https://www.properati.com.pe/detalle/14032-32-b78b-3f221c6da128-d1c75a60-b00f-120d</t>
  </si>
  <si>
    <t>Casa en alquiler en Chorrillos,"Chorrillos, Lima, Lima ","USD1,800",4 dormitorios,3 baÃ±os,288 mÂ²,2003,,Casa,Alquiler,Hace 17 horas - Publicado por Inmoba Peru SAC,https://www.properati.com.pe/detalle/14032-32-19fd-d2114f867c49-9bf1a34c-8c32-4ee8</t>
  </si>
  <si>
    <t>Apartamento en alquiler en JesÃºs MarÃ­a,"JesÃºs MarÃ­a, Lima, Lima ","S/.2,500",3 dormitorios,2 baÃ±os,75 mÂ²,2021,S/.300,Apartamento,Alquiler,"Hace 3 dÃ­as, 21 horas - Publicado por RE/MAX Principal pe",https://www.properati.com.pe/detalle/14032-32-1a6c-43ab4139a731-5d99686-86d8-49e4</t>
  </si>
  <si>
    <t>Apartamento en alquiler en Re. San Felipe,"Re. San Felipe, San Isidro, Lima, Lima ",USD680,1 dormitorio,2 baÃ±os,47 mÂ²,2019,S/.280,Apartamento,Alquiler,27 mar. 2023 - Publicado por CARLA EMPERATRIZ NEIRA SILVA,https://www.properati.com.pe/detalle/14032-32-45b8-b39d12e83d8-ff065b3f-8703-4114</t>
  </si>
  <si>
    <t>Apartamento en alquiler en Ur. Ampliacion San Isidro,"Ur. Ampliacion San Isidro, San Isidro, Lima, Lima ","USD1,350",2 dormitorios,3 baÃ±os,118 mÂ²,,S/.450,Apartamento,Alquiler,Hace 19 horas - Publicado por Isotta Lima Space,https://www.properati.com.pe/detalle/14032-32-6890-f865769e59e5-33a70a7-b900-4596</t>
  </si>
  <si>
    <t>Apartamento en alquiler en Ur. Orrantia,"Ur. Orrantia, San Isidro, Lima, Lima ","USD1,150",3 dormitorios,3 baÃ±os,150 mÂ²,2014,S/.550,Apartamento,Alquiler,27 feb. 2023 - Publicado por CARLA EMPERATRIZ NEIRA SILVA,https://www.properati.com.pe/detalle/14032-32-461c-73902c68c930-8798efc6-a195-4eba</t>
  </si>
  <si>
    <t>Apartamento en alquiler en Ur. Valle Hermoso Este,"Ur. Valle Hermoso Este, Santiago de Surco, Lima, Lima ","S/.2,700",3 dormitorios,3 baÃ±os,90 mÂ²,1988,S/.110,Apartamento,Alquiler,"Hace 2 semanas, 22 horas - Publicado por Boris Bobbio Stihl",https://www.properati.com.pe/detalle/14032-32-3c93-c38c986cab18-224bf99-b7d7-4b26</t>
  </si>
  <si>
    <t>Apartamento en alquiler en Ur. Aurora,"Ur. Aurora, Miraflores, Lima, Lima ",USD950,3 dormitorios,3 baÃ±os,137 mÂ²,,S/.100,Apartamento,Alquiler,7 mar. 2023 - Publicado por Isotta Lima Space,https://www.properati.com.pe/detalle/14032-32-f0b5-21943876338e-91bdb965-a2b7-4933</t>
  </si>
  <si>
    <t>Apartamento en alquiler en Ur. Las Begonias,"Ur. Las Begonias, San Borja, Lima, Lima ","S/.2,800",2 dormitorios,2 baÃ±os,130 mÂ²,2000,S/.1,Apartamento,Alquiler,"Hace 1 dÃ­a, 11 horas - Publicado por SOCIOS INMOBILIARIOS",https://www.properati.com.pe/detalle/14032-32-b58-bd0c2e7f329e-6be1ebf1-b59f-4ab3</t>
  </si>
  <si>
    <t>Apartamento en alquiler en Ur. San Antonio,"Ur. San Antonio, Miraflores, Lima, Lima ","USD1,350",3 dormitorios,3 baÃ±os,202 mÂ²,2009,S/.490,Apartamento,Alquiler,Hace 21 horas - Publicado por HABITALE BIENES RAICES,https://www.properati.com.pe/detalle/14032-32-9ff3-ce5e76c79581-1ee20465-af64-48cc</t>
  </si>
  <si>
    <t>Apartamento en alquiler en Sector 3,"Sector 3, Urb Santa Cruz, Provincia de Lima, Provincia de Lima ","USD1,400",3 dormitorios,2 baÃ±os,120 mÂ²,,S/.480,Apartamento,Alquiler,16 mar. 2022 - Publicado por Isotta Lima Space,https://www.properati.com.pe/detalle/14032-32-f8ce-92dc956c6c7f-998fb3c8-849a-429b</t>
  </si>
  <si>
    <t>Apartamento en alquiler en Ur. San Felipe,"Ur. San Felipe, JesÃºs MarÃ­a, Lima, Lima ",USD750,3 dormitorios,2 baÃ±os,,110 mÂ²,,Apartamento,Alquiler,18 mar. 2023 - Publicado por   Moises Fernando  Torres  Tasso ,https://www.properati.com.pe/detalle/14032-32-2775-a0194f6a103a-d3d1c48e-b967-3827</t>
  </si>
  <si>
    <t>Apartamento en alquiler en Ur. La Encantada,"Ur. La Encantada, Chorrillos, Lima, Lima ",USD700,2 dormitorios,2 baÃ±os,70 mÂ²,2016,,Apartamento,Alquiler,12 mar. 2023 - Publicado por HABITALE BIENES RAICES,https://www.properati.com.pe/detalle/14032-32-c124-219a0c9f65f9-65612a70-80f5-120d</t>
  </si>
  <si>
    <t>Casa en alquiler en Chorrillos,"Chorrillos, Lima, Lima ","USD1,500",4 dormitorios,3 baÃ±os,300 mÂ²,2008,S/.100,Casa,Alquiler,8 mar. 2023 - Publicado por HABITALE BIENES RAICES,https://www.properati.com.pe/detalle/14032-32-2701-8bf41ef7ca67-31b6f77e-a5e5-4b75</t>
  </si>
  <si>
    <t>Apartamento en alquiler en Miraflores,"Miraflores, Lima, Lima ","USD1,200",3 dormitorios,2 baÃ±os,160 mÂ²,2005,,Apartamento,Alquiler,Hace 22 horas - Publicado por RE/MAX Principal pe,https://www.properati.com.pe/detalle/14032-32-c786-71a3c2c8981d-78ecb3d-9017-4e0f</t>
  </si>
  <si>
    <t>Apartamento en alquiler en Urb los Patricios,"Urb los Patricios, Provincia de Lima, Municipalidad Metropolitana de Lima ",USD750,3 dormitorios,2 baÃ±os,110 mÂ²,,S/.350,Apartamento,Alquiler,7 set. 2021 - Publicado por Tasso Inmobiliaria,https://www.properati.com.pe/detalle/14032-32-e8f2-98b3113213ea-e23f945f-8ef1-4653</t>
  </si>
  <si>
    <t>Apartamento en alquiler en Ur. Udima,"Ur. Udima, Magdalena del Mar, Lima, Lima ","S/.1,600",1 dormitorio,1 baÃ±o,42 mÂ²,,S/.120,Apartamento,Alquiler,Hace 23 horas - Publicado por Infinito Novantanove E.I.R.L,https://www.properati.com.pe/detalle/14032-32-987-ee9d97c9b305-5f3d171b-9bd6-4c89</t>
  </si>
  <si>
    <t>Apartamento en alquiler en Miraflores,"Miraflores, Lima, Lima ","USD1,200",3 dormitorios,2 baÃ±os,140 mÂ²,2005,,Apartamento,Alquiler,"Hace 3 dÃ­as, 22 horas - Publicado por RE/MAX Principal pe",https://www.properati.com.pe/detalle/14032-32-738-76e177df3cdd-bcc72e08-9b9e-4210</t>
  </si>
  <si>
    <t>Oficina en alquiler en Ag. Angamos,"Ag. Angamos, JesÃºs MarÃ­a, Lima, Lima ","USD10,000",5 dormitorios,3 baÃ±os,1 Medio baÃ±o,1956,,Oficina,Alquiler,17 feb. 2023 - Publicado por  Yvonne Marie Claire Larrieu  Bellido ,https://www.properati.com.pe/detalle/14032-32-efd7-24af11066613-8676ee62-b1d6-352f</t>
  </si>
  <si>
    <t>Apartamento en alquiler en San Isidro,"San Isidro, Lima, Lima ",USD680,1 dormitorio,1 baÃ±o,,58 mÂ²,,Apartamento,Alquiler,17 feb. 2023 - Publicado por  Yvonne Marie Claire Larrieu  Bellido ,https://www.properati.com.pe/detalle/14032-32-e737-c7e6ae1b99c0-ccf1809e-b85d-315a</t>
  </si>
  <si>
    <t>Casa en alquiler en Ur. La Chacrita,"Ur. La Chacrita, Cayma, Arequipa, Arequipa ","USD1,000",3 dormitorios,4 baÃ±os,283 mÂ²,,,Casa,Alquiler,Hace 1 dÃ­a - Publicado por Casafacil-Aqp,https://www.properati.com.pe/detalle/14032-32-de18-833f50f07203-d2d5aca0-9f09-120d</t>
  </si>
  <si>
    <t>Apartamento en alquiler en Miraflores,"Miraflores, Arequipa, Arequipa ",S/.900,3 dormitorios,1 baÃ±o,70 mÂ²,2020,,Apartamento,Alquiler,24 mar. 2023 - Publicado por RE/MAX Consultores Inmobiliarios Arequipa,https://www.properati.com.pe/detalle/14032-32-ef55-c537b5666a0f-94a34bbd-9337-41e3</t>
  </si>
  <si>
    <t>Apartamento en alquiler en Ur. Risso,"Ur. Risso, San Isidro, Lima, Lima ",USD700,1 dormitorio,1 baÃ±o,53 mÂ²,,S/.200,Apartamento,Alquiler,9 dic. 2022 - Publicado por Inmoba Peru SAC,https://www.properati.com.pe/detalle/14032-32-ff26-f74353bf1430-96944880-9d1e-42cd</t>
  </si>
  <si>
    <t>Apartamento en alquiler en Ur. La ViÃ±ita,"Ur. La ViÃ±ita, Barranco, Lima, Lima ",USD550,2 dormitorios,1 baÃ±o,67 mÂ²,2018,S/.180,Apartamento,Alquiler,16 feb. 2023 - Publicado por Inmoba Peru SAC,https://www.properati.com.pe/detalle/14032-32-c5a2-ded6f74dff7-1ad4ac11-a46b-4a80</t>
  </si>
  <si>
    <t>Apartamento en alquiler en Ur. Magisterial,"Ur. Magisterial, Arequipa, Arequipa, Arequipa ","S/.2,200",4 dormitorios,2 baÃ±os,100 mÂ²,,,Apartamento,Alquiler,10 mar. 2023 - Publicado por CANDARES INMOBILIARIA,https://www.properati.com.pe/detalle/14032-32-518c-24f64788fad9-ae028749-8526-4856</t>
  </si>
  <si>
    <t>Apartamento en alquiler en Ur. Leuro,"Ur. Leuro, Miraflores, Lima, Lima ","USD1,450",3 dormitorios,2 baÃ±os,175 mÂ²,2014,S/.500,Apartamento,Alquiler,29 dic. 2022 - Publicado por Inmoba Peru SAC,https://www.properati.com.pe/detalle/14032-32-213d-44b81e94700a-c8470f57-a4af-42e5</t>
  </si>
  <si>
    <t>Apartamento en alquiler en Hu. Cercado De Miraflores,"Hu. Cercado De Miraflores, Miraflores, Lima, Lima ","USD1,300",3 dormitorios,3 baÃ±os,107 mÂ²,2010,S/.440,Apartamento,Alquiler,22 mar. 2023 - Publicado por SERVICIOS INMOBILIARIOS,https://www.properati.com.pe/detalle/14032-32-45eb-df600df2dd08-b438f19f-8b1c-4f9a</t>
  </si>
  <si>
    <t>Apartamento en alquiler en Ur. Leuro,"Ur. Leuro, Miraflores, Lima, Lima ",USD850,3 dormitorios,2 baÃ±os,125 mÂ²,,,Apartamento,Alquiler,26 dic. 2022 - Publicado por RE/MAX Expo,https://www.properati.com.pe/detalle/14032-32-31e5-f56cb44a69f3-1354c567-8e16-4287</t>
  </si>
  <si>
    <t>Apartamento en alquiler en Ur. La ViÃ±ita,"Ur. La ViÃ±ita, Barranco, Lima, Lima ",USD600,2 dormitorios,1 baÃ±o,62 mÂ²,2008,S/.180,Apartamento,Alquiler,16 feb. 2023 - Publicado por Inmoba Peru SAC,https://www.properati.com.pe/detalle/14032-32-3f3d-f2bebcd48f92-c0a2bb8-9d92-4487</t>
  </si>
  <si>
    <t>Apartamento en alquiler en Surco,"Surco, Santiago De Surco, Lima, Lima ","USD1,500",4 dormitorios,4 baÃ±os,220 mÂ²,2013,S/.550,Apartamento,Alquiler,14 mar. 2023 - Publicado por Inmoba Peru SAC,https://www.properati.com.pe/detalle/14032-32-a6d5-20c6b8a2ce1e-f66195c6-9159-4417</t>
  </si>
  <si>
    <t>Apartamento en alquiler en Ur. San Juan Sector D,"Ur. San Juan Sector D, San Juan de Miraflores, Lima, Lima ","S/.1,500",3 dormitorios,2 baÃ±os,135 mÂ²,2012,,Apartamento,Alquiler,"Hace 2 semanas, 15 horas - Publicado por ASPRO asesores profesionales",https://www.properati.com.pe/detalle/14032-32-a476-79b47ed1304e-c52f3e0c-83b0-4973</t>
  </si>
  <si>
    <t>Apartamento en alquiler en Ah. Moron,"Ah. Moron, Chaclacayo, Lima, Lima ",USD370,3 dormitorios,2 baÃ±os,85 mÂ²,2011,,Apartamento,Alquiler,"Hace 2 semanas, 4 dÃ­as - Publicado por Remax Diamond",https://www.properati.com.pe/detalle/14032-32-bf6-4f67af066e6e-38077caa-bf4e-4ed5</t>
  </si>
  <si>
    <t>Casa en alquiler en Pimentel,"Pimentel, Chiclayo, Lambayeque ","S/.3,500",2 dormitorios,2 baÃ±os,300 mÂ²,,,Casa,Alquiler,"Hace 2 semanas, 3 dÃ­as - Publicado por Lula Botey Inmobiliaria",https://www.properati.com.pe/detalle/14032-32-bc8a-abca1b501818-f08a385d-92e1-4a08</t>
  </si>
  <si>
    <t>Casa en alquiler en Cieneguilla,"Cieneguilla, Lima, Lima ","USD1,500",3 dormitorios,3 baÃ±os,500 mÂ²,2020,,Casa,Alquiler,2 mar. 2023 - Publicado por RE/MAX Principal pe,https://www.properati.com.pe/detalle/14032-32-b1d1-78ea9176119c-6f6e8d5e-a803-4590</t>
  </si>
  <si>
    <t>Apartamento en alquiler en Urb Cercado de Miraflores,"Urb Cercado de Miraflores, Provincia de Lima, Provincia de Lima ","USD1,400",2 dormitorios,2 baÃ±os,111 mÂ²,2005,,Apartamento,Alquiler,26 feb. 2022 - Publicado por Inmoba Peru SAC,https://www.properati.com.pe/detalle/14032-32-2533-df88700c81f6-b4d70ba3-ba7a-40c7</t>
  </si>
  <si>
    <t>Apartamento en alquiler en Ur. Santa Cruz,"Ur. Santa Cruz, Miraflores, Lima, Lima ","USD1,050",1 dormitorio,3 baÃ±os,125 mÂ²,2018,S/.380,Apartamento,Alquiler,"Hace 1 dÃ­a, 2 horas - Publicado por SOCIOS INMOBILIARIOS",https://www.properati.com.pe/detalle/14032-32-3972-d3764fd50aef-18593f76-9b9c-4b00</t>
  </si>
  <si>
    <t>Apartamento en alquiler en Ur. Balta,"Ur. Balta, Miraflores, Lima, Lima ",USD850,2 dormitorios,2 baÃ±os,84 mÂ²,2012,S/.400,Apartamento,Alquiler,"Hace 1 dÃ­a, 19 horas - Publicado por IntermediaciÃ³n Inmobiliaria â€“ CHS",https://www.properati.com.pe/detalle/14032-32-fb0c-a754f883812a-3094fa58-8746-4ecb</t>
  </si>
  <si>
    <t>Casa en alquiler en Ur. San Miguel,"Ur. San Miguel, San Miguel, Lima, Lima ","S/.2,600",3 dormitorios,2 baÃ±os,92 mÂ²,1960,,Casa,Alquiler,"Hace 1 semana, 1 dÃ­a - Publicado por MARIA ANTONIETA DEL CARMEN MESONES VILLACORTA",https://www.properati.com.pe/detalle/14032-32-d843-5774a2f2c8a6-65852c0-88c0-120d</t>
  </si>
  <si>
    <t>Apartamento en alquiler en Ur. Barboncito,"Ur. Barboncito, Miraflores, Lima, Lima ","S/.3,000",2 dormitorios,3 baÃ±os,124 mÂ²,2023,,Apartamento,Alquiler,16 mar. 2023 - Publicado por CISA INMOBILIARIA PERU ,https://www.properati.com.pe/detalle/14032-32-c45f-7b18758e5ce1-b24cba50-ba78-120d</t>
  </si>
  <si>
    <t>Apartamento en alquiler en Ur. Confraternidad,"Ur. Confraternidad, Barranco, Lima, Lima ","S/.2,300",1 dormitorio,1 baÃ±o,43 mÂ²,2013,S/.230,Apartamento,Alquiler,"Hace 2 semanas, 6 dÃ­as - Publicado por Javier SÃ¡nchez Agente Inmobiliario",https://www.properati.com.pe/detalle/14032-32-2e3e-91e3606e26b0-7b204094-a499-4655</t>
  </si>
  <si>
    <t>Casa en alquiler en La Alborada,"La Alborada, Piura, Piura ","S/.2,000",1 dormitorio,2 baÃ±os,,65 mÂ²,,Casa,Alquiler,17 ago. 2022 - Publicado por Inmuebles El Buho,https://www.properati.com.pe/detalle/14032-32-b1a4-141e2d3efda7-2073760d-b9b7-3912</t>
  </si>
  <si>
    <t>Apartamento en alquiler en Ur. America,"Ur. America, Miraflores, Lima, Lima ",USD700,3 dormitorios,3 baÃ±os,89 mÂ²,2010,S/.400,Apartamento,Alquiler,"Hace 1 dÃ­a, 12 horas - Publicado por SOCIOS INMOBILIARIOS",https://www.properati.com.pe/detalle/14032-32-c688-a2c18253d867-ed0b3a68-81f6-4631</t>
  </si>
  <si>
    <t>Casa en alquiler en Ur. Los Halcones,"Ur. Los Halcones, Chaclacayo, Lima, Lima ","USD1,800",3 dormitorios,3 baÃ±os,624 mÂ²,1988,S/.1,Casa,Alquiler,"Hace 5 dÃ­as, 19 horas - Publicado por RE/MAX Lider-Luis Lancho Navas",https://www.properati.com.pe/detalle/14032-32-d3d9-cb66a168a494-76986cc-a2b3-40f9</t>
  </si>
  <si>
    <t>Apartamento en alquiler en Ur. Chacarilla Santa Cruz,"Ur. Chacarilla Santa Cruz, San Isidro, Lima, Lima ",USD510,1 dormitorio,1 baÃ±o,55 mÂ²,2022,,Apartamento,Alquiler,28 feb. 2023 - Publicado por SOCIOS INMOBILIARIOS,https://www.properati.com.pe/detalle/14032-32-3519-7da18e9db76c-950dc6a6-96bb-4320</t>
  </si>
  <si>
    <t>Apartamento en alquiler en Ur. Libertad,"Ur. Libertad, San Miguel, Lima, Lima ","S/.1,800",3 dormitorios,2 baÃ±os,82 mÂ²,2014,S/.250,Apartamento,Alquiler,2 ene. 2023 - Publicado por NNK PERU SAC,https://www.properati.com.pe/detalle/14032-32-e1dd-c79ca082f8be-4dbb2e9-a1b2-4f1f</t>
  </si>
  <si>
    <t>Apartamento en alquiler en Cayma,"Cayma, Cerro Colorado, Arequipa, Arequipa ","S/.2,700",3 dormitorios,3 baÃ±os,110 mÂ²,2022,S/.1,Apartamento,Alquiler,"Hace 1 dÃ­a, 14 horas - Publicado por Sillar Inmobiliaria",https://www.properati.com.pe/detalle/14032-32-e6c-17f3a73bbea4-7bdb039e-b98b-434f</t>
  </si>
  <si>
    <t>Apartamento en alquiler en Ur. Libertad,"Ur. Libertad, San Miguel, Lima, Lima ","S/.2,800",2 dormitorios,2 baÃ±os,60 mÂ²,2019,S/.200,Apartamento,Alquiler,17 mar. 2023 - Publicado por RE/MAX Expo,https://www.properati.com.pe/detalle/14032-32-a2df-45c2a4a73015-f66a53b3-8bdb-4551</t>
  </si>
  <si>
    <t>Apartamento en alquiler en Lince,"Lince, Lima, Lima ",USD700,1 dormitorio,1 baÃ±o,50 mÂ²,,S/.200,Apartamento,Alquiler,"Hace 5 dÃ­as, 12 horas - Publicado por KRB Agencia PerÃº",https://www.properati.com.pe/detalle/14032-32-f9a1-59304cbc4abd-2ea29ec4-ae54-4bf1</t>
  </si>
  <si>
    <t>Oficina en alquiler en Ur. San Antonio,"Ur. San Antonio, Miraflores, Lima, Lima ","USD4,000",14 dormitorios,5 baÃ±os,,2003,,Oficina,Alquiler,"Hace 1 dÃ­a, 20 horas - Publicado por Lucia Chocano De Caravedo",https://www.properati.com.pe/detalle/14032-32-b1f5-b591e09c80c1-b0cdbdb4-9434-3279</t>
  </si>
  <si>
    <t>Apartamento en alquiler en Ur. Chiclin,"Ur. Chiclin, La Perla, Callao, Callao ","S/.2,500",1 dormitorio,1 baÃ±o,41 mÂ²,2017,S/.110,Apartamento,Alquiler,"Hace 1 semana, 1 dÃ­a - Publicado por RE/MAX POWER EXPO",https://www.properati.com.pe/detalle/14032-32-ad1d-785898301fed-9ac796d5-971b-4ce2</t>
  </si>
  <si>
    <t>Casa en alquiler en Chorrillos,"Chorrillos, Lima, Lima ","USD2,800",4 dormitorios,3 baÃ±os,"1,021 mÂ²",,,Casa,Alquiler,19 feb. 2023 - Publicado por Inmoba Peru SAC,https://www.properati.com.pe/detalle/14032-32-1992-b9cf4f7511fa-5cf73bb8-a1f2-4f14</t>
  </si>
  <si>
    <t>Apartamento en alquiler en Ur. Valle Hermoso Oeste,"Ur. Valle Hermoso Oeste, Santiago de Surco, Lima, Lima ","USD4,300",5 dormitorios,5 baÃ±os,470 mÂ²,2014,"S/.1,500",Apartamento,Alquiler,Hace 1 semana - Publicado por BÃ¼ro Propiedades,https://www.properati.com.pe/detalle/14032-32-fa13-113ebd37d42e-86027943-8493-461b</t>
  </si>
  <si>
    <t>Apartamento en alquiler en Ur. Armendariz,"Ur. Armendariz, Miraflores, Lima, Lima ",USD950,3 dormitorios,3 baÃ±os,180 mÂ²,1983,S/.450,Apartamento,Alquiler,"Hace 1 dÃ­a, 17 horas - Publicado por KRB Agencia PerÃº",https://www.properati.com.pe/detalle/14032-32-ae0a-93af099556a3-5340ad5b-b68c-4891</t>
  </si>
  <si>
    <t>Apartamento en alquiler en Ur. Los Recaudadores,"Ur. Los Recaudadores, Ate, Lima, Lima ","S/.1,680",2 dormitorios,2 baÃ±os,80 mÂ²,,,Apartamento,Alquiler,2 mar. 2023 - Publicado por REMAX AHORA,https://www.properati.com.pe/detalle/14032-32-14f5-3be8dde1af74-4894436e-b031-46c2</t>
  </si>
  <si>
    <t>Apartamento en alquiler en Surquillo,"Surquillo, Provincia de Lima, Provincia de Lima ","USD350,000",2 dormitorios,2 baÃ±os,127 mÂ²,2020,S/.550,Apartamento,Alquiler,2 jun. 2022 - Publicado por VerÃ³nica Arosemena,https://www.properati.com.pe/detalle/14032-32-9c51-923a5e9a2bb0-572d30e1-bb48-4b6d</t>
  </si>
  <si>
    <t>Apartamento en alquiler en San MartÃ­n de Porres,"San MartÃ­n de Porres, Lima, Lima ","S/.1,100",3 dormitorios,2 baÃ±os,140 mÂ²,,,Apartamento,Alquiler,"Hace 1 semana, 5 dÃ­as - Publicado por Sheriel Herrera",https://www.properati.com.pe/detalle/14032-32-814e-be153ea6d77d-8672b741-bb51-4706</t>
  </si>
  <si>
    <t>Apartamento en alquiler en Ur. San Miguel,"Ur. San Miguel, San Miguel, Lima, Lima ","S/.1,100",2 dormitorios,1 baÃ±o,45 mÂ²,2023,,Apartamento,Alquiler,"Hace 2 semanas, 7 horas - Publicado por EncontrÃ© tu Hogar",https://www.properati.com.pe/detalle/14032-32-d3a8-d15c0189ad19-51f02900-856d-120d</t>
  </si>
  <si>
    <t>Apartamento en alquiler en Hu. Cercado De Miraflores,"Hu. Cercado De Miraflores, Miraflores, Lima, Lima ","USD1,450",3 dormitorios,2 baÃ±os,200 mÂ²,,S/.550,Apartamento,Alquiler,"Hace 1 semana, 6 dÃ­as - Publicado por Isotta Lima Space",https://www.properati.com.pe/detalle/14032-32-ba63-65b75289d07c-bef2657c-8d03-451e</t>
  </si>
  <si>
    <t>Apartamento en alquiler en Ur. San Antonio,"Ur. San Antonio, Miraflores, Lima, Lima ",USD790,3 dormitorios,2 baÃ±os,116 mÂ²,2019,S/.50,Apartamento,Alquiler,"Hace 1 semana, 3 dÃ­as - Publicado por JESUS ALTAMIRANO CONDEMARIN",https://www.properati.com.pe/detalle/14032-32-7592-7fe74a33ee99-5efee4c3-8250-4710</t>
  </si>
  <si>
    <t>Apartamento en alquiler en Sd. S/N,"Sd. S/N, Puente Piedra, Lima, Lima ",S/.800,3 dormitorios,1 baÃ±o,54 mÂ²,,S/.100,Apartamento,Alquiler,"Hace 1 semana, 5 dÃ­as - Publicado por Sheriel Herrera",https://www.properati.com.pe/detalle/14032-32-d784-16ff3d6e0202-f98c46d1-a952-470c</t>
  </si>
  <si>
    <t>Apartamento en alquiler en Ur. La Capullana,"Ur. La Capullana, Santiago de Surco, Lima, Lima ","S/.2,500",2 dormitorios,2 baÃ±os,106 mÂ²,2015,S/.90,Apartamento,Alquiler,6 mar. 2023 - Publicado por Infinito Novantanove E.I.R.L,https://www.properati.com.pe/detalle/14032-32-8226-3dcf54ae8f6d-2a12a6f1-9b74-4086</t>
  </si>
  <si>
    <t>Apartamento en alquiler en Ur. Cabo Gc Juan Ingunza Valdivia (Vipol),"Ur. Cabo Gc Juan Ingunza Valdivia (Vipol), Callao, Callao, Callao ","S/.1,200",2 dormitorios,1 baÃ±o,73 mÂ²,2015,S/.20,Apartamento,Alquiler,"Hace 1 dÃ­a, 21 horas - Publicado por RE/MAX Expo",https://www.properati.com.pe/detalle/14032-32-8b13-c8d1568ed13a-b4743bea-9fd1-40bb</t>
  </si>
  <si>
    <t>Casa en alquiler en Ur. Daniel A. Carrion,"Ur. Daniel A. Carrion, Chiclayo, Chiclayo, Lambayeque ","S/.4,000",5 dormitorios,3 baÃ±os,200 mÂ²,,S/.150,Casa,Alquiler,24 ene. 2023 - Publicado por Lula Botey Inmobiliaria,https://www.properati.com.pe/detalle/14032-32-3fc3-cb63bf21572c-44739d1e-bd70-4a90</t>
  </si>
  <si>
    <t>Apartamento en alquiler en Ica,"Ica, Ica, Ica ","S/.2,300",1 dormitorio,1 baÃ±o,80 mÂ²,,,Apartamento,Alquiler,25 mar. 2023 - Publicado por RC HOUSE REAL ESTATE S.A.C.,https://www.properati.com.pe/detalle/14032-32-7aa0-b30a386b1d3b-1ee27b88-b4bc-4762</t>
  </si>
  <si>
    <t>Casa en alquiler en Ur. Javier Prado (Cahuache),"Ur. Javier Prado (Cahuache), San Borja, Lima, Lima ","USD1,900",7 dormitorios,4 baÃ±os,207 mÂ²,1992,,Casa,Alquiler,4 feb. 2023 - Publicado por RE/MAX GestiÃ³n Inmobiliaria,https://www.properati.com.pe/detalle/14032-32-a911-bc122769111c-fae4a93-b6c7-435b</t>
  </si>
  <si>
    <t>Apartamento en alquiler en Ur. San Felipe,"Ur. San Felipe, Lince, Lima, Lima ","S/.2,800",3 dormitorios,2 baÃ±os,96 mÂ²,,S/.300,Apartamento,Alquiler,"Hace 6 dÃ­as, 21 horas - Publicado por REMAX FENIX",https://www.properati.com.pe/detalle/14032-32-3c73-f9543b28a5e6-68c79545-8a3d-4af5</t>
  </si>
  <si>
    <t>Apartamento en alquiler en Cajamarca,"Cajamarca, Cajamarca, Cajamarca ","S/.1,500",3 dormitorios,2 baÃ±os,110 mÂ²,,,Apartamento,Alquiler,"Hace 2 semanas, 1 dÃ­a - Publicado por Inmobiliaria SOLÃS",https://www.properati.com.pe/detalle/14032-32-ff9-617d01b89294-7dbbb922-9cd0-4497</t>
  </si>
  <si>
    <t>Casa en alquiler en Ur. Javier Prado (Cahuache),"Ur. Javier Prado (Cahuache), San Borja, Lima, Lima ","USD1,900",7 dormitorios,4 baÃ±os,1 Medio baÃ±o,207 mÂ²,,Casa,Alquiler,17 feb. 2023 - Publicado por  Ivan  Santa Cruz Maza ,https://www.properati.com.pe/detalle/14032-32-5c07-963c6975f150-39fd5f0e-be16-3b77</t>
  </si>
  <si>
    <t>HabitaciÃ³n en alquiler en Cajamarca,"Cajamarca, Cajamarca, Cajamarca ",S/.450,1 dormitorio,1 baÃ±o,20 mÂ²,3,,HabitaciÃ³n,Alquiler,"Hace 2 semanas, 1 dÃ­a - Publicado por Inmobiliaria SOLÃS",https://www.properati.com.pe/detalle/14032-32-3804-66c198634992-f977c948-a827-4d2e</t>
  </si>
  <si>
    <t>Apartamento en alquiler en Ur. Santa Raquel Sector B Zona Este,"Ur. Santa Raquel Sector B Zona Este, La Molina, Lima, Lima ","S/.1,700",2 dormitorios,1 baÃ±o,68 mÂ²,2015,S/.100,Apartamento,Alquiler,22 feb. 2023 - Publicado por Astupropiedad,https://www.properati.com.pe/detalle/14032-32-daa7-fdc83baf802a-4275bf41-979a-4c26</t>
  </si>
  <si>
    <t>Apartamento en alquiler en Ur. Confraternidad,"Ur. Confraternidad, Barranco, Lima, Lima ",USD980,3 dormitorios,2 baÃ±os,,89 mÂ²,,Apartamento,Alquiler,"Hace 4 dÃ­as, 16 horas - Publicado por  Carmen Rosa  Zuniga  Perez  ",https://www.properati.com.pe/detalle/14032-32-1027-1d4aa32ec8fc-a315f490-9a26-312e</t>
  </si>
  <si>
    <t>Casa en alquiler en Cajamarca,"Cajamarca, Cajamarca, Cajamarca ",S/.950,2 dormitorios,1 baÃ±o,146 mÂ²,,,Casa,Alquiler,23 mar. 2023 - Publicado por Inmobiliaria SOLÃS,https://www.properati.com.pe/detalle/14032-32-d0a8-d434256a96dc-f064e523-9554-414d</t>
  </si>
  <si>
    <t>Apartamento en alquiler en Ur. Orbea,"Ur. Orbea, Magdalena del Mar, Lima, Lima ",S/.240,2 dormitorios,2 baÃ±os,66 mÂ²,2022,,Apartamento,Alquiler,"Hace 4 dÃ­as, 10 horas - Publicado por SOCIOS INMOBILIARIOS",https://www.properati.com.pe/detalle/14032-32-aee6-fbf15e94e774-6a45cd40-9b35-47b7</t>
  </si>
  <si>
    <t>Apartamento en alquiler en Ur. La ViÃ±ita,"Ur. La ViÃ±ita, Barranco, Lima, Lima ","S/.2,900",2 dormitorios,2 baÃ±os,61 mÂ²,2021,S/.160,Apartamento,Alquiler,2 feb. 2023 - Publicado por REMAX FAMILY,https://www.properati.com.pe/detalle/14032-32-a038-e74750861e5b-55284d58-a53d-4823</t>
  </si>
  <si>
    <t>HabitaciÃ³n en alquiler en Cajamarca,"Cajamarca, Cajamarca, Cajamarca ",S/.490,1 dormitorio,1 baÃ±o,20 mÂ²,3,,HabitaciÃ³n,Alquiler,"Hace 2 semanas, 1 dÃ­a - Publicado por Inmobiliaria SOLÃS",https://www.properati.com.pe/detalle/14032-32-3dc2-dfa0df2ab030-427c5ba1-8262-48e3</t>
  </si>
  <si>
    <t>Apartamento en alquiler en Cajamarca,"Cajamarca, Cajamarca, Cajamarca ","S/.1,000",3 dormitorios,1 baÃ±o,60 mÂ²,2022,,Apartamento,Alquiler,"Hace 1 semana, 1 dÃ­a - Publicado por Inmobiliaria SOLÃS",https://www.properati.com.pe/detalle/14032-32-87ab-697e4b7c9be8-ff6d61c5-aa38-4f9d</t>
  </si>
  <si>
    <t>Apartamento en alquiler en Ur. Los Recaudadores,"Ur. Los Recaudadores, Ate, Lima, Lima ","S/.2,000",3 dormitorios,2 baÃ±os,92 mÂ²,2014,,Apartamento,Alquiler,17 mar. 2023 - Publicado por RE/MAX ALPHA  pe,https://www.properati.com.pe/detalle/14032-32-e4f7-26888481416e-f7f9f3f6-ba2c-4ee6</t>
  </si>
  <si>
    <t>Apartamento en alquiler en Cajamarca,"Cajamarca, Cajamarca, Cajamarca ",S/.780,2 dormitorios,1 baÃ±o,75 mÂ²,,,Apartamento,Alquiler,"Hace 1 semana, 1 dÃ­a - Publicado por Inmobiliaria SOLÃS",https://www.properati.com.pe/detalle/14032-32-badb-c0dcb52419a3-b958701a-96a7-4311</t>
  </si>
  <si>
    <t>Apartamento en alquiler en Cajamarca,"Cajamarca, Cajamarca, Cajamarca ","S/.1,390",2 dormitorios,1 baÃ±o,63 mÂ²,2022,,Apartamento,Alquiler,"Hace 2 semanas, 1 dÃ­a - Publicado por Inmobiliaria SOLÃS",https://www.properati.com.pe/detalle/14032-32-883d-92e0cd134ed7-bbe5c3da-8376-4c8d</t>
  </si>
  <si>
    <t>Apartamento en alquiler en Ur. La Capilla (U-2),"Ur. La Capilla (U-2), La Molina, Lima, Lima ","S/.1,000",2 dormitorios,1 baÃ±o,35 mÂ²,,,Apartamento,Alquiler,8 oct. 2022 - Publicado por SOCIOS INMOBILIARIOS,https://www.properati.com.pe/detalle/14032-32-842d-97e7e40efa38-c00eff7e-bede-4c07</t>
  </si>
  <si>
    <t>Apartamento en alquiler en Santiago de Surco,"Santiago de Surco, Lima, Lima ","USD1,550",3 dormitorios,3 baÃ±os,217 mÂ²,,,Apartamento,Alquiler,"Hace 2 semanas, 1 dÃ­a - Publicado por GARRIDO SECLEN RICARDY BUENAVENTURA",https://www.properati.com.pe/detalle/14032-32-d310-5da6e15e3d6a-2c461db0-be98-120d</t>
  </si>
  <si>
    <t>Apartamento en alquiler en Ur. Balta,"Ur. Balta, Miraflores, Lima, Lima ",USD850,3 dormitorios,2 baÃ±os,108 mÂ²,,,Apartamento,Alquiler,22 mar. 2023 - Publicado por REMAX CENTENARIO,https://www.properati.com.pe/detalle/14032-32-9ddc-ac7b1f7a91ca-5d83b5ad-a980-4047</t>
  </si>
  <si>
    <t>Apartamento en alquiler en Ur. Santa Beatriz,"Ur. Santa Beatriz, JesÃºs MarÃ­a, Lima, Lima ","S/.1,100",1 dormitorio,1 baÃ±o,40 mÂ²,,,Apartamento,Alquiler,"Hace 5 dÃ­as, 18 horas - Publicado por Ikasa Inmobiliaria",https://www.properati.com.pe/detalle/14032-32-241c-f37fde555b4a-35b2a613-a935-413e</t>
  </si>
  <si>
    <t>Apartamento en alquiler en Provincia de Lima,"Provincia de Lima, Provincia de Lima ","S/.1,250",3 dormitorios,2 baÃ±os,84 mÂ²,,,Apartamento,Alquiler,21 set. 2022 - Publicado por OSLAVE JESUS FLORES AHON,https://www.properati.com.pe/detalle/14032-32-7044-b49c5278691f-3c61c488-a656-334d</t>
  </si>
  <si>
    <t>Apartamento en alquiler en Ur. Lobaton,"Ur. Lobaton, Lince, Lima, Lima ","S/.2,400",1 dormitorio,1 baÃ±o,46 mÂ²,2022,S/.170,Apartamento,Alquiler,"Hace 2 semanas, 3 dÃ­as - Publicado por ALI HOUSE-PROFESIONALES INMOBILIARIOS",https://www.properati.com.pe/detalle/14032-32-ded4-812e45001395-1d06eb1d-9054-4b6a</t>
  </si>
  <si>
    <t>Casa en alquiler en San Isidro,"San Isidro, Lima, Lima ","USD1,350",3 dormitorios,3 baÃ±os,214 mÂ²,2002,S/.450,Casa,Alquiler,27 nov. 2022 - Publicado por Roalse Inmobiliaria ,https://www.properati.com.pe/detalle/14032-32-cbc1-f4b284b35cce-3d76b6a5-b6a5-4ddb</t>
  </si>
  <si>
    <t>Apartamento en alquiler en Hu. Cercado De Miraflores,"Hu. Cercado De Miraflores, Miraflores, Lima, Lima ",USD850,2 dormitorios,3 baÃ±os,84 mÂ²,2015,S/.317,Apartamento,Alquiler,"Hace 2 dÃ­as, 13 horas - Publicado por SOCIOS INMOBILIARIOS",https://www.properati.com.pe/detalle/14032-32-e369-1bd90cad45c2-dca51e45-b277-48fc</t>
  </si>
  <si>
    <t>Apartamento en alquiler en Ur. Confraternidad,"Ur. Confraternidad, Barranco, Lima, Lima ",USD980,3 dormitorios,2 baÃ±os,96 mÂ²,2020,S/.360,Apartamento,Alquiler,"Hace 4 dÃ­as, 17 horas - Publicado por Remax Concept",https://www.properati.com.pe/detalle/14032-32-6cf9-310b98421e59-547f52f5-8e38-44aa</t>
  </si>
  <si>
    <t>Apartamento en alquiler en Ur. Pedregal De Higuereta(San Atanacio De Pedregal),"Ur. Pedregal De Higuereta(San Atanacio De Pedregal), Surquillo, Lima, Lima ","S/.2,300",2 dormitorios,2 baÃ±os,70 mÂ²,2023,S/.170,Apartamento,Alquiler,"Hace 5 dÃ­as, 19 horas - Publicado por Gustavo Jhonatan Santillan Chaupis",https://www.properati.com.pe/detalle/14032-32-b1e6-e1507a79f0ab-cd6e419d-8758-4fe3</t>
  </si>
  <si>
    <t>Apartamento en alquiler en Ur. Pedregal De Higuereta(San Atanacio De Pedregal),"Ur. Pedregal De Higuereta(San Atanacio De Pedregal), Surquillo, Lima, Lima ","S/.1,800",1 dormitorio,1 baÃ±o,56 mÂ²,2023,S/.150,Apartamento,Alquiler,"Hace 5 dÃ­as, 19 horas - Publicado por Gustavo Jhonatan Santillan Chaupis",https://www.properati.com.pe/detalle/14032-32-e6ee-4225b9ae8a1f-79b3f829-a374-4771</t>
  </si>
  <si>
    <t>Apartamento en alquiler en Iquitos,"Iquitos, Maynas, Loreto ","S/.1,200",2 dormitorios,1 baÃ±o,54 mÂ²,2022,,Apartamento,Alquiler,"Hace 2 dÃ­as, 15 horas - Publicado por Nancy Elizabeth Noriega Noronha",https://www.properati.com.pe/detalle/14032-32-dcd5-71f68f169fe0-9447ad10-9eb1-120d</t>
  </si>
  <si>
    <t>Casa en alquiler en Carabayllo,"Carabayllo, Lima, Lima ",S/.900,2 dormitorios,1 baÃ±o,140 mÂ²,2016,,Casa,Alquiler,"Hace 3 dÃ­as, 16 horas - Publicado por ALI HOUSE-PROFESIONALES INMOBILIARIOS",https://www.properati.com.pe/detalle/14032-32-57d1-916628e3d571-830b42fb-8f05-4b20</t>
  </si>
  <si>
    <t>Apartamento en alquiler en Ur. Santa Beatriz,"Ur. Santa Beatriz, JesÃºs MarÃ­a, Lima, Lima ","S/.1,800",1 dormitorio,1 baÃ±o,50 mÂ²,,,Apartamento,Alquiler,"Hace 1 semana, 1 dÃ­a - Publicado por RealWasi Inmobiliaria",https://www.properati.com.pe/detalle/14032-32-d829-d127d4d2b90f-6250c860-b026-120d</t>
  </si>
  <si>
    <t>Apartamento en alquiler en Surquillo,"Surquillo, Lima, Lima ","S/.2,200",1 dormitorio,1 baÃ±o,43 mÂ²,2018,S/.150,Apartamento,Alquiler,"Hace 1 semana, 16 horas - Publicado por REMAX UNITED",https://www.properati.com.pe/detalle/14032-32-af85-94e239b955bb-b0521e17-880f-4f47</t>
  </si>
  <si>
    <t>Casa en alquiler en Chiclayo,"Chiclayo, Chiclayo, Lambayeque ","S/.1,500",2 dormitorios,2 baÃ±os,150 mÂ²,2009,,Casa,Alquiler,17 mar. 2023 - Publicado por RE/MAX PERÃš,https://www.properati.com.pe/detalle/14032-32-b4d1-cd5b8f4facbe-f61d8b4-ab97-49ff</t>
  </si>
  <si>
    <t>Apartamento en alquiler en Ur. Las Gardenias,"Ur. Las Gardenias, Santiago de Surco, Lima, Lima ","S/.2,350",2 dormitorios,2 baÃ±os,50 mÂ²,,S/.230,Apartamento,Alquiler,"Hace 2 dÃ­as, 20 horas - Publicado por Fiorella Saldarriaga",https://www.properati.com.pe/detalle/14032-32-dcab-63cb2fb9d93c-4fbec2c0-b78f-120d</t>
  </si>
  <si>
    <t>Apartamento en alquiler en Ur. Chacarilla Santa Cruz,"Ur. Chacarilla Santa Cruz, San Isidro, Lima, Lima ",USD900,1 dormitorio,1 baÃ±o,45 mÂ²,2023,S/.250,Apartamento,Alquiler,24 ene. 2023 - Publicado por Midori Kishimoto,https://www.properati.com.pe/detalle/14032-32-461b-194a62f80c76-6da9ac19-aeed-4db0</t>
  </si>
  <si>
    <t>Apartamento en alquiler en Ur. San Antonio,"Ur. San Antonio, Miraflores, Lima, Lima ",USD990,2 dormitorios,4 baÃ±os,126 mÂ²,2021,S/.450,Apartamento,Alquiler,"Hace 1 semana, 3 dÃ­as - Publicado por GNS Inmobiliaria",https://www.properati.com.pe/detalle/14032-32-70b5-7a05466b7a0d-6cf6709-8f1b-3aac</t>
  </si>
  <si>
    <t>Apartamento en alquiler en Ur. Orrantia,"Ur. Orrantia, San Isidro, Lima, Lima ","USD1,380",3 dormitorios,2 baÃ±os,131 mÂ²,2020,S/.700,Apartamento,Alquiler,"Hace 1 semana, 2 dÃ­as - Publicado por Midori Kishimoto",https://www.properati.com.pe/detalle/14032-32-69dd-e410df5be883-3612c089-8bfd-4130</t>
  </si>
  <si>
    <t>Apartamento en alquiler en Ur. Jardin,"Ur. Jardin, San Isidro, Lima, Lima ",USD900,1 dormitorio,1 baÃ±o,45 mÂ²,2023,,Apartamento,Alquiler,Hace 3 semanas - Publicado por Midori Kishimoto,https://www.properati.com.pe/detalle/14032-32-37d7-8d3662c87b8-418dc763-abf3-4a60</t>
  </si>
  <si>
    <t>Apartamento en alquiler en Ur. Jacaranda,"Ur. Jacaranda, San Borja, Lima, Lima ","S/.2,800",2 dormitorios,1 baÃ±o,80 mÂ²,2019,S/.280,Apartamento,Alquiler,16 feb. 2023 - Publicado por Faure Cruz,https://www.properati.com.pe/detalle/14032-32-2095-4915e395f2bf-f52b4ebc-b074-4a17</t>
  </si>
  <si>
    <t>Local Comercial en alquiler en JosÃ© Luis Bustamante y Rivero,"JosÃ© Luis Bustamante y Rivero, Arequipa, Arequipa ","S/.11,000",1 dormitorio,2 baÃ±os,300 mÂ²,2020,,Local Comercial,Alquiler,"Hace 6 dÃ­as, 12 horas - Publicado por Avanza Gestion Inmobiliaria E.I.R.L.",https://www.properati.com.pe/detalle/14032-32-d6b9-db822a288e73-f9a4d56b-9806-3704</t>
  </si>
  <si>
    <t>Oficina en alquiler en Ur. San Luis,"Ur. San Luis, Miraflores, Lima, Lima ","S/.9,120",1 dormitorio,3 baÃ±os,200 mÂ²,2000,,Oficina,Alquiler,"Hace 2 semanas, 2 dÃ­as - Publicado por Avanza Gestion Inmobiliaria E.I.R.L.",https://www.properati.com.pe/detalle/14032-32-bfaa-5bdc4423ee73-4c1011d6-b910-362e</t>
  </si>
  <si>
    <t>Apartamento en alquiler en Propietarios De Parque Industrial El Asesor,"Propietarios De Parque Industrial El Asesor, Provincia de Lima, Provincia de Lima ",S/.800,1 dormitorio,1 baÃ±o,45 mÂ²,2018,,Apartamento,Alquiler,5 mar. 2022 - Publicado por NG SOLUCIONES INTEGRALES EFICIENTES NEW GENERATION,https://www.properati.com.pe/detalle/14032-32-e845-45da689f959d-d985de95-a4a4-310f</t>
  </si>
  <si>
    <t>Apartamento en alquiler en Up. Tahuantinsuyo Etapa I,"Up. Tahuantinsuyo Etapa I, Independencia, Lima, Lima ","S/.1,050",1 dormitorio,1 baÃ±o,80 mÂ²,2016,S/.1,Apartamento,Alquiler,"Hace 2 semanas, 4 dÃ­as - Publicado por IRIS JOYA - PROPIEDADES",https://www.properati.com.pe/detalle/14032-32-77b-790838d9985b-e272103d-a2ad-42b1</t>
  </si>
  <si>
    <t>Oficina en alquiler en Ur. San Luis,"Ur. San Luis, Miraflores, Lima, Lima ","S/.19,061",1 dormitorio,3 baÃ±os,418 mÂ²,2000,,Oficina,Alquiler,"Hace 2 semanas, 2 dÃ­as - Publicado por Avanza Gestion Inmobiliaria E.I.R.L.",https://www.properati.com.pe/detalle/14032-32-3c19-3ffa57b915c3-7c465bf6-a08e-32fc</t>
  </si>
  <si>
    <t>Casa en alquiler en Ur. La Planicie,"Ur. La Planicie, Punta Hermosa, Lima, Lima ","USD2,000",4 dormitorios,4 baÃ±os,300 mÂ²,2000,,Casa,Alquiler,27 feb. 2023 - Publicado por LIMA CORRETAJE S.A.C,https://www.properati.com.pe/detalle/14032-32-9ac3-986b39f1fb07-d95948a7-8e02-49f7</t>
  </si>
  <si>
    <t>Casa en alquiler en Subtanjalla,"Subtanjalla, Ica, Ica ","S/.2,090",5 dormitorios,4 baÃ±os,135 mÂ²,,,Casa,Alquiler,"Hace 3 dÃ­as, 19 horas - Publicado por RC HOUSE REAL ESTATE S.A.C.",https://www.properati.com.pe/detalle/14032-32-dd38-12d697a80e26-d725a8a2-9fea-4480</t>
  </si>
  <si>
    <t>Apartamento en alquiler en Ur. Colmenares,"Ur. Colmenares, Pueblo Libre, Lima, Lima ",USD760,3 dormitorios,2 baÃ±os,104 mÂ²,2017,S/.270,Apartamento,Alquiler,"Hace 4 dÃ­as, 22 horas - Publicado por LIMA CORRETAJE S.A.C",https://www.properati.com.pe/detalle/14032-32-baee-68901d85bce1-4ad731e0-ab48-45de</t>
  </si>
  <si>
    <t>Casa en alquiler en Ur. Huertos De San Antonio,"Ur. Huertos De San Antonio, Santiago de Surco, Lima, Lima ","USD1,550",4 dormitorios,4 baÃ±os,220 mÂ²,1991,S/.200,Casa,Alquiler,13 mar. 2023 - Publicado por IRIS JOYA - PROPIEDADES,https://www.properati.com.pe/detalle/14032-32-47ee-63a19ce7ac76-a03d9e14-ad8c-4bde</t>
  </si>
  <si>
    <t>Apartamento en alquiler en Ur. Prolongacion Benavides,"Ur. Prolongacion Benavides, Santiago de Surco, Lima, Lima ","S/.2,350",2 dormitorios,2 baÃ±os,50 mÂ²,2022,S/.250,Apartamento,Alquiler,Hace 2 semanas - Publicado por IRIS JOYA - PROPIEDADES,https://www.properati.com.pe/detalle/14032-32-ce85-c1b39d260e3f-bec8362f-84a9-4185</t>
  </si>
  <si>
    <t>Apartamento en alquiler en Ur. America,"Ur. America, Miraflores, Lima, Lima ","USD1,000",2 dormitorios,4 baÃ±os,150 mÂ²,2020,S/.650,Apartamento,Alquiler,"Hace 1 semana, 4 dÃ­as - Publicado por TU HOGAR Y BIENESTAR",https://www.properati.com.pe/detalle/14032-32-1a25-4f6cbbb4f88-713b911c-880d-4e3a</t>
  </si>
  <si>
    <t>Apartamento en alquiler en Punta Hermosa,"Punta Hermosa, Lima, Lima ","USD1,000",3 dormitorios,3 baÃ±os,129 mÂ²,2014,S/.300,Apartamento,Alquiler,23 feb. 2023 - Publicado por LIMA CORRETAJE S.A.C,https://www.properati.com.pe/detalle/14032-32-42ea-a0ee8cec8c54-f430dab7-8a5b-4918</t>
  </si>
  <si>
    <t>Apartamento en alquiler en Ur. Balconcillo,"Ur. Balconcillo, La Victoria, Lima, Lima ","S/.2,300",3 dormitorios,2 baÃ±os,70 mÂ²,2022,S/.220,Apartamento,Alquiler,"Hace 2 semanas, 1 dÃ­a - Publicado por IRIS JOYA - PROPIEDADES",https://www.properati.com.pe/detalle/14032-32-e3b5-9a203a30add5-7dad7ce7-b882-4c54</t>
  </si>
  <si>
    <t>Apartamento en alquiler en Ur. America,"Ur. America, Miraflores, Lima, Lima ","USD1,500",2 dormitorios,2 baÃ±os,104 mÂ²,2005,S/.631,Apartamento,Alquiler,"Hace 1 semana, 6 dÃ­as - Publicado por BÃ¼ro Propiedades",https://www.properati.com.pe/detalle/14032-32-a720-97f4e354d103-12e891a9-a560-4a09</t>
  </si>
  <si>
    <t>Apartamento en alquiler en Hu. Cercado De Miraflores,"Hu. Cercado De Miraflores, Miraflores, Lima, Lima ","USD1,400",2 dormitorios,3 baÃ±os,107 mÂ²,2010,S/.350,Apartamento,Alquiler,"Hace 1 semana, 6 dÃ­as - Publicado por SERVICIOS INMOBILIARIOS",https://www.properati.com.pe/detalle/14032-32-8bb6-57c5c47b3bf7-ed96281f-9688-4e4b</t>
  </si>
  <si>
    <t>Apartamento en alquiler en Retamas,"Retamas, Yanahuara, Arequipa, Arequipa ","S/.1,800",4 dormitorios,4 baÃ±os,135 mÂ²,2012,S/.300,Apartamento,Alquiler,28 ago. 2021 - Publicado por Deglane Melgar Jorge Luis,https://www.properati.com.pe/detalle/14032-32-17e8-8aaa2c993e5d-ca2e8ff8-81fb-49d2</t>
  </si>
  <si>
    <t>Apartamento en alquiler en Ur. Leuro,"Ur. Leuro, Miraflores, Lima, Lima ",USD780,2 dormitorios,2 baÃ±os,,2007,S/.293,Apartamento,Alquiler,"Hace 1 semana, 2 dÃ­as - Publicado por SOCIOS INMOBILIARIOS",https://www.properati.com.pe/detalle/14032-32-d717-b76ceb51d798-a2a56d70-a23d-120d</t>
  </si>
  <si>
    <t>Casa en alquiler en Ur. Los Jazmines,"Ur. Los Jazmines, Santiago de Surco, Lima, Lima ","S/.7,800",5 dormitorios,4 baÃ±os,350 mÂ²,1998,,Casa,Alquiler,"Hace 2 semanas, 1 dÃ­a - Publicado por Auryn Corp",https://www.properati.com.pe/detalle/14032-32-aaae-648a26904306-a55b51ba-9efa-3107</t>
  </si>
  <si>
    <t>Apartamento en alquiler en Ur. Alicia,"Ur. Alicia, Santiago de Surco, Lima, Lima ",USD980,3 dormitorios,3 baÃ±os,126 mÂ²,2019,S/.500,Apartamento,Alquiler,"Hace 1 semana, 10 horas - Publicado por Faure Cruz",https://www.properati.com.pe/detalle/14032-32-d90a-afbdc1f2fb6f-ea9ae520-b078-120d</t>
  </si>
  <si>
    <t>Apartamento en alquiler en Ur. Balta,"Ur. Balta, Miraflores, Lima, Lima ","USD1,200",2 dormitorios,2 baÃ±os,100 mÂ²,,S/.400,Apartamento,Alquiler,6 ene. 2023 - Publicado por RE/MAX Expo,https://www.properati.com.pe/detalle/14032-32-2d83-3ddfaaa89dff-88275968-839b-4238</t>
  </si>
  <si>
    <t>Apartamento en alquiler en Ur. Residencial Higuereta,"Ur. Residencial Higuereta, Santiago de Surco, Lima, Lima ","S/.4,600",3 dormitorios,5 baÃ±os,224 mÂ²,2018,S/.300,Apartamento,Alquiler,"Hace 6 dÃ­as, 16 horas - Publicado por CENTURY 21 AVANZA",https://www.properati.com.pe/detalle/14032-32-a290-692dede237bf-757917ea-8ac5-48f6</t>
  </si>
  <si>
    <t>Apartamento en alquiler en Ur. Residencial La Libertad,"Ur. Residencial La Libertad, Santiago de Surco, Lima, Lima ","S/.2,200",3 dormitorios,2 baÃ±os,80 mÂ²,2022,S/.250,Apartamento,Alquiler,16 mar. 2023 - Publicado por Marina AlegrÃ­a VelÃ¡squez,https://www.properati.com.pe/detalle/14032-32-5ad9-433987741078-f51b46e7-b06c-4e9c</t>
  </si>
  <si>
    <t>Apartamento en alquiler en Ur. Santa Cruz,"Ur. Santa Cruz, Miraflores, Lima, Lima ",USD900,2 dormitorios,3 baÃ±os,110 mÂ²,2012,S/.330,Apartamento,Alquiler,14 nov. 2022 - Publicado por CARLA EMPERATRIZ NEIRA SILVA,https://www.properati.com.pe/detalle/14032-32-61c7-42ce6cc85d92-b9b63c3e-af7c-4ecb</t>
  </si>
  <si>
    <t>Apartamento en alquiler en Ur. Confraternidad,"Ur. Confraternidad, Barranco, Lima, Lima ",USD800,2 dormitorios,2 baÃ±os,72 mÂ²,2023,,Apartamento,Alquiler,28 feb. 2023 - Publicado por RE/MAX PRO,https://www.properati.com.pe/detalle/14032-32-8206-b65be670c0a6-a13a71bb-a6e4-4cca</t>
  </si>
  <si>
    <t>Apartamento en alquiler en Ur. San Borja,"Ur. San Borja, San Borja, Lima, Lima ",USD950,2 dormitorios,3 baÃ±os,92 mÂ²,2021,S/.328,Apartamento,Alquiler,"Hace 5 dÃ­as, 13 horas - Publicado por GRUPO JCTP INMOBILIARIO SAC",https://www.properati.com.pe/detalle/14032-32-6e96-6b8cc4981401-90c7611a-974f-4435</t>
  </si>
  <si>
    <t>Apartamento en alquiler en Ur. Casuarinas Sur,"Ur. Casuarinas Sur, Santiago de Surco, Lima, Lima ","USD1,200",3 dormitorios,3 baÃ±os,167 mÂ²,2015,S/.600,Apartamento,Alquiler,1 mar. 2023 - Publicado por CARLA EMPERATRIZ NEIRA SILVA,https://www.properati.com.pe/detalle/14032-32-b801-d759b502146-716e9310-a9fa-120d</t>
  </si>
  <si>
    <t>Apartamento en alquiler en Ur. Balta,"Ur. Balta, Miraflores, Lima, Lima ",USD690,1 dormitorio,1 baÃ±o,60 mÂ²,,S/.235,Apartamento,Alquiler,"Hace 2 semanas, 5 dÃ­as - Publicado por Isotta Lima Space",https://www.properati.com.pe/detalle/14032-32-7e95-45689f895be5-94fdb2f9-aa1a-417e</t>
  </si>
  <si>
    <t>Apartamento en alquiler en Ica,"Ica, Ica, Ica ","S/.1,550",2 dormitorios,2 baÃ±os,84 mÂ²,,,Apartamento,Alquiler,"Hace 4 dÃ­as, 20 horas - Publicado por RC HOUSE REAL ESTATE S.A.C.",https://www.properati.com.pe/detalle/14032-32-5475-608d84ba5c3b-312e06cd-b19c-47b5</t>
  </si>
  <si>
    <t>Apartamento en alquiler en Ur. Balta,"Ur. Balta, Miraflores, Lima, Lima ",USD850,2 dormitorios,2 baÃ±os,80 mÂ²,2016,S/.480,Apartamento,Alquiler,"Hace 6 dÃ­as, 23 horas - Publicado por Corretaje Pelusa",https://www.properati.com.pe/detalle/14032-32-a008-dc332b3b709d-c1400d1e-919d-4243</t>
  </si>
  <si>
    <t>Apartamento en alquiler en Co. Virgen De Fatima,"Co. Virgen De Fatima, San MartÃ­n de Porres, Lima, Lima ",S/.800,2 dormitorios,2 baÃ±os,58 mÂ²,1500,S/.25,Apartamento,Alquiler,"Hace 1 semana, 22 horas - Publicado por KayrÃ³s Inmobiliaria",https://www.properati.com.pe/detalle/14032-32-a82e-13073c024d94-792006d0-9903-4824</t>
  </si>
  <si>
    <t>Apartamento en alquiler en Co. Santa Rosa De Quives,"Co. Santa Rosa De Quives, Santa Anita, Lima, Lima ","S/.1,600",3 dormitorios,2 baÃ±os,68 mÂ²,,S/.170,Apartamento,Alquiler,"Hace 1 semana, 1 dÃ­a - Publicado por RE/MAX PRO",https://www.properati.com.pe/detalle/14032-32-ec8f-7bb6ee593747-8b948000-a520-447e</t>
  </si>
  <si>
    <t>Apartamento en alquiler en Co. Virgen De Fatima,"Co. Virgen De Fatima, San MartÃ­n de Porres, Lima, Lima ",S/.850,2 dormitorios,1 baÃ±o,65 mÂ²,1500,S/.25,Apartamento,Alquiler,"Hace 1 semana, 22 horas - Publicado por KayrÃ³s Inmobiliaria",https://www.properati.com.pe/detalle/14032-32-fee9-866febd5e7d4-db0c5195-844f-437e</t>
  </si>
  <si>
    <t>Apartamento en alquiler en Ah. Totorita,"Ah. Totorita, Rimac, Lima, Lima ","S/.1,450",2 dormitorios,1 baÃ±o,59 mÂ²,2023,,Apartamento,Alquiler,"Hace 2 semanas, 6 dÃ­as - Publicado por Remax Integrity",https://www.properati.com.pe/detalle/14032-32-6281-e5c1c15661d4-ac32805e-b3b2-4490</t>
  </si>
  <si>
    <t>Casa en alquiler en Ica,"Ica, Ica, Ica ","S/.1,500",3 dormitorios,3 baÃ±os,160 mÂ²,,,Casa,Alquiler,"Hace 3 semanas, 23 horas - Publicado por Jhonal Vila Inmobiliario",https://www.properati.com.pe/detalle/14032-32-1bce-69cf2c009c57-a2ebd088-9c3b-4efe</t>
  </si>
  <si>
    <t>Apartamento en alquiler en Ur. El Vivero,"Ur. El Vivero, Santiago de Surco, Lima, Lima ","S/.3,100",3 dormitorios,3 baÃ±os,105 mÂ²,,,Apartamento,Alquiler,"Hace 2 semanas, 23 horas - Publicado por Century 21 Ambassador",https://www.properati.com.pe/detalle/14032-32-2857-fad090d91150-d5274f07-a500-343a</t>
  </si>
  <si>
    <t>Apartamento en alquiler en Ur. Confraternidad,"Ur. Confraternidad, Barranco, Lima, Lima ",USD760,1 dormitorio,1 baÃ±o,45 mÂ²,2017,S/.300,Apartamento,Alquiler,15 mar. 2023 - Publicado por RE/MAX PRO,https://www.properati.com.pe/detalle/14032-32-95e4-74c150b2117e-793b56ff-9d00-46d9</t>
  </si>
  <si>
    <t>Casa en alquiler en Chorrillos,"Chorrillos, Lima, Lima ","USD1,650",3 dormitorios,2 baÃ±os,300 mÂ²,2008,,Casa,Alquiler,Hace 1 semana - Publicado por Inmoba Peru SAC,https://www.properati.com.pe/detalle/14032-32-ca3c-df38bf886abb-8ee7b945-a415-480d</t>
  </si>
  <si>
    <t>Apartamento en alquiler en Ur. La ViÃ±ita,"Ur. La ViÃ±ita, Barranco, Lima, Lima ",USD920,2 dormitorios,2 baÃ±os,55 mÂ²,2019,S/.300,Apartamento,Alquiler,27 nov. 2022 - Publicado por Roxana Elvira Lazarte Alatrista,https://www.properati.com.pe/detalle/14032-32-fd7d-d835fe5437ad-27d8bfe-a2e7-4444</t>
  </si>
  <si>
    <t>Apartamento en alquiler en Hu. Cercado De Miraflores,"Hu. Cercado De Miraflores, Miraflores, Lima, Lima ","USD2,100",3 dormitorios,4 baÃ±os,246 mÂ²,,"S/.1,550",Apartamento,Alquiler,16 feb. 2023 - Publicado por Rafael Reyes Martel,https://www.properati.com.pe/detalle/14032-32-9f24-26f469ea761b-25a290cf-ad7e-4a0d</t>
  </si>
  <si>
    <t>Apartamento en alquiler en Ur. Prolongacion Benavides,"Ur. Prolongacion Benavides, Santiago de Surco, Lima, Lima ","S/.1,400",1 dormitorio,1 baÃ±o,60 mÂ²,2000,S/.50,Apartamento,Alquiler,"Hace 1 semana, 20 horas - Publicado por Danitza Zapata Tomassini",https://www.properati.com.pe/detalle/14032-32-fd22-647bbc82daad-449a5824-bef7-45a5</t>
  </si>
  <si>
    <t>Apartamento en alquiler en Ur. La Calera De La Merced,"Ur. La Calera De La Merced, Surquillo, Lima, Lima ","S/.1,800",2 dormitorios,1 baÃ±o,70 mÂ²,,S/.280,Apartamento,Alquiler,"Hace 5 dÃ­as, 9 horas - Publicado por Agentes Asociados",https://www.properati.com.pe/detalle/14032-32-3f7e-c5d6ab5e3884-f2382ad6-9e80-4c36</t>
  </si>
  <si>
    <t>Apartamento en alquiler en San Isidro,"San Isidro, Lima, Lima ","USD2,800",3 dormitorios,5 baÃ±os,280 mÂ²,2010,"S/.1,300",Apartamento,Alquiler,2 ene. 2023 - Publicado por RocÃ­o Mazzetti,https://www.properati.com.pe/detalle/14032-32-d5fa-45fb7d5f4e4f-756c4a8e-9d89-4be5</t>
  </si>
  <si>
    <t>Apartamento en alquiler en Ur. La Calera De La Merced,"Ur. La Calera De La Merced, Surquillo, Lima, Lima ","S/.1,600",1 dormitorio,1 baÃ±o,65 mÂ²,,S/.280,Apartamento,Alquiler,"Hace 5 dÃ­as, 10 horas - Publicado por Agentes Asociados",https://www.properati.com.pe/detalle/14032-32-a8d6-7b429a332f52-de4dea4e-a638-44f5</t>
  </si>
  <si>
    <t>Apartamento en alquiler en Ur. Residencial Salamanca,"Ur. Residencial Salamanca, Ate, Lima, Lima ","S/.1,800",3 dormitorios,2 baÃ±os,105 mÂ²,2018,,Apartamento,Alquiler,20 mar. 2023 - Publicado por REMAX CENTENARIO,https://www.properati.com.pe/detalle/14032-32-f91-227f95c1a249-f2156d3e-8ba4-461b</t>
  </si>
  <si>
    <t>Casa en alquiler en Ur. Los Portales Del Naranjal,"Ur. Los Portales Del Naranjal, San MartÃ­n de Porres, Lima, Lima ","S/.6,000",12 dormitorios,7 baÃ±os,209 mÂ²,2012,S/.1,Casa,Alquiler,20 mar. 2023 - Publicado por NavegaÂ Inmobiliaria,https://www.properati.com.pe/detalle/14032-32-4d32-cafe545b1eda-f0a325ac-a319-4754</t>
  </si>
  <si>
    <t>Apartamento en alquiler en Ur. San Eugenio,"Ur. San Eugenio, Lince, Lima, Lima ","S/.2,100",1 dormitorio,1 baÃ±o,53 mÂ²,2023,,Apartamento,Alquiler,"Hace 5 dÃ­as, 12 horas - Publicado por RE/MAX POWER EXPO",https://www.properati.com.pe/detalle/14032-32-f610-be4870f99d59-cc626831-9512-459d</t>
  </si>
  <si>
    <t>Apartamento en alquiler en Tacna,"Tacna, Tacna, Tacna ","S/.1,000",3 dormitorios,2 baÃ±os,100 mÂ²,2023,,Apartamento,Alquiler,"Hace 2 semanas, 6 dÃ­as - Publicado por Azienda",https://www.properati.com.pe/detalle/14032-32-87cd-bdfeeead63b6-c8acc672-8fae-3cbb</t>
  </si>
  <si>
    <t>Apartamento en alquiler en Tacna,"Tacna, Tacna, Tacna ","S/.1,100",3 dormitorios,2 baÃ±os,100 mÂ²,2023,,Apartamento,Alquiler,"Hace 2 semanas, 6 dÃ­as - Publicado por Azienda",https://www.properati.com.pe/detalle/14032-32-2869-acff17eb9474-92a55816-9a0f-3848</t>
  </si>
  <si>
    <t>Apartamento en alquiler en Ur. Bartolome Herrera,"Ur. Bartolome Herrera, San Miguel, Lima, Lima ","S/.2,200",2 dormitorios,2 baÃ±os,75 mÂ²,2017,S/.250,Apartamento,Alquiler,28 feb. 2023 - Publicado por JY Inmobiliaria SAC,https://www.properati.com.pe/detalle/14032-32-f81d-6246a72a6bf-1881f5f0-83ab-47cc</t>
  </si>
  <si>
    <t>Apartamento en alquiler en Santiago de Surco,"Santiago de Surco, Lima, Lima ","S/.1,300",1 dormitorio,1 baÃ±o,35 mÂ²,2003,S/.1,Apartamento,Alquiler,20 feb. 2023 - Publicado por Inmobiliaria Casella,https://www.properati.com.pe/detalle/14032-32-7a6-e65427b53c33-63909916-95c5-492d</t>
  </si>
  <si>
    <t>Apartamento en alquiler en Miraflores,"Miraflores, Arequipa, Arequipa ","S/.2,500",4 dormitorios,2 baÃ±os,85 mÂ²,,,Apartamento,Alquiler,12 dic. 2022 - Publicado por SOCIOS INMOBILIARIOS,https://www.properati.com.pe/detalle/14032-32-28f5-800e27a7ca7e-d1e18858-9cdc-42ba</t>
  </si>
  <si>
    <t>Apartamento en alquiler en Ur. Monterrico Norte,"Ur. Monterrico Norte, San Borja, Lima, Lima ","USD1,150",5 dormitorios,3 baÃ±os,232 mÂ²,1998,S/.300,Apartamento,Alquiler,21 feb. 2023 - Publicado por CENTURY 21 AVANZA,https://www.properati.com.pe/detalle/14032-32-bb0-83c8bd20077a-97f9a96-8602-49e4</t>
  </si>
  <si>
    <t>Apartamento en alquiler en La Calera De La Merced,"La Calera De La Merced, Provincia de Lima, Provincia de Lima ","S/.2,250",2 dormitorios,1 baÃ±o,60 mÂ²,2020,S/.250,Apartamento,Alquiler,29 mar. 2022 - Publicado por SOCIOS INMOBILIARIOS,https://www.properati.com.pe/detalle/14032-32-cf40-70836258a541-dd6c931e-adff-46cf</t>
  </si>
  <si>
    <t>Apartamento en alquiler en Miraflores,"Miraflores, Lima, Lima ","USD2,000",3 dormitorios,2 baÃ±os,180 mÂ²,,,Apartamento,Alquiler,3 mar. 2023 - Publicado por SOCIOS INMOBILIARIOS,https://www.properati.com.pe/detalle/14032-32-ba18-1f1b781b8aa7-2bf0c240-b8a0-120d</t>
  </si>
  <si>
    <t>Apartamento en alquiler en Miraflores,"Miraflores, Lima, Lima ","USD1,000",2 dormitorios,3 baÃ±os,90 mÂ²,2011,,Apartamento,Alquiler,24 mar. 2023 - Publicado por Ventas Primeras Bienes Raices,https://www.properati.com.pe/detalle/14032-32-638f-9bf057c7d1ea-a3e93e6b-9dc5-4928</t>
  </si>
  <si>
    <t>Apartamento en alquiler en Provincia de Lima,"Provincia de Lima, Gobierno Regional de Lima ","USD1,100",3 dormitorios,2 baÃ±os,155 mÂ²,,,Apartamento,Alquiler,17 set. 2021 - Publicado por Ventas Primeras Bienes Raices,https://www.properati.com.pe/detalle/14032-32-f6e8-93d18bbfcf6e-57b71e0e-af03-4a71</t>
  </si>
  <si>
    <t>Apartamento en alquiler en Comas,"Comas, Lima, Lima ",S/.940,2 dormitorios,1 baÃ±o,50 mÂ²,2021,,Apartamento,Alquiler,7 feb. 2023 - Publicado por Remax Integrity,https://www.properati.com.pe/detalle/14032-32-8b1a-a8a802700cc0-e402a7aa-8510-49eb</t>
  </si>
  <si>
    <t>Apartamento en alquiler en Carabayllo,"Carabayllo, Lima, Lima ","S/.1,000",2 dormitorios,1 baÃ±o,102 mÂ²,2013,,Apartamento,Alquiler,24 feb. 2023 - Publicado por Remax Integrity,https://www.properati.com.pe/detalle/14032-32-ce59-4f3523acbfcf-88d601b1-ab03-4e81</t>
  </si>
  <si>
    <t>Apartamento en alquiler en Ur. Ciudad De Papel Iii Etapa,"Ur. Ciudad De Papel Iii Etapa, San Miguel, Lima, Lima ","S/.1,500",2 dormitorios,1 baÃ±o,51 mÂ²,2019,,Apartamento,Alquiler,3 mar. 2023 - Publicado por Remax Integrity,https://www.properati.com.pe/detalle/14032-32-70e-d1a27d2483ca-83bae3b7-bf07-40cb</t>
  </si>
  <si>
    <t>Apartamento en alquiler en Ur. Santa Raquel Sector A Zona Este,"Ur. Santa Raquel Sector A Zona Este, La Molina, Lima, Lima ","S/.2,100",2 dormitorios,2 baÃ±os,75 mÂ²,1997,,Apartamento,Alquiler,10 mar. 2023 - Publicado por Remax Integrity,https://www.properati.com.pe/detalle/14032-32-e6b9-7b2c1b43099d-2fbc4440-a453-4b3c</t>
  </si>
  <si>
    <t>Apartamento en alquiler en UrbanizaciÃ³n La Floresta,"UrbanizaciÃ³n La Floresta, Los Olivos, Lima, Lima ","S/.2,100",4 dormitorios,3 baÃ±os,260 mÂ²,2018,,Apartamento,Alquiler,15 mar. 2023 - Publicado por Remax Integrity,https://www.properati.com.pe/detalle/14032-32-d536-2feda0ed05e9-e00776f3-9f00-43d7</t>
  </si>
  <si>
    <t>Apartamento en alquiler en Co. Vipol El Alamo,"Co. Vipol El Alamo, Comas, Lima, Lima ","S/.1,000",3 dormitorios,1 baÃ±o,61 mÂ²,2022,,Apartamento,Alquiler,13 mar. 2023 - Publicado por Remax Integrity,https://www.properati.com.pe/detalle/14032-32-5352-f26a72186595-99024ab6-8b08-4ad7</t>
  </si>
  <si>
    <t>Casa en alquiler en Chorrillos,"Chorrillos, Lima, Lima ","USD1,500",3 dormitorios,2 baÃ±os,300 mÂ²,2008,,Casa,Alquiler,"Hace 2 semanas, 2 dÃ­as - Publicado por Inmoba Peru SAC",https://www.properati.com.pe/detalle/14032-32-e07-bf3271812c72-a2f5fcd2-9a14-4c6e</t>
  </si>
  <si>
    <t>Apartamento en alquiler en Pachacamac,"Pachacamac, Lima, Lima ","S/.1,200",2 dormitorios,1 baÃ±o,60 mÂ²,2018,S/.50,Apartamento,Alquiler,"Hace 6 dÃ­as, 18 horas - Publicado por REMAX LIBERTY",https://www.properati.com.pe/detalle/14032-32-b00-8bdf116291cf-f6fe9a9e-a118-40be</t>
  </si>
  <si>
    <t>Apartamento en alquiler en Ah. Upis Ciudad De Lima,"Ah. Upis Ciudad De Lima, Comas, Lima, Lima ",S/.550,1 dormitorio,1 baÃ±o,40 mÂ²,2019,,Apartamento,Alquiler,19 mar. 2023 - Publicado por Remax Integrity,https://www.properati.com.pe/detalle/14032-32-1f79-a6690fe2f538-4715c793-bd51-4f08</t>
  </si>
  <si>
    <t>Apartamento en alquiler en Ur. Chacarilla Santa Cruz,"Ur. Chacarilla Santa Cruz, San Isidro, Lima, Lima ","USD2,800",3 dormitorios,3 baÃ±os,240 mÂ²,2019,"S/.1,900",Apartamento,Alquiler,"Hace 1 semana, 20 horas - Publicado por BÃ¼ro Propiedades",https://www.properati.com.pe/detalle/14032-32-daf7-a61ccfc9fddd-bbd3af13-a20f-4159</t>
  </si>
  <si>
    <t>Apartamento en alquiler en Ate,"Ate, Lima, Lima ","S/.2,400",4 dormitorios,3 baÃ±os,130 mÂ²,2018,,Apartamento,Alquiler,24 mar. 2023 - Publicado por Astupropiedad,https://www.properati.com.pe/detalle/14032-32-3187-2f45d67fa70d-cd9c3e1-b299-44eb</t>
  </si>
  <si>
    <t>Apartamento en alquiler en Ur. Chacarilla Del Estanque,"Ur. Chacarilla Del Estanque, San Borja, Lima, Lima ","USD1,500",3 dormitorios,3 baÃ±os,140 mÂ²,2014,,Apartamento,Alquiler,20 mar. 2023 - Publicado por Remax Integrity,https://www.properati.com.pe/detalle/14032-32-290f-6b616d72b45f-c144a006-be81-4440</t>
  </si>
  <si>
    <t>Casa en alquiler en Ur. Tungasuca,"Ur. Tungasuca, Carabayllo, Lima, Lima ","S/.4,000",7 dormitorios,2 baÃ±os,212 mÂ²,1999,,Casa,Alquiler,21 mar. 2023 - Publicado por Remax Integrity,https://www.properati.com.pe/detalle/14032-32-49a-7679ea5ac1b2-ccb0f80c-ab8e-4842</t>
  </si>
  <si>
    <t>Apartamento en alquiler en Ur. San Felipe,"Ur. San Felipe, JesÃºs MarÃ­a, Lima, Lima ","S/.3,000",3 dormitorios,2 baÃ±os,78 mÂ²,2022,S/.250,Apartamento,Alquiler,28 mar. 2023 - Publicado por RE/MAX Principal pe,https://www.properati.com.pe/detalle/14032-32-41bf-8de70edff6ef-3aa320d8-8807-4d16</t>
  </si>
  <si>
    <t>Apartamento en alquiler en Ur. Santa Cruz,"Ur. Santa Cruz, Miraflores, Lima, Lima ","USD1,300",3 dormitorios,3 baÃ±os,130 mÂ²,2020,S/.450,Apartamento,Alquiler,27 ene. 2023 - Publicado por Remax Fusion,https://www.properati.com.pe/detalle/14032-32-7494-2cf5d25bb12a-b01b9fe7-aad6-4468</t>
  </si>
  <si>
    <t>HabitaciÃ³n en alquiler en Ur. Pando V Etapa,"Ur. Pando V Etapa, San Miguel, Lima, Lima ",S/.800,1 dormitorio,1 baÃ±o,20 mÂ²,2023,,HabitaciÃ³n,Alquiler,24 mar. 2023 - Publicado por Remax Integrity,https://www.properati.com.pe/detalle/14032-32-c4a3-f0cc8376ba2a-93d1bf47-a875-41dd</t>
  </si>
  <si>
    <t>HabitaciÃ³n en alquiler en Ur. Pando V Etapa,"Ur. Pando V Etapa, San Miguel, Lima, Lima ",S/.500,1 dormitorio,1 baÃ±o,8 mÂ²,2023,,HabitaciÃ³n,Alquiler,24 mar. 2023 - Publicado por Remax Integrity,https://www.properati.com.pe/detalle/14032-32-f4c1-d3fec18c18c6-8612b3a9-b846-465c</t>
  </si>
  <si>
    <t>HabitaciÃ³n en alquiler en Ur. Pando V Etapa,"Ur. Pando V Etapa, San Miguel, Lima, Lima ",S/.600,1 dormitorio,1 baÃ±o,18 mÂ²,2023,,HabitaciÃ³n,Alquiler,24 mar. 2023 - Publicado por Remax Integrity,https://www.properati.com.pe/detalle/14032-32-d9d8-9a88ea2c512b-e09d9e81-a58f-48a2</t>
  </si>
  <si>
    <t>Apartamento en alquiler en Ur. La Planicie,"Ur. La Planicie, Punta Hermosa, Lima, Lima ","USD1,050",4 dormitorios,3 baÃ±os,124 mÂ²,2013,,Apartamento,Alquiler,"Hace 3 semanas, 1 hora - Publicado por Remax Integrity",https://www.properati.com.pe/detalle/14032-32-6156-5459dc0f56bf-15ca7353-b85a-4894</t>
  </si>
  <si>
    <t>Apartamento en alquiler en Co. El Pacifico,"Co. El Pacifico, San MartÃ­n de Porres, Lima, Lima ","S/.1,000",3 dormitorios,2 baÃ±os,60 mÂ²,2019,,Apartamento,Alquiler,"Hace 3 semanas, 1 hora - Publicado por Remax Integrity",https://www.properati.com.pe/detalle/14032-32-dffe-9baff6b3dae1-5258bc6-bc63-4816</t>
  </si>
  <si>
    <t>HabitaciÃ³n en alquiler en Ur. Pando V Etapa,"Ur. Pando V Etapa, San Miguel, Lima, Lima ",S/.550,1 dormitorio,1 baÃ±o,15 mÂ²,2023,,HabitaciÃ³n,Alquiler,"Hace 3 semanas, 1 hora - Publicado por Remax Integrity",https://www.properati.com.pe/detalle/14032-32-ce2-68463b3b3849-3026fc79-b49f-4bd2</t>
  </si>
  <si>
    <t>Apartamento en alquiler en Sd. S/N,"Sd. S/N, Puente Piedra, Lima, Lima ",S/.700,3 dormitorios,1 baÃ±o,58 mÂ²,2021,,Apartamento,Alquiler,"Hace 2 semanas, 4 dÃ­as - Publicado por Remax Integrity",https://www.properati.com.pe/detalle/14032-32-977f-7a4ada1c9871-93d946dc-bce0-4a27</t>
  </si>
  <si>
    <t>HabitaciÃ³n en alquiler en Ur. Pando V Etapa,"Ur. Pando V Etapa, San Miguel, Lima, Lima ",S/.800,1 dormitorio,1 baÃ±o,24 mÂ²,2023,,HabitaciÃ³n,Alquiler,"Hace 3 semanas, 1 hora - Publicado por Remax Integrity",https://www.properati.com.pe/detalle/14032-32-2b9e-2ac0bbb905a0-6873cf5d-bde9-45f3</t>
  </si>
  <si>
    <t>Apartamento en alquiler en Carabayllo,"Carabayllo, Lima, Lima ",S/.750,3 dormitorios,2 baÃ±os,70 mÂ²,2022,,Apartamento,Alquiler,"Hace 2 semanas, 4 dÃ­as - Publicado por Remax Integrity",https://www.properati.com.pe/detalle/14032-32-cc9-a45707ecf165-607af432-8794-4191</t>
  </si>
  <si>
    <t>Apartamento en alquiler en Carabayllo,"Carabayllo, Lima, Lima ",S/.600,2 dormitorios,1 baÃ±o,65 mÂ²,2022,,Apartamento,Alquiler,"Hace 2 semanas, 4 dÃ­as - Publicado por Remax Integrity",https://www.properati.com.pe/detalle/14032-32-7323-7128994db1bf-bf56fdef-8afa-4dfb</t>
  </si>
  <si>
    <t>Casa en alquiler en Ur. Risso,"Ur. Risso, Lince, Lima, Lima ","USD3,500",8 dormitorios,4 baÃ±os,350 mÂ²,1965,,Casa,Alquiler,"Hace 2 semanas, 1 dÃ­a - Publicado por Remax Integrity",https://www.properati.com.pe/detalle/14032-32-bdc2-b1a21ca9c90c-bed2c5a6-ac0c-417e</t>
  </si>
  <si>
    <t>Apartamento en alquiler en Ur. La Alborada Ii Etapa,"Ur. La Alborada Ii Etapa, Comas, Lima, Lima ",S/.800,3 dormitorios,1 baÃ±o,60 mÂ²,2008,,Apartamento,Alquiler,"Hace 2 semanas, 16 horas - Publicado por Remax Integrity",https://www.properati.com.pe/detalle/14032-32-bcfa-10c33d2eac9e-8e755e25-97f1-490c</t>
  </si>
  <si>
    <t>Apartamento en alquiler en Ur. Ingenieria,"Ur. Ingenieria, San MartÃ­n de Porres, Lima, Lima ",S/.880,3 dormitorios,2 baÃ±os,40 mÂ²,2013,,Apartamento,Alquiler,"Hace 1 semana, 1 dÃ­a - Publicado por Remax Integrity",https://www.properati.com.pe/detalle/14032-32-2544-cb5dc039adc3-fdf2bdae-a917-4326</t>
  </si>
  <si>
    <t>Apartamento en alquiler en Ur. Prolongacion Benavides,"Ur. Prolongacion Benavides, Santiago de Surco, Lima, Lima ","S/.2,000",3 dormitorios,2 baÃ±os,75 mÂ²,2008,,Apartamento,Alquiler,"Hace 1 semana, 1 dÃ­a - Publicado por Remax Integrity",https://www.properati.com.pe/detalle/14032-32-effb-668b90a486c6-1088c5eb-8c03-4afe</t>
  </si>
  <si>
    <t>Casa en alquiler en Ur. Jacaranda,"Ur. Jacaranda, San Borja, Lima, Lima ","USD1,800",3 dormitorios,3 baÃ±os,250 mÂ²,1972,,Casa,Alquiler,"Hace 1 semana, 20 horas - Publicado por Remax Integrity",https://www.properati.com.pe/detalle/14032-32-80ac-4eb48396460d-83674852-92aa-425a</t>
  </si>
  <si>
    <t>Casa en alquiler en Piura,"Piura, Piura, Piura ","S/.2,500",4 dormitorios,2 baÃ±os,180 mÂ²,,,Casa,Alquiler,21 nov. 2022 - Publicado por RE/MAX PERÃš,https://www.properati.com.pe/detalle/14032-32-7e7-d60fed9f8477-b570df13-8e99-4e9b</t>
  </si>
  <si>
    <t>Apartamento en alquiler en Hu. Cercado De Miraflores,"Hu. Cercado De Miraflores, Miraflores, Lima, Lima ","USD1,000",3 dormitorios,2 baÃ±os,125 mÂ²,1998,S/.470,Apartamento,Alquiler,"Hace 1 semana, 20 horas - Publicado por VerÃ³nica Arosemena",https://www.properati.com.pe/detalle/14032-32-c59e-6af57e34eca1-18053513-8ad0-4d02</t>
  </si>
  <si>
    <t>Apartamento en alquiler en Ur. Balta,"Ur. Balta, Miraflores, Lima, Lima ","S/.2,200",1 dormitorio,1 baÃ±o,55 mÂ²,2008,S/.180,Apartamento,Alquiler,"Hace 2 semanas, 4 dÃ­as - Publicado por Central Propiedades",https://www.properati.com.pe/detalle/14032-32-85a7-b3c861d3a2b7-927fe6c4-bf75-4f73</t>
  </si>
  <si>
    <t>Apartamento en alquiler en Ur. San Isidro,"Ur. San Isidro, San Isidro, Lima, Lima ","USD1,500",2 dormitorios,3 baÃ±os,183 mÂ²,,S/.477,Apartamento,Alquiler,4 mar. 2023 - Publicado por RE/MAX POWER EXPO,https://www.properati.com.pe/detalle/14032-32-eaa9-823454b5b116-af290f4c-bd52-417a</t>
  </si>
  <si>
    <t>Casa en alquiler en Sachaca,"Sachaca, Arequipa, Arequipa ","S/.3,500",3 dormitorios,4 baÃ±os,800 mÂ²,,,Casa,Alquiler,25 nov. 2022 - Publicado por Casafacil-Aqp,https://www.properati.com.pe/detalle/14032-32-6ce4-77955d857a53-b473c850-a9e9-120d</t>
  </si>
  <si>
    <t>Casa en alquiler en Ur. Valle Hermoso Este,"Ur. Valle Hermoso Este, Santiago de Surco, Lima, Lima ","USD1,900",4 dormitorios,3 baÃ±os,280 mÂ²,1993,,Casa,Alquiler,"Hace 2 semanas, 4 dÃ­as - Publicado por SPACIO GRUPO INMOBILIARIO S.A.C",https://www.properati.com.pe/detalle/14032-32-646a-7cf8e73d21d3-87a59781-af76-4e28</t>
  </si>
  <si>
    <t>Apartamento en alquiler en Ur. Balta,"Ur. Balta, Miraflores, Lima, Lima ",USD690,2 dormitorios,2 baÃ±os,60 mÂ²,2010,S/.250,Apartamento,Alquiler,15 mar. 2023 - Publicado por MARIA DEL ROSARIO - BIENES RAICES,https://www.properati.com.pe/detalle/14032-32-ba40-e43e7527e994-decba1fd-9a35-456b</t>
  </si>
  <si>
    <t>Apartamento en alquiler en Ur. Balta,"Ur. Balta, Miraflores, Lima, Lima ","USD1,000",3 dormitorios,4 baÃ±os,120 mÂ²,2017,S/.600,Apartamento,Alquiler,7 mar. 2023 - Publicado por RE/MAX Principal pe,https://www.properati.com.pe/detalle/14032-32-1abc-d574af44a7b-471bcff5-ae70-4ef2</t>
  </si>
  <si>
    <t>Apartamento en alquiler en Ur. Balta,"Ur. Balta, Miraflores, Lima, Lima ","USD1,000",3 dormitorios,4 baÃ±os,120 mÂ²,2017,S/.600,Apartamento,Alquiler,"Hace 2 semanas, 4 dÃ­as - Publicado por RE/MAX Principal pe",https://www.properati.com.pe/detalle/14032-32-5f34-2cb9cb9de99-94233060-b7d5-4099</t>
  </si>
  <si>
    <t>Apartamento en alquiler en Ur. Balta,"Ur. Balta, Miraflores, Lima, Lima ","USD1,000",3 dormitorios,4 baÃ±os,120 mÂ²,2017,,Apartamento,Alquiler,"Hace 2 semanas, 1 dÃ­a - Publicado por RE/MAX Principal pe",https://www.properati.com.pe/detalle/14032-32-dc8e-bd09dfbec13e-9117ab38-b075-46cd</t>
  </si>
  <si>
    <t>Apartamento en alquiler en Castilla,"Castilla, Piura, Piura ","USD1,500",2 dormitorios,2 baÃ±os,,,,Apartamento,Alquiler,"Hace 5 dÃ­as, 22 horas - Publicado por EXITO INMOBLIARIA",https://www.properati.com.pe/detalle/14032-32-6346-5b53f40b01d0-ee01da39-84a9-4249</t>
  </si>
  <si>
    <t>Apartamento en alquiler en Punta Negra,"Punta Negra, Lima, Lima ","S/.1,450",2 dormitorios,2 baÃ±os,46 mÂ²,2023,S/.260,Apartamento,Alquiler,17 feb. 2023 - Publicado por LIMA CORRETAJE S.A.C,https://www.properati.com.pe/detalle/14032-32-5d84-d91f4423ebfc-a989bf0f-9fd2-4253</t>
  </si>
  <si>
    <t>Apartamento en alquiler en Ur. Santa Ines,"Ur. Santa Ines, San Isidro, Lima, Lima ","USD1,500",3 dormitorios,3 baÃ±os,175 mÂ²,2014,S/.650,Apartamento,Alquiler,"Hace 2 semanas, 3 dÃ­as - Publicado por JORGE ERNESTO SALAS GONZALES",https://www.properati.com.pe/detalle/14032-32-b545-bde684e638e9-6c4ce74a-a458-4739</t>
  </si>
  <si>
    <t>Apartamento en alquiler en Ur. San Cesar Etapa I,"Ur. San Cesar Etapa I, La Molina, Lima, Lima ","USD1,200",2 dormitorios,3 baÃ±os,124 mÂ²,,,Apartamento,Alquiler,"Hace 6 dÃ­as, 21 horas - Publicado por Dominio Inmobiliaria",https://www.properati.com.pe/detalle/14032-32-2be3-e5d8b3e62770-4f45264-b50c-4b0d</t>
  </si>
  <si>
    <t>Apartamento en alquiler en Ur. Orrantia Del Mar,"Ur. Orrantia Del Mar, San Isidro, Lima, Lima ","S/.1,700",1 dormitorio,1 baÃ±o,40 mÂ²,,,Apartamento,Alquiler,"Hace 2 semanas, 5 dÃ­as - Publicado por GG BIENES RAICES",https://www.properati.com.pe/detalle/14032-32-8a7c-1c11ba48cc18-81dd7f90-89f5-44fe</t>
  </si>
  <si>
    <t>Casa de playa en alquiler en Hu. Rivera Norte,"Hu. Rivera Norte, San Bartolo, Lima, Lima ","USD5,500",7 dormitorios,5 baÃ±os,200 mÂ²,2003,,Casa de playa,Alquiler,28 feb. 2023 - Publicado por LIMA CORRETAJE S.A.C,https://www.properati.com.pe/detalle/14032-32-8b71-27fc0d1436f-51e09056-8231-455d</t>
  </si>
  <si>
    <t>Apartamento en alquiler en Ur. Maranga Etapa Iv,"Ur. Maranga Etapa Iv, San Miguel, Lima, Lima ","S/.1,600",2 dormitorios,1 baÃ±o,90 mÂ²,2020,S/.100,Apartamento,Alquiler,"Hace 6 dÃ­as, 7 horas - Publicado por Silvia Lara - REALTY",https://www.properati.com.pe/detalle/14032-32-fec7-9bcda504b860-944b4897-bcae-5003</t>
  </si>
  <si>
    <t>Apartamento en alquiler en Chiclayo,"Chiclayo, Chiclayo, Lambayeque ","S/.1,750",2 dormitorios,1 baÃ±o,88 mÂ²,88 mÂ²,,Apartamento,Alquiler,17 mar. 2023 - Publicado por Lula Botey Inmobiliaria,https://www.properati.com.pe/detalle/14032-32-f75a-a1719ce14060-2441077e-a93a-381d</t>
  </si>
  <si>
    <t>Apartamento en alquiler en Ah. Totorita,"Ah. Totorita, Rimac, Lima, Lima ","S/.1,100",2 dormitorios,1 baÃ±o,51 mÂ²,2022,S/.100,Apartamento,Alquiler,28 dic. 2022 - Publicado por RE/MAX POWER EXPO,https://www.properati.com.pe/detalle/14032-32-50b6-4e78439653be-f09d925c-af70-4691</t>
  </si>
  <si>
    <t>Apartamento en alquiler en Rimac,"Rimac, Lima, Lima ","S/.1,500",2 dormitorios,2 baÃ±os,65 mÂ²,2022,S/.145,Apartamento,Alquiler,"Hace 1 semana, 1 dÃ­a - Publicado por RE/MAX POWER EXPO",https://www.properati.com.pe/detalle/14032-32-fb76-a9840a852a2a-d1910a47-b5b1-49b1</t>
  </si>
  <si>
    <t>Apartamento en alquiler en Ur. El Derby,"Ur. El Derby, Santiago de Surco, Lima, Lima ",USD750,2 dormitorios,2 baÃ±os,70 mÂ²,2023,S/.250,Apartamento,Alquiler,"Hace 6 dÃ­as, 16 horas - Publicado por Corretajes Inmobiliarios Matessa SAC",https://www.properati.com.pe/detalle/14032-32-b0df-4e5bf22aefba-328c3f30-a1bc-4482</t>
  </si>
  <si>
    <t>Casa en alquiler en Ur. San Joaquin,"Ur. San Joaquin, Bellavista, Callao, Callao ","S/.6,800",4 dormitorios,4 baÃ±os,500 mÂ²,,,Casa,Alquiler,20 mar. 2023 - Publicado por DCITY Inmobiliaria   -  Denisse Soto &amp; Asociados,https://www.properati.com.pe/detalle/14032-32-9913-ebc519e8200c-42b07e14-b5a0-4855</t>
  </si>
  <si>
    <t>Apartamento en alquiler en Ur. El Derby,"Ur. El Derby, Santiago de Surco, Lima, Lima ",USD750,2 dormitorios,2 baÃ±os,70 mÂ²,2023,S/.250,Apartamento,Alquiler,"Hace 6 dÃ­as, 19 horas - Publicado por Corretajes Inmobiliarios Matessa SAC",https://www.properati.com.pe/detalle/14032-32-2732-1baec3acc30a-4a16d6cb-a582-4075</t>
  </si>
  <si>
    <t>Apartamento en alquiler en Ur. Orrantia Del Mar,"Ur. Orrantia Del Mar, San Isidro, Lima, Lima ",USD950,3 dormitorios,2 baÃ±os,100 mÂ²,2006,S/.400,Apartamento,Alquiler,26 ene. 2023 - Publicado por Inmobiliaria Casella,https://www.properati.com.pe/detalle/14032-32-5e28-996bb85253b2-886857fc-8eac-4d5c</t>
  </si>
  <si>
    <t>Apartamento en alquiler en La Victoria,"La Victoria, Lima, Lima ","S/.2,400",2 dormitorios,2 baÃ±os,60 mÂ²,2023,,Apartamento,Alquiler,"Hace 1 semana, 1 dÃ­a - Publicado por Avanza Gestion Inmobiliaria E.I.R.L.",https://www.properati.com.pe/detalle/14032-32-6931-53ad62bdd577-a65639bd-bd32-3c00</t>
  </si>
  <si>
    <t>Apartamento en alquiler en La Victoria,"La Victoria, Lima, Lima ","S/.1,700",1 dormitorio,1 baÃ±o,36 mÂ²,2023,,Apartamento,Alquiler,"Hace 1 semana, 1 dÃ­a - Publicado por Avanza Gestion Inmobiliaria E.I.R.L.",https://www.properati.com.pe/detalle/14032-32-c05b-ea14df1cbf88-fa28c150-a74f-3b1c</t>
  </si>
  <si>
    <t>Apartamento en alquiler en Hu. Cercado De Miraflores,"Hu. Cercado De Miraflores, Miraflores, Lima, Lima ","S/.3,213",2 dormitorios,3 baÃ±os,125 mÂ²,1990,,Apartamento,Alquiler,"Hace 2 semanas, 4 dÃ­as - Publicado por Cesar MuÃ±oz",https://www.properati.com.pe/detalle/14032-32-662b-cc5836dea45b-43710f55-b421-3aa3</t>
  </si>
  <si>
    <t>Apartamento en alquiler en Cerro Colorado,"Cerro Colorado, Arequipa, Arequipa ","S/.1,900",3 dormitorios,4 baÃ±os,108 mÂ²,2022,,Apartamento,Alquiler,"Hace 2 semanas, 12 horas - Publicado por Avanza Gestion Inmobiliaria E.I.R.L.",https://www.properati.com.pe/detalle/14032-32-83dc-3eff7823112-b283b2eb-b102-3838</t>
  </si>
  <si>
    <t>Apartamento en alquiler en Ur. Oyague,"Ur. Oyague, Pueblo Libre, Lima, Lima ","S/.2,300",2 dormitorios,2 baÃ±os,70 mÂ²,2020,,Apartamento,Alquiler,22 mar. 2023 - Publicado por Cesar MuÃ±oz,https://www.properati.com.pe/detalle/14032-32-c90c-655c1dbb7f80-b7bb4464-8f82-3e82</t>
  </si>
  <si>
    <t>Apartamento en alquiler en Ur. Limatambo,"Ur. Limatambo, San Isidro, Lima, Lima ","S/.3,400",2 dormitorios,2 baÃ±os,86 mÂ²,2018,,Apartamento,Alquiler,2 feb. 2023 - Publicado por OLIVAR REAL ESTATE,https://www.properati.com.pe/detalle/14032-32-3f2b-e6bcc73bc11b-333b93b-bddb-3f78</t>
  </si>
  <si>
    <t>Apartamento en alquiler en Ur. Los Recaudadores,"Ur. Los Recaudadores, Ate, Lima, Lima ","S/.2,200",3 dormitorios,2 baÃ±os,85 mÂ²,2000,S/.150,Apartamento,Alquiler,23 mar. 2023 - Publicado por Javier SÃ¡nchez Agente Inmobiliario,https://www.properati.com.pe/detalle/14032-32-1cbe-bc6010987191-2cfde5d3-83da-4d65</t>
  </si>
  <si>
    <t>Apartamento en alquiler en Sd. S/N,"Sd. S/N, Magdalena del Mar, Lima, Lima ",USD990,3 dormitorios,3 baÃ±os,106 mÂ²,2022,S/.470,Apartamento,Alquiler,1 mar. 2023 - Publicado por Javier SÃ¡nchez Agente Inmobiliario,https://www.properati.com.pe/detalle/14032-32-6e07-f27f9f70a6ed-1eb11940-926c-40a6</t>
  </si>
  <si>
    <t>Apartamento en alquiler en Santa Cruz,"Santa Cruz, Urb Jose Balta, Provincia de Lima, Provincia de Lima ",USD750,3 dormitorios,2 baÃ±os,80 mÂ²,2012,S/.290,Apartamento,Alquiler,14 set. 2022 - Publicado por Corretajes Inmobiliarios Matessa SAC,https://www.properati.com.pe/detalle/14032-32-3291-5153393fa53c-87c1d546-badf-43d6</t>
  </si>
  <si>
    <t>Apartamento en alquiler en Ur. Maranga Etapa Iii,"Ur. Maranga Etapa Iii, San Miguel, Lima, Lima ","S/.1,400",2 dormitorios,1 baÃ±o,70 mÂ²,2013,S/.1,Apartamento,Alquiler,23 mar. 2023 - Publicado por Cynsi,https://www.properati.com.pe/detalle/14032-32-7b7d-dad5ccf57619-761be31b-bc96-501e</t>
  </si>
  <si>
    <t>Apartamento en alquiler en Ur. Santa Cruz,"Ur. Santa Cruz, Miraflores, Lima, Lima ","USD1,100",1 dormitorio,1 baÃ±o,120 mÂ²,2018,,Apartamento,Alquiler,"Hace 6 dÃ­as, 15 horas - Publicado por SOCIOS INMOBILIARIOS",https://www.properati.com.pe/detalle/14032-32-94e4-7400017644e-fc22b402-9a0f-45d8</t>
  </si>
  <si>
    <t>Casa en alquiler en Santa Cruz de Flores,"Santa Cruz de Flores, CaÃ±ete, Lima ","S/.3,000",4 dormitorios,5 baÃ±os,"1,400 mÂ²",2020,S/.400,Casa,Alquiler,"Hace 6 dÃ­as, 17 horas - Publicado por CARLA EMPERATRIZ NEIRA SILVA",https://www.properati.com.pe/detalle/14032-32-d998-c7bcf6ab6cda-ea662900-b0f7-120d</t>
  </si>
  <si>
    <t>Apartamento en alquiler en Ur. Santa Cruz,"Ur. Santa Cruz, Miraflores, Lima, Lima ","USD1,450",2 dormitorios,3 baÃ±os,121 mÂ²,,S/.420,Apartamento,Alquiler,"Hace 6 dÃ­as, 20 horas - Publicado por Fiorella Saldarriaga",https://www.properati.com.pe/detalle/14032-32-13bc-c9853a53d7e2-d25f18e2-88e3-459f</t>
  </si>
  <si>
    <t>Apartamento en alquiler en Ur. El Derby,"Ur. El Derby, Santiago de Surco, Lima, Lima ",USD700,1 dormitorio,2 baÃ±os,45 mÂ²,2023,S/.250,Apartamento,Alquiler,"Hace 6 dÃ­as, 17 horas - Publicado por IMMOBILIARE",https://www.properati.com.pe/detalle/14032-32-6962-21062d9166b3-8e1616a-8086-4dfa</t>
  </si>
  <si>
    <t>Apartamento en alquiler en Ur. San Eduardo,"Ur. San Eduardo, Chiclayo, Chiclayo, Lambayeque ","S/.1,750",2 dormitorios,1 baÃ±o,88 mÂ²,,,Apartamento,Alquiler,16 mar. 2023 - Publicado por Lula Botey Inmobiliaria,https://www.properati.com.pe/detalle/14032-32-9047-c5efd336f427-dd2ccab1-8420-4620</t>
  </si>
  <si>
    <t>Apartamento en alquiler en Ur. S/N,"Ur. S/N, Lince, Lima, Lima ","S/.1,800",2 dormitorios,1 baÃ±o,65 mÂ²,2020,S/.1,Apartamento,Alquiler,"Hace 2 semanas, 6 dÃ­as - Publicado por Piero Ã±opo EchevarrÃ­a",https://www.properati.com.pe/detalle/14032-32-551b-37dc49682ef8-778e8f6c-aace-4125</t>
  </si>
  <si>
    <t>Apartamento en alquiler en Ur. El Derby,"Ur. El Derby, Santiago de Surco, Lima, Lima ","S/.3,300",2 dormitorios,2 baÃ±os,60 mÂ²,2023,S/.300,Apartamento,Alquiler,"Hace 6 dÃ­as, 17 horas - Publicado por IMMOBILIARE",https://www.properati.com.pe/detalle/14032-32-fb6d-6bed5cfd8b41-643a90cd-b846-4cf9</t>
  </si>
  <si>
    <t>Apartamento en alquiler en San Felipe,"San Felipe, Provincia de Lima, Provincia de Lima ","USD1,000",2 dormitorios,3 baÃ±os,126 mÂ²,2016,S/.300,Apartamento,Alquiler,26 dic. 2021 - Publicado por Fiorella Saldarriaga,https://www.properati.com.pe/detalle/14032-32-63fa-d75a9032dfc7-a172e92c-aaf7-4bf0</t>
  </si>
  <si>
    <t>Apartamento en alquiler en Ur. S/N,"Ur. S/N, Lince, Lima, Lima ","S/.1,900",2 dormitorios,1 baÃ±o,65 mÂ²,2020,S/.1,Apartamento,Alquiler,"Hace 2 semanas, 6 dÃ­as - Publicado por Piero Ã±opo EchevarrÃ­a",https://www.properati.com.pe/detalle/14032-32-6042-bc6cca06fe11-593f02bc-9a61-4aaa</t>
  </si>
  <si>
    <t>Apartamento en alquiler en Ur. San Borja,"Ur. San Borja, San Borja, Lima, Lima ",USD650,2 dormitorios,2 baÃ±os,60 mÂ²,,S/.250,Apartamento,Alquiler,16 mar. 2023 - Publicado por Lien Hub Inmobiliario,https://www.properati.com.pe/detalle/14032-32-878b-543a5f2e66a8-e680c195-9e6d-4d2e</t>
  </si>
  <si>
    <t>Casa en alquiler en Ur. Primavera,"Ur. Primavera, Magdalena del Mar, Lima, Lima ","USD1,200",4 dormitorios,2 baÃ±os,80 mÂ²,1963,S/.1,Casa,Alquiler,"Hace 2 semanas, 5 dÃ­as - Publicado por RE/MAX Principal pe",https://www.properati.com.pe/detalle/14032-32-e988-671b51ad0d05-9a46bf51-869a-43ec</t>
  </si>
  <si>
    <t>Apartamento en alquiler en Ur. San Isidro,"Ur. San Isidro, San Isidro, Lima, Lima ","USD1,150",2 dormitorios,2 baÃ±os,130 mÂ²,,S/.750,Apartamento,Alquiler,"Hace 6 dÃ­as, 21 horas - Publicado por Fiorella Saldarriaga",https://www.properati.com.pe/detalle/14032-32-e8aa-767e44a2b490-46e93fcf-8ac2-40a5</t>
  </si>
  <si>
    <t>Apartamento en alquiler en Sector 3,"Sector 3, Provincia de Lima, Provincia de Lima ","USD1,300",3 dormitorios,2 baÃ±os,160 mÂ²,2015,S/.760,Apartamento,Alquiler,20 abr. 2022 - Publicado por Lucy Mier y Teran,https://www.properati.com.pe/detalle/14032-32-962d-5e2b343e7355-c47abfb6-8d82-48f2</t>
  </si>
  <si>
    <t>Casa en alquiler en Ur. San Luis,"Ur. San Luis, Chiclayo, Chiclayo, Lambayeque ","S/.1,300",3 dormitorios,4 baÃ±os,96 mÂ²,,,Casa,Alquiler,17 mar. 2023 - Publicado por Chiclayo Inmobiliaria,https://www.properati.com.pe/detalle/14032-32-be4a-8e9ce15f55ee-7badcef9-aa13-5012</t>
  </si>
  <si>
    <t>Apartamento en alquiler en Ag. La Paz,"Ag. La Paz, San Miguel, Lima, Lima ","S/.1,750",3 dormitorios,2 baÃ±os,80 mÂ²,2014,S/.235,Apartamento,Alquiler,23 ene. 2023 - Publicado por Silvia Lara - REALTY,https://www.properati.com.pe/detalle/14032-32-9b78-4d8496242ca6-238a58f0-91c6-120d</t>
  </si>
  <si>
    <t>Apartamento en alquiler en Ur. Santa Felicia,"Ur. Santa Felicia, La Molina, Lima, Lima ",USD480,1 dormitorio,1 baÃ±o,45 mÂ²,2010,S/.270,Apartamento,Alquiler,24 feb. 2023 - Publicado por Marcia Rodriguez,https://www.properati.com.pe/detalle/14032-32-efa4-529b60903d51-866e4439-89b1-47e1</t>
  </si>
  <si>
    <t>Apartamento en alquiler en Ur. Country Club,"Ur. Country Club, San Isidro, Lima, Lima ",USD800,2 dormitorios,2 baÃ±os,120 mÂ²,2008,S/.350,Apartamento,Alquiler,"Hace 6 dÃ­as, 23 horas - Publicado por MENDIETA INMOBILIARIA",https://www.properati.com.pe/detalle/14032-32-26e2-9685fe1d507-50c99715-8f45-4a3a</t>
  </si>
  <si>
    <t>Apartamento en alquiler en Ur. Country Club,"Ur. Country Club, San Isidro, Lima, Lima ","USD1,700",3 dormitorios,3 baÃ±os,160 mÂ²,2014,S/.850,Apartamento,Alquiler,22 mar. 2023 - Publicado por RocÃ­o Mazzetti,https://www.properati.com.pe/detalle/14032-32-4e2c-857814eee6df-7636074d-a6c9-4c25</t>
  </si>
  <si>
    <t>Apartamento en alquiler en Ur. Orrantia,"Ur. Orrantia, San Isidro, Lima, Lima ",USD550,1 dormitorio,1 baÃ±o,46 mÂ²,2012,S/.180,Apartamento,Alquiler,28 feb. 2023 - Publicado por MENDIETA INMOBILIARIA,https://www.properati.com.pe/detalle/14032-32-270c-6dc4531ddd70-9a3f5ddd-9c03-4911</t>
  </si>
  <si>
    <t>Apartamento en alquiler en Ur. America,"Ur. America, Miraflores, Lima, Lima ",USD900,2 dormitorios,2 baÃ±os,100 mÂ²,2012,S/.690,Apartamento,Alquiler,"Hace 1 semana, 18 horas - Publicado por SOCIOS INMOBILIARIOS",https://www.properati.com.pe/detalle/14032-32-d8c9-2d992ccedc6d-5b23d140-9325-120d</t>
  </si>
  <si>
    <t>Casa en alquiler en Miraflores,"Miraflores, Lima, Lima ","S/.3,900",5 dormitorios,3 baÃ±os,500 mÂ²,,,Casa,Alquiler,17 mar. 2023 - Publicado por RealWasi Inmobiliaria,https://www.properati.com.pe/detalle/14032-32-c51f-a36b6aa39cd0-71b734f0-8268-120d</t>
  </si>
  <si>
    <t>Apartamento en alquiler en Ur. Chacarilla Del Estanque,"Ur. Chacarilla Del Estanque, San Borja, Lima, Lima ","USD1,450",3 dormitorios,2 baÃ±os,192 mÂ²,2013,S/.850,Apartamento,Alquiler,22 feb. 2023 - Publicado por Global Ceo Net Inmobiliaria,https://www.properati.com.pe/detalle/14032-32-cff4-f8a8bcb1496-eaa27506-997f-4779</t>
  </si>
  <si>
    <t>Apartamento en alquiler en Chiclayo,"Chiclayo, Lambayeque ","S/.2,000",3 dormitorios,3 baÃ±os,110 mÂ²,55 mÂ²,,Apartamento,Alquiler,15 jun. 2022 - Publicado por Lula Botey Inmobiliaria,https://www.properati.com.pe/detalle/14032-32-fe80-f0c3206fa54b-7fe53dd1-a1da-32ac</t>
  </si>
  <si>
    <t>Apartamento en alquiler en Ur. America,"Ur. America, Miraflores, Lima, Lima ","S/.2,000",1 dormitorio,1 baÃ±o,52 mÂ²,1971,S/.220,Apartamento,Alquiler,"Hace 1 semana, 1 dÃ­a - Publicado por RE/MAX Lider-Luis Lancho Navas",https://www.properati.com.pe/detalle/14032-32-d876-956870f986d-749b1140-b7c6-120d</t>
  </si>
  <si>
    <t>Casa en alquiler en Ica,"Ica, Ica, Ica ","S/.1,499",3 dormitorios,2 baÃ±os,97 mÂ²,2018,,Casa,Alquiler,24 feb. 2023 - Publicado por Ocsor Real Estate,https://www.properati.com.pe/detalle/14032-32-123-2eff1fce7dcf-1afde88a-bd0b-48b2</t>
  </si>
  <si>
    <t>Apartamento en alquiler en Surquillo,"Surquillo, Lima, Lima ","S/.1,900",2 dormitorios,1 baÃ±o,62 mÂ²,2015,S/.200,Apartamento,Alquiler,8 mar. 2023 - Publicado por JC Consorcio Inmobiliario,https://www.properati.com.pe/detalle/14032-32-92eb-f4b5e4678034-462f0435-9df1-4991</t>
  </si>
  <si>
    <t>Apartamento en alquiler en Ur. San Miguel,"Ur. San Miguel, San Miguel, Lima, Lima ","S/.1,350",2 dormitorios,1 baÃ±o,86 mÂ²,2010,S/.50,Apartamento,Alquiler,27 nov. 2022 - Publicado por EncontrÃ© tu Hogar,https://www.properati.com.pe/detalle/14032-32-6e35-199e778ba6e5-f8389640-a96f-120d</t>
  </si>
  <si>
    <t>Apartamento en alquiler en Ah. Los Jazmines Del Naranjal,"Ah. Los Jazmines Del Naranjal, Los Olivos, Lima, Lima ","S/.1,150",2 dormitorios,1 baÃ±o,85 mÂ²,2019,,Apartamento,Alquiler,"Hace 1 semana, 15 horas - Publicado por RE/MAX Principal pe",https://www.properati.com.pe/detalle/14032-32-76e9-7951952c197e-33cf760b-b051-4f61</t>
  </si>
  <si>
    <t>Apartamento en alquiler en Ur. Parque Internacional De Industria Y Comercio,"Ur. Parque Internacional De Industria Y Comercio, Callao, Callao, Callao ","S/.1,500",2 dormitorios,2 baÃ±os,60 mÂ²,2015,S/.180,Apartamento,Alquiler,"Hace 1 semana, 22 horas - Publicado por Sigifredo Rosales Benites",https://www.properati.com.pe/detalle/14032-32-f0f0-8ef8e7028479-7b4822ab-aa60-4ca3</t>
  </si>
  <si>
    <t>Casa en alquiler en Ur. Rinconada Del Lago Etapa Ii,"Ur. Rinconada Del Lago Etapa Ii, La Molina, Lima, Lima ","S/.10,528",8 dormitorios,4 baÃ±os,369 mÂ²,1997,,Casa,Alquiler,"Hace 1 semana, 17 horas - Publicado por RE/MAX PERÃš",https://www.properati.com.pe/detalle/14032-32-bfc6-5b3df02cb5a7-78d12914-8d1d-4f96</t>
  </si>
  <si>
    <t>Apartamento en alquiler en Ur. Cahuache,"Ur. Cahuache, San Luis, Lima, Lima ","S/.2,500",3 dormitorios,1 baÃ±o,120 mÂ²,,,Apartamento,Alquiler,"Hace 3 semanas, 18 horas - Publicado por REMAX AHORA",https://www.properati.com.pe/detalle/14032-32-a1b5-12c4a40e664e-3218e785-9bee-4200</t>
  </si>
  <si>
    <t>Apartamento en alquiler en Ur. Leuro,"Ur. Leuro, Miraflores, Lima, Lima ",USD630,1 dormitorio,1 baÃ±o,60 mÂ²,2000,S/.290,Apartamento,Alquiler,26 mar. 2023 - Publicado por RUIZ BAGLIETTO TERESA ENRIQUETA,https://www.properati.com.pe/detalle/14032-32-6a3a-4fcbd024845f-93c5c692-8ab1-42b9</t>
  </si>
  <si>
    <t>Casa en alquiler en Ur. Santa Maria - Iii Etapa,"Ur. Santa Maria - Iii Etapa, Trujillo, Trujillo, La Libertad ","S/.3,900",4 dormitorios,3 baÃ±os,430 mÂ²,2005,S/.1,Casa,Alquiler,"Hace 2 semanas, 5 dÃ­as - Publicado por REMAX FAMILY",https://www.properati.com.pe/detalle/14032-32-16ed-c03ebb7ef58e-98abe554-a8db-42a4</t>
  </si>
  <si>
    <t>Apartamento en alquiler en Ur. Los Cedros De Villa Etapa Viii,"Ur. Los Cedros De Villa Etapa Viii, Chorrillos, Lima, Lima ","S/.1,750",3 dormitorios,2 baÃ±os,100 mÂ²,1995,,Apartamento,Alquiler,"Hace 3 semanas, 18 horas - Publicado por Leonardo Quispe",https://www.properati.com.pe/detalle/14032-32-cdcc-87e6a8297e90-f2c2e020-b445-120d</t>
  </si>
  <si>
    <t>Apartamento en alquiler en Urb Residencial Valle Hermoso,"Urb Residencial Valle Hermoso, Provincia de Lima, Provincia de Lima ","USD1,000",3 dormitorios,4 baÃ±os,175 mÂ²,,S/.250,Apartamento,Alquiler,18 ene. 2022 - Publicado por Fiorella Saldarriaga,https://www.properati.com.pe/detalle/14032-32-f4f7-f3e6e8f8e37d-6e4e10e7-9cc2-4705</t>
  </si>
  <si>
    <t>Apartamento en alquiler en Ur. Balta,"Ur. Balta, Miraflores, Lima, Lima ","USD2,490",3 dormitorios,3 baÃ±os,240 mÂ²,2023,,Apartamento,Alquiler,24 feb. 2023 - Publicado por RE/MAX PERÃš,https://www.properati.com.pe/detalle/14032-32-3bb6-7a09abeac4ff-88a1c0b7-8a42-4879</t>
  </si>
  <si>
    <t>Apartamento en alquiler en Ur. San Isidro,"Ur. San Isidro, San Isidro, Lima, Lima ","S/.2,700",2 dormitorios,2 baÃ±os,68 mÂ²,2021,S/.280,Apartamento,Alquiler,14 mar. 2023 - Publicado por Home Inmobiliaria,https://www.properati.com.pe/detalle/14032-32-27a2-5ef3eb2766e9-c9c23a68-a285-4e75</t>
  </si>
  <si>
    <t>Apartamento en alquiler en Huanchaco,"Huanchaco, Trujillo, La Libertad ","S/.1,900",3 dormitorios,2 baÃ±os,102 mÂ²,2015,S/.1,Apartamento,Alquiler,23 feb. 2023 - Publicado por REMAX FAMILY,https://www.properati.com.pe/detalle/14032-32-bb66-ac45b82c7671-a6b9ab12-b113-46cf</t>
  </si>
  <si>
    <t>Apartamento en alquiler en Ur. Confraternidad,"Ur. Confraternidad, Barranco, Lima, Lima ",USD647,1 dormitorio,1 baÃ±o,40 mÂ²,,,Apartamento,Alquiler,"Hace 2 semanas, 4 dÃ­as - Publicado por Century 21 Ambassador",https://www.properati.com.pe/detalle/14032-32-d55-7a7b6caaf43f-5fa1f3-b072-3f99</t>
  </si>
  <si>
    <t>Casa en alquiler en Chiclayo,"Chiclayo, Chiclayo, Lambayeque ","S/.10,000",8 dormitorios,6 baÃ±os,469 mÂ²,1997,,Casa,Alquiler,24 mar. 2023 - Publicado por Lula Botey Inmobiliaria,https://www.properati.com.pe/detalle/14032-32-90cb-f845ef21cbd2-28f7b577-ad40-4188</t>
  </si>
  <si>
    <t>Apartamento en alquiler en Ur. Santa Rosa,"Ur. Santa Rosa, San Isidro, Lima, Lima ","USD3,500",4 dormitorios,5 baÃ±os,504 mÂ²,2000,"S/.1,900",Apartamento,Alquiler,24 mar. 2023 - Publicado por RocÃ­o Mazzetti,https://www.properati.com.pe/detalle/14032-32-3e0-f282faf7e3e6-a827f502-a0bc-47ed</t>
  </si>
  <si>
    <t>Apartamento en alquiler en Urb la Calera de Monterrico,"Urb la Calera de Monterrico, Provincia de Lima, Provincia de Lima ","S/.2,200",3 dormitorios,2 baÃ±os,75 mÂ²,2010,S/.180,Apartamento,Alquiler,16 jun. 2022 - Publicado por Carola Aguilar,https://www.properati.com.pe/detalle/14032-32-4781-5d297dd7c76b-9f3b4f46-bef8-40d0</t>
  </si>
  <si>
    <t>Casa de playa en alquiler en Provincia de CaÃ±ete,"Provincia de CaÃ±ete, Gobierno Regional de Lima ","Consultar</t>
  </si>
  <si>
    <t xml:space="preserve">                        ",4 dormitorios,4 baÃ±os,1 Medio baÃ±o,2013,,Casa de playa,Alquiler,7 set. 2022 - Publicado por MARY E. DELGADO ABANTO,https://www.properati.com.pe/detalle/14032-32-d89e-8edd59c3f51f-327020fa-923d-41da</t>
  </si>
  <si>
    <t>Apartamento en alquiler en Ur. Las Magnolias,"Ur. Las Magnolias, Santiago de Surco, Lima, Lima ",USD950,3 dormitorios,3 baÃ±os,126 mÂ²,2019,S/.300,Apartamento,Alquiler,22 nov. 2022 - Publicado por Maria Bolognesi,https://www.properati.com.pe/detalle/14032-32-5ac9-df17a65a74dd-a1659662-81d1-45ce</t>
  </si>
  <si>
    <t>Apartamento en alquiler en Ur. America,"Ur. America, Miraflores, Lima, Lima ",USD750,2 dormitorios,2 baÃ±os,64 mÂ²,2016,S/.259,Apartamento,Alquiler,21 mar. 2023 - Publicado por Remax Inmuebles,https://www.properati.com.pe/detalle/14032-32-464e-3071bca72ba0-87c879a6-bbb1-4765</t>
  </si>
  <si>
    <t>Apartamento en alquiler en Ur. Risso,"Ur. Risso, Lince, Lima, Lima ","S/.1,900",1 dormitorio,1 baÃ±o,64 mÂ²,2008,S/.211,Apartamento,Alquiler,7 feb. 2023 - Publicado por Remax Inmuebles,https://www.properati.com.pe/detalle/14032-32-c93c-917e2b394e7a-21bb31e3-8195-4a40</t>
  </si>
  <si>
    <t>Apartamento en alquiler en Hu. Cercado De Miraflores,"Hu. Cercado De Miraflores, Miraflores, Lima, Lima ","S/.2,200",1 dormitorio,1 baÃ±o,45 mÂ²,2002,S/.150,Apartamento,Alquiler,"Hace 2 semanas, 5 dÃ­as - Publicado por Remax Inmuebles",https://www.properati.com.pe/detalle/14032-32-a84e-e69a3681355c-ae4ac21f-9cdf-402c</t>
  </si>
  <si>
    <t>Apartamento en alquiler en Ur. San Borja,"Ur. San Borja, San Borja, Lima, Lima ","S/.1,000",1 dormitorio,1 baÃ±o,40 mÂ²,,,Apartamento,Alquiler,"Hace 2 semanas, 2 horas - Publicado por Ikasa Inmobiliaria",https://www.properati.com.pe/detalle/14032-32-3e86-e94212b918fe-f7459d85-b549-4d36</t>
  </si>
  <si>
    <t>Apartamento en alquiler en Ur. Cercado Cuadrado,"Ur. Cercado Cuadrado, Chiclayo, Chiclayo, Lambayeque ","S/.2,000",3 dormitorios,3 baÃ±os,110 mÂ²,,,Apartamento,Alquiler,"Hace 2 semanas, 1 dÃ­a - Publicado por Lula Botey Inmobiliaria",https://www.properati.com.pe/detalle/14032-32-103-e975c787712-b0434001-9238-45d8</t>
  </si>
  <si>
    <t>Apartamento en alquiler en Ur. Santa Ines,"Ur. Santa Ines, San Isidro, Lima, Lima ","USD1,800",3 dormitorios,2 baÃ±os,255 mÂ²,1989,"S/.1,014",Apartamento,Alquiler,23 feb. 2023 - Publicado por VerÃ³nica Arosemena,https://www.properati.com.pe/detalle/14032-32-861e-51ebd3d4560e-8d3e0474-b66d-4ee1</t>
  </si>
  <si>
    <t>Apartamento en alquiler en Ah. Nuevo Lurin Iv Etapa,"Ah. Nuevo Lurin Iv Etapa, Lurin, Lima, Lima ","S/.1,350",2 dormitorios,1 baÃ±o,60 mÂ²,2016,,Apartamento,Alquiler,21 mar. 2023 - Publicado por REMAX CENTENARIO,https://www.properati.com.pe/detalle/14032-32-6767-e5e67f175a22-96e2af59-9b32-4b79</t>
  </si>
  <si>
    <t>Casa en alquiler en Ur. Nuevo Chorrillos,"Ur. Nuevo Chorrillos, Chorrillos, Lima, Lima ","S/.3,200",3 dormitorios,2 baÃ±os,107 mÂ²,,S/.1,Casa,Alquiler,"Hace 2 semanas, 6 dÃ­as - Publicado por Century 21 Platino",https://www.properati.com.pe/detalle/14032-32-9f2a-bfa8a1182dfe-fab2e7c5-b787-4456</t>
  </si>
  <si>
    <t>Apartamento en alquiler en Ah. Nuevo Lurin I Etapa,"Ah. Nuevo Lurin I Etapa, Lurin, Lima, Lima ",S/.900,1 dormitorio,1 baÃ±o,21 mÂ²,2017,,Apartamento,Alquiler,21 mar. 2023 - Publicado por REMAX CENTENARIO,https://www.properati.com.pe/detalle/14032-32-f0dc-8eaf1cb4d43c-e0c06e61-a0b0-45c5</t>
  </si>
  <si>
    <t>Apartamento en alquiler en Ur. Valle Hermoso Residencial (San Demetrio De Monterrico),"Ur. Valle Hermoso Residencial (San Demetrio De Monterrico), Santiago de Surco, Lima, Lima ","USD1,000",3 dormitorios,2 baÃ±os,145 mÂ²,2008,S/.1,Apartamento,Alquiler,"Hace 1 semana, 2 dÃ­as - Publicado por CCE REALTOR - #CierraConEva",https://www.properati.com.pe/detalle/14032-32-c7ad-b92d111f57b6-86d567db-ba6b-4469</t>
  </si>
  <si>
    <t>Apartamento en alquiler en Santa Cruz,"Santa Cruz, Urb Jose Balta, Provincia de Lima, Provincia de Lima ","USD1,050",2 dormitorios,2 baÃ±os,110 mÂ²,2011,S/.550,Apartamento,Alquiler,7 set. 2021 - Publicado por Jaquelina GonzÃ¡les,https://www.properati.com.pe/detalle/14032-32-982a-5446ecb84376-9ad63248-8fae-413b</t>
  </si>
  <si>
    <t>Apartamento en alquiler en Ur. Leuro,"Ur. Leuro, Miraflores, Lima, Lima ",USD750,2 dormitorios,2 baÃ±os,70 mÂ²,2020,S/.250,Apartamento,Alquiler,"Hace 1 semana, 6 dÃ­as - Publicado por SOCIOS INMOBILIARIOS",https://www.properati.com.pe/detalle/14032-32-d42a-33cfa9e4777b-e68216a0-9712-120d</t>
  </si>
  <si>
    <t>Apartamento en alquiler en Ur. La Capilla (U-3),"Ur. La Capilla (U-3), La Molina, Lima, Lima ",USD850,4 dormitorios,4 baÃ±os,164 mÂ²,1999,,Apartamento,Alquiler,20 feb. 2023 - Publicado por RE/MAX PERÃš,https://www.properati.com.pe/detalle/14032-32-8aed-86338fe224e1-1cbf6b5f-b767-429f</t>
  </si>
  <si>
    <t>Apartamento en alquiler en Ur. Santa Beatriz,"Ur. Santa Beatriz, Lima, Lima, Lima ","S/.2,200",2 dormitorios,2 baÃ±os,69 mÂ²,2014,,Apartamento,Alquiler,15 mar. 2023 - Publicado por RE/MAX Dreams pe,https://www.properati.com.pe/detalle/14032-32-f27e-4836530bc66d-1f639ca3-a015-4ba6</t>
  </si>
  <si>
    <t>Apartamento en alquiler en Urb la ViÃ±ita,"Urb la ViÃ±ita, Provincia de Lima, Provincia de Lima ",USD800,2 dormitorios,2 baÃ±os,82 mÂ²,2017,S/.270,Apartamento,Alquiler,24 oct. 2022 - Publicado por INMOBILIARIA INTERNACIONAL DEL PERU,https://www.properati.com.pe/detalle/14032-32-5809-6a4dc00e2f75-5912a42f-bab1-44c4</t>
  </si>
  <si>
    <t>Apartamento en alquiler en Provincia de Lima,"Provincia de Lima, Provincia de Lima ","USD1,100",3 dormitorios,3 baÃ±os,155 mÂ²,2014,,Apartamento,Alquiler,29 jun. 2022 - Publicado por Ventas Primeras Bienes Raices,https://www.properati.com.pe/detalle/14032-32-4df8-ddec11b0518c-45d904af-b781-4971</t>
  </si>
  <si>
    <t>Casa en alquiler en Ur. America,"Ur. America, Miraflores, Lima, Lima ","USD2,000",9 dormitorios,4 baÃ±os,300 mÂ²,1993,,Casa,Alquiler,25 mar. 2023 - Publicado por INMOBILIARIA INTERNACIONAL DEL PERU,https://www.properati.com.pe/detalle/14032-32-4fe0-f7d0d0c988b4-50c08739-a685-47f1</t>
  </si>
  <si>
    <t>Apartamento en alquiler en As. Apu,"As. Apu, Los Olivos, Lima, Lima ","S/.1,200",2 dormitorios,1 baÃ±o,80 mÂ²,2010,,Apartamento,Alquiler,27 mar. 2023 - Publicado por RE/MAX POWER EXPO,https://www.properati.com.pe/detalle/14032-32-1133-1b646ba89264-a1ad34db-81f6-43da</t>
  </si>
  <si>
    <t>Apartamento en alquiler en Ur. Mariscal Castilla,"Ur. Mariscal Castilla, San Borja, Lima, Lima ",USD800,3 dormitorios,4 baÃ±os,129 mÂ²,2013,S/.300,Apartamento,Alquiler,"Hace 1 semana, 1 dÃ­a - Publicado por REQUIEROMICASA ",https://www.properati.com.pe/detalle/14032-32-8af7-1cdb06d9c0f3-b3b3d36-af41-42b8</t>
  </si>
  <si>
    <t>Apartamento en alquiler en Lima,"Lima, Lima, Lima ","S/.1,100",2 dormitorios,1 baÃ±o,50 mÂ²,2022,,Apartamento,Alquiler,6 feb. 2023 - Publicado por CBR GRUPO INMOBILIARIO S.A.C.,https://www.properati.com.pe/detalle/14032-32-87a2-4e50213a8b02-5466f069-84ea-4f8a</t>
  </si>
  <si>
    <t>Apartamento en alquiler en Ur. Villa Jardin,"Ur. Villa Jardin, San Luis, Lima, Lima ","S/.1,580",2 dormitorios,1 baÃ±o,70 mÂ²,2020,,Apartamento,Alquiler,13 mar. 2023 - Publicado por Maria Bolognesi,https://www.properati.com.pe/detalle/14032-32-7610-879441525815-991b6bb0-b39c-4c43</t>
  </si>
  <si>
    <t>Apartamento en alquiler en Ur. Risso,"Ur. Risso, Lince, Lima, Lima ",USD900,2 dormitorios,2 baÃ±os,91 mÂ²,2003,S/.380,Apartamento,Alquiler,8 feb. 2023 - Publicado por CONFIAR Consultores Inmobiliarios Figari &amp; AramburÃº ,https://www.properati.com.pe/detalle/14032-32-a797-f9bd39e02be4-bace4340-98a9-120d</t>
  </si>
  <si>
    <t>Apartamento en alquiler en Ur. San Luis,"Ur. San Luis, Miraflores, Lima, Lima ","USD1,100",3 dormitorios,2 baÃ±os,120 mÂ²,,S/.650,Apartamento,Alquiler,20 mar. 2023 - Publicado por RE/MAX Expo,https://www.properati.com.pe/detalle/14032-32-99ef-15950a9156f9-dd4b40b7-be45-4356</t>
  </si>
  <si>
    <t>Apartamento en alquiler en Ur. Balta,"Ur. Balta, Miraflores, Lima, Lima ",USD720,1 dormitorio,2 baÃ±os,58 mÂ²,2015,,Apartamento,Alquiler,17 mar. 2023 - Publicado por RE/MAX Talento,https://www.properati.com.pe/detalle/14032-32-63b8-83193a53f23d-cfc11f56-b09a-4599</t>
  </si>
  <si>
    <t>Apartamento en alquiler en Bellavista,"Bellavista, Callao, Callao ","S/.1,600",3 dormitorios,2 baÃ±os,67 mÂ²,2023,S/.130,Apartamento,Alquiler,23 mar. 2023 - Publicado por RE/MAX Today,https://www.properati.com.pe/detalle/14032-32-e3ff-4f3da0620725-770adc6b-b9e7-4e00</t>
  </si>
  <si>
    <t>Casa en alquiler en Ah. Los Perales,"Ah. Los Perales, Santa Anita, Lima, Lima ","S/.3,500",5 dormitorios,3 baÃ±os,122 mÂ²,2000,,Casa,Alquiler,14 feb. 2023 - Publicado por Remax Inmuebles,https://www.properati.com.pe/detalle/14032-32-9dc1-9277ce03e2f7-357138d8-af3d-4084</t>
  </si>
  <si>
    <t>Casa de playa en alquiler en Lurin,"Lurin, Lima, Lima ",USD850,5 dormitorios,4 baÃ±os,200 mÂ²,2013,,Casa de playa,Alquiler,22 feb. 2023 - Publicado por Remax Concept,https://www.properati.com.pe/detalle/14032-32-fad6-1b3e1bbd6de6-6ecb41a1-b67d-43bd</t>
  </si>
  <si>
    <t>Apartamento en alquiler en Pj. Tomasa Tito Condemayta,"Pj. Tomasa Tito Condemayta, Miraflores, Arequipa, Arequipa ","S/.3,200",2 dormitorios,2 baÃ±os,135 mÂ²,2022,S/.400,Apartamento,Alquiler,"Hace 1 semana, 6 dÃ­as - Publicado por Maju GarcÃ­a",https://www.properati.com.pe/detalle/14032-32-d450-675226aa0892-2b3166f0-a35d-120d</t>
  </si>
  <si>
    <t>Apartamento en alquiler en San Isidro,"San Isidro, Lima, Lima ","USD1,240",2 dormitorios,3 baÃ±os,151 mÂ²,2022,,Apartamento,Alquiler,3 ene. 2023 - Publicado por RE/MAX PERÃš,https://www.properati.com.pe/detalle/14032-32-14e9-cafb0bf6f567-95e32e30-b236-4ca6</t>
  </si>
  <si>
    <t>Apartamento en alquiler en Santa Cruz,"Santa Cruz, Urb Santa Cruz, Provincia de Lima, Provincia de Lima ","USD1,350",2 dormitorios,2 baÃ±os,115 mÂ²,,S/.620,Apartamento,Alquiler,26 ago. 2021 - Publicado por Isotta Lima Space,https://www.properati.com.pe/detalle/14032-32-23a8-8a7646cd4d2a-a804ec2c-a774-4dba</t>
  </si>
  <si>
    <t>Apartamento en alquiler en Hu. Cercado De Miraflores,"Hu. Cercado De Miraflores, Miraflores, Lima, Lima ","USD2,600",3 dormitorios,2 baÃ±os,250 mÂ²,2006,S/.915,Apartamento,Alquiler,24 feb. 2023 - Publicado por VerÃ³nica Arosemena,https://www.properati.com.pe/detalle/14032-32-aa31-a4c4f016ec7d-97ceb562-863a-48b1</t>
  </si>
  <si>
    <t>Apartamento en alquiler en La Victoria,"La Victoria, Lima, Lima ","S/.2,300",2 dormitorios,1 baÃ±o,65 mÂ²,,S/.200,Apartamento,Alquiler,"Hace 1 semana, 1 dÃ­a - Publicado por Infinito Novantanove E.I.R.L",https://www.properati.com.pe/detalle/14032-32-5916-d8c55f663eae-17eabd7e-81f7-4bf6</t>
  </si>
  <si>
    <t>Apartamento en alquiler en Miraflores,"Miraflores, Miraflores, Arequipa, Arequipa ","USD1,000",1 dormitorio,1 baÃ±o,62 mÂ²,,,Apartamento,Alquiler,"Hace 1 semana, 1 dÃ­a - Publicado por MARÃA ELENA BECERRA TIRADO",https://www.properati.com.pe/detalle/14032-32-6316-2cd24a1f1f6f-223f1ab-88df-4da6</t>
  </si>
  <si>
    <t>Apartamento en alquiler en Victor Larco Herrera,"Victor Larco Herrera, Trujillo, Libertad ","S/.2,800",3 dormitorios,3 baÃ±os,152 mÂ²,2005,S/.120,Apartamento,Alquiler,7 oct. 2022 - Publicado por JOSE CARDENAS BIENES RAICES,https://www.properati.com.pe/detalle/14032-32-82ce-43ee2fab8b9d-6347cd4a-92dc-4356</t>
  </si>
  <si>
    <t>Apartamento en alquiler en Ur. San Antonio,"Ur. San Antonio, Miraflores, Lima, Lima ",USD600,1 dormitorio,1 baÃ±o,72 mÂ²,2008,S/.180,Apartamento,Alquiler,24 mar. 2023 - Publicado por Maria Elena Bedoya,https://www.properati.com.pe/detalle/14032-32-2ff-af96e6125dc7-acbb3d09-95d9-419d</t>
  </si>
  <si>
    <t>Apartamento en alquiler en Sector Sur,"Sector Sur, VÃ­ctor Larco Herrera, Trujillo, La Libertad ","S/.1,000",2 dormitorios,1 baÃ±o,55 mÂ²,2022,,Apartamento,Alquiler,12 set. 2022 - Publicado por V&amp;R,https://www.properati.com.pe/detalle/14032-32-5033-c91bd1f3e314-3dfd6b68-9ab6-389d</t>
  </si>
  <si>
    <t>Apartamento en alquiler en Ur. Santa Cruz,"Ur. Santa Cruz, Miraflores, Lima, Lima ",USD900,1 dormitorio,1 baÃ±o,90 mÂ²,2013,S/.500,Apartamento,Alquiler,23 mar. 2023 - Publicado por VerÃ³nica Arosemena,https://www.properati.com.pe/detalle/14032-32-2d6b-e4496cf1cfb0-fa8e6a23-b436-4c70</t>
  </si>
  <si>
    <t>Apartamento en alquiler en Ur. San Isidro,"Ur. San Isidro, San Isidro, Lima, Lima ","S/.2,700",2 dormitorios,2 baÃ±os,62 mÂ²,2023,S/.250,Apartamento,Alquiler,"Hace 2 semanas, 1 dÃ­a - Publicado por Dominio Inmobiliaria",https://www.properati.com.pe/detalle/14032-32-ef00-eb2bc763034e-f11679a9-abab-4248</t>
  </si>
  <si>
    <t>Apartamento en alquiler en Ur. San Isidro,"Ur. San Isidro, San Isidro, Lima, Lima ",USD600,1 dormitorio,1 baÃ±o,50 mÂ²,2023,S/.200,Apartamento,Alquiler,"Hace 1 semana, 2 dÃ­as - Publicado por INMOBILIARIA INTERNACIONAL DEL PERU",https://www.properati.com.pe/detalle/14032-32-5c1c-8e19b1cba6be-f1049f36-84db-420b</t>
  </si>
  <si>
    <t>Casa de playa en alquiler en Paracas,"Paracas, Pisco, Ica ",USD100,4 dormitorios,4 baÃ±os,140 mÂ²,2010,S/.1,Casa de playa,Alquiler,19 mar. 2023 - Publicado por Inmuebles Sonia Echeandia,https://www.properati.com.pe/detalle/14032-32-9550-d9ffccce3566-40539131-9944-427a</t>
  </si>
  <si>
    <t>Apartamento en alquiler en As. Los Rosales,"As. Los Rosales, La Molina, Lima, Lima ","S/.2,000",3 dormitorios,1 baÃ±o,78 mÂ²,2003,S/.120,Apartamento,Alquiler,17 mar. 2023 - Publicado por Vania RodrÃ­guez Bustamante,https://www.properati.com.pe/detalle/14032-32-b2dc-5d463da1e347-bd44e712-a320-420e</t>
  </si>
  <si>
    <t>Apartamento en alquiler en Ur. Las Gardenias,"Ur. Las Gardenias, Santiago de Surco, Lima, Lima ","S/.1,650",1 dormitorio,1 baÃ±o,40 mÂ²,2022,S/.1,Apartamento,Alquiler,"Hace 1 semana, 4 dÃ­as - Publicado por NNK PERU SAC",https://www.properati.com.pe/detalle/14032-32-d5c4-7d4880c48aa7-86651e20-854b-120d</t>
  </si>
  <si>
    <t>Apartamento en alquiler en Ur. America,"Ur. America, Miraflores, Lima, Lima ","S/.2,900",2 dormitorios,3 baÃ±os,93 mÂ²,2028,S/.550,Apartamento,Alquiler,Hace 3 semanas - Publicado por PREMIUM B R,https://www.properati.com.pe/detalle/14032-32-d329-d2bbf9c8f8a1-8f28ff42-b27a-458b</t>
  </si>
  <si>
    <t>Apartamento en alquiler en Ur. America,"Ur. America, Miraflores, Lima, Lima ",USD700,2 dormitorios,2 baÃ±os,82 mÂ²,2010,S/.400,Apartamento,Alquiler,22 mar. 2023 - Publicado por Proyectum  PerÃº,https://www.properati.com.pe/detalle/14032-32-4e83-9c6105d70f23-c445dd71-8442-4449</t>
  </si>
  <si>
    <t>Apartamento en alquiler en Ur. Maranga Etapa V,"Ur. Maranga Etapa V, San Miguel, Lima, Lima ","S/.2,500",3 dormitorios,2 baÃ±os,76 mÂ²,2022,S/.250,Apartamento,Alquiler,"Hace 1 semana, 6 dÃ­as - Publicado por JESSICA NORIEGA DIAZ",https://www.properati.com.pe/detalle/14032-32-4d9c-1a33d8ba03e6-c27e9f19-831b-42d7</t>
  </si>
  <si>
    <t>Apartamento en alquiler en Ur. Santa Ines,"Ur. Santa Ines, San Isidro, Lima, Lima ","USD3,000",3 dormitorios,3 baÃ±os,330 mÂ²,1998,"S/.1,400",Apartamento,Alquiler,"Hace 1 semana, 2 dÃ­as - Publicado por Midori Kishimoto",https://www.properati.com.pe/detalle/14032-32-6b9e-6d907aca1971-dde10f21-a2d4-4ab5</t>
  </si>
  <si>
    <t>Apartamento en alquiler en Urb Cercado de Miraflores,"Urb Cercado de Miraflores, Provincia de Lima, Provincia de Lima ","USD1,200",4 dormitorios,3 baÃ±os,200 mÂ²,,S/.600,Apartamento,Alquiler,18 ago. 2022 - Publicado por Fiorella Saldarriaga,https://www.properati.com.pe/detalle/14032-32-3659-cdabd5a73b16-aa1645e4-b6be-42d4</t>
  </si>
  <si>
    <t>Apartamento en alquiler en Ur. San Borja,"Ur. San Borja, San Borja, Lima, Lima ","USD2,500",4 dormitorios,4 baÃ±os,260 mÂ²,2015,S/.600,Apartamento,Alquiler,"Hace 1 semana, 2 dÃ­as - Publicado por Midori Kishimoto",https://www.properati.com.pe/detalle/14032-32-d913-94ae49df9d8a-30b10197-8a9b-498f</t>
  </si>
  <si>
    <t>Apartamento en alquiler en Ur. Country Club,"Ur. Country Club, San Isidro, Lima, Lima ","USD2,600",3 dormitorios,3 baÃ±os,202 mÂ²,2018,S/.650,Apartamento,Alquiler,"Hace 1 semana, 2 dÃ­as - Publicado por Midori Kishimoto",https://www.properati.com.pe/detalle/14032-32-5fba-1ed6e7cb31f5-4c9a32a1-9c51-4215</t>
  </si>
  <si>
    <t>Apartamento en alquiler en Ur. Javier Prado (Cahuache),"Ur. Javier Prado (Cahuache), San Borja, Lima, Lima ","S/.2,700",2 dormitorios,2 baÃ±os,170 mÂ²,2008,,Apartamento,Alquiler,9 mar. 2023 - Publicado por INMOBILIARIA IMMONEO,https://www.properati.com.pe/detalle/14032-32-75b-7adb20ef03e9-137e3cd3-8ad9-46a0</t>
  </si>
  <si>
    <t>Apartamento en alquiler en Ur. Pedregal De Higuereta(San Atanacio De Pedregal),"Ur. Pedregal De Higuereta(San Atanacio De Pedregal), Surquillo, Lima, Lima ","S/.2,600",2 dormitorios,2 baÃ±os,72 mÂ²,2005,S/.100,Apartamento,Alquiler,"Hace 3 semanas, 1 hora - Publicado por Midori Kishimoto",https://www.properati.com.pe/detalle/14032-32-c2ac-e0970ba1a14-259df03a-bea4-4bf6</t>
  </si>
  <si>
    <t>Casa en alquiler en San Bartolo,"San Bartolo, Lima, Lima ","S/.2,000",3 dormitorios,3 baÃ±os,512 mÂ²,2020,S/.200,Casa,Alquiler,"Hace 1 semana, 4 dÃ­as - Publicado por Viva en el Campo",https://www.properati.com.pe/detalle/14032-32-346a-49a2c279b599-1278fedf-a6b5-4147</t>
  </si>
  <si>
    <t>Apartamento en alquiler en Ur. Country Club,"Ur. Country Club, San Isidro, Lima, Lima ","USD1,300",1 dormitorio,2 baÃ±os,104 mÂ²,2018,S/.350,Apartamento,Alquiler,"Hace 1 semana, 2 dÃ­as - Publicado por Midori Kishimoto",https://www.properati.com.pe/detalle/14032-32-5a3c-28ce484939ca-5053660d-a709-4fce</t>
  </si>
  <si>
    <t>Local Comercial en alquiler en CallerÃ­a,"CallerÃ­a, Coronel Portillo, Ucayali ","S/.3,800",2 dormitorios,1 baÃ±o,140 mÂ²,2000,,Local Comercial,Alquiler,8 feb. 2023 - Publicado por HIIA EIRL,https://www.properati.com.pe/detalle/14032-32-c704-4bcac38d5e8d-a6c62dd3-9a56-3829</t>
  </si>
  <si>
    <t>Apartamento en alquiler en Ur. Orrantia Del Mar,"Ur. Orrantia Del Mar, San Isidro, Lima, Lima ",USD650,1 dormitorio,1 baÃ±o,,,,Apartamento,Alquiler,"Hace 2 semanas, 1 dÃ­a - Publicado por Esther Delgado",https://www.properati.com.pe/detalle/14032-32-32f9-7565c00a91f5-a8d9545c-8157-38a8</t>
  </si>
  <si>
    <t>Apartamento en alquiler en Bellavista,"Bellavista, Callao, Callao ","S/.1,650",3 dormitorios,2 baÃ±os,67 mÂ²,,S/.140,Apartamento,Alquiler,"Hace 2 semanas, 1 dÃ­a - Publicado por RE/MAX Today",https://www.properati.com.pe/detalle/14032-32-3e30-3a2831e7de31-6a2242a7-a6e0-4b38</t>
  </si>
  <si>
    <t>Apartamento en alquiler en Ba. Del Medico,"Ba. Del Medico, Surquillo, Lima, Lima ","S/.2,700",3 dormitorios,2 baÃ±os,75 mÂ²,,S/.250,Apartamento,Alquiler,8 mar. 2023 - Publicado por Top House PerÃº Inmobiliaria,https://www.properati.com.pe/detalle/14032-32-36b0-635bd058d5d-71a43e0d-bd4d-46eb</t>
  </si>
  <si>
    <t>Apartamento en alquiler en Ur. Balta,"Ur. Balta, Miraflores, Lima, Lima ","USD1,200",3 dormitorios,2 baÃ±os,160 mÂ²,1997,S/.540,Apartamento,Alquiler,"Hace 1 semana, 2 dÃ­as - Publicado por Midori Kishimoto",https://www.properati.com.pe/detalle/14032-32-986b-c268aadca15b-8b54110b-8645-44b0</t>
  </si>
  <si>
    <t>Apartamento en alquiler en Ur. San Felipe,"Ur. San Felipe, JesÃºs MarÃ­a, Lima, Lima ","S/.2,800",3 dormitorios,3 baÃ±os,83 mÂ²,2020,S/.265,Apartamento,Alquiler,"Hace 1 semana, 3 dÃ­as - Publicado por REMAX UNITED",https://www.properati.com.pe/detalle/14032-32-5610-84a3ea723047-cd8c1d58-ac42-4d7a</t>
  </si>
  <si>
    <t>Apartamento en alquiler en Ur. La ViÃ±ita,"Ur. La ViÃ±ita, Barranco, Lima, Lima ","S/.2,300",1 dormitorio,1 baÃ±o,41 mÂ²,2021,S/.190,Apartamento,Alquiler,26 mar. 2023 - Publicado por Siker Grupo Inmobiliario,https://www.properati.com.pe/detalle/14032-32-e38-edf848e8f79f-2df19a7-a1eb-4303</t>
  </si>
  <si>
    <t>Casa en alquiler en San Borja,"San Borja, Lima, Lima ","USD2,400",4 dormitorios,3 baÃ±os,301 mÂ²,1988,,Casa,Alquiler,23 ene. 2023 - Publicado por INMOGA S.A.C,https://www.properati.com.pe/detalle/14032-32-9dd0-ba9e04e28cb4-c6c644b8-ab9b-4f45</t>
  </si>
  <si>
    <t>Apartamento en alquiler en Ur. America,"Ur. America, Miraflores, Lima, Lima ","USD1,200",2 dormitorios,4 baÃ±os,150 mÂ²,2000,S/.650,Apartamento,Alquiler,"Hace 3 semanas, 13 horas - Publicado por TU HOGAR Y BIENESTAR",https://www.properati.com.pe/detalle/14032-32-6d1a-4f2a631e9425-ebd247d9-bbc3-408a</t>
  </si>
  <si>
    <t>Casa en alquiler en Punta Hermosa,"Punta Hermosa, Lima, Lima ","S/.2,000",3 dormitorios,3 baÃ±os,512 mÂ²,2020,S/.200,Casa,Alquiler,"Hace 1 semana, 4 dÃ­as - Publicado por Viva en el Campo",https://www.properati.com.pe/detalle/14032-32-d59d-a75386f29790-53c17b92-a69a-4173</t>
  </si>
  <si>
    <t>Apartamento en alquiler en Ur. El Rosal,"Ur. El Rosal, Miraflores, Lima, Lima ","USD1,000",2 dormitorios,3 baÃ±os,106 mÂ²,2016,S/.495,Apartamento,Alquiler,3 feb. 2023 - Publicado por GARRIDO SECLEN RICARDY BUENAVENTURA,https://www.properati.com.pe/detalle/14032-32-a40b-8be85815d288-986a51c0-9e22-120d</t>
  </si>
  <si>
    <t>Apartamento en alquiler en Cajamarca,"Cajamarca, Cajamarca, Cajamarca ","S/.1,050",3 dormitorios,1 baÃ±o,70 mÂ²,2022,,Apartamento,Alquiler,"Hace 1 semana, 5 dÃ­as - Publicado por Inmobiliaria SOLÃS",https://www.properati.com.pe/detalle/14032-32-2914-3fc950d6789e-56b11256-b608-4a06</t>
  </si>
  <si>
    <t>Apartamento en alquiler en Ur. Chacarilla Del Estanque,"Ur. Chacarilla Del Estanque, Santiago de Surco, Lima, Lima ","S/.5,000",3 dormitorios,3 baÃ±os,135 mÂ²,2020,S/.550,Apartamento,Alquiler,"Hace 1 semana, 5 dÃ­as - Publicado por Sandra Carbajal",https://www.properati.com.pe/detalle/14032-32-d4f0-15ecaaf9dade-9e3605c0-aa0e-120d</t>
  </si>
  <si>
    <t>Apartamento en alquiler en Ur. Balta,"Ur. Balta, Miraflores, Lima, Lima ","USD1,600",3 dormitorios,2 baÃ±os,144 mÂ²,1982,,Apartamento,Alquiler,14 oct. 2022 - Publicado por Inmoba Peru SAC,https://www.properati.com.pe/detalle/14032-32-509d-191e0ca9c86f-83438c79-bc63-4ffc</t>
  </si>
  <si>
    <t>Casa en alquiler en Ur. Javier Prado (Cahuache),"Ur. Javier Prado (Cahuache), San Borja, Lima, Lima ","USD1,700",9 dormitorios,9 baÃ±os,200 mÂ²,2012,,Casa,Alquiler,1 mar. 2023 - Publicado por RE/MAX Expo,https://www.properati.com.pe/detalle/14032-32-195a-5e02d83a21b-989fca48-9fa2-47d9</t>
  </si>
  <si>
    <t>Apartamento en alquiler en Hu. Cercado De Miraflores,"Hu. Cercado De Miraflores, Miraflores, Lima, Lima ",USD950,3 dormitorios,2 baÃ±os,119 mÂ²,2012,S/.370,Apartamento,Alquiler,"Hace 2 semanas, 1 dÃ­a - Publicado por Alinea Inmobiliaria",https://www.properati.com.pe/detalle/14032-32-155-c4a4df80c6f7-c9633850-a6ef-4800</t>
  </si>
  <si>
    <t>Casa en alquiler en Cajamarca,"Cajamarca, Cajamarca, Cajamarca ","S/.5,600",8 dormitorios,4 baÃ±os,205 mÂ²,,,Casa,Alquiler,"Hace 2 semanas, 1 dÃ­a - Publicado por Inmobiliaria SOLÃS",https://www.properati.com.pe/detalle/14032-32-893f-cd483c285c0e-6c17d61a-bfe8-41e1</t>
  </si>
  <si>
    <t>Casa en alquiler en Cajamarca,"Cajamarca, Cajamarca, Cajamarca ","S/.3,700",8 dormitorios,8 baÃ±os,,,,Casa,Alquiler,"Hace 2 semanas, 1 dÃ­a - Publicado por Inmobiliaria SOLÃS",https://www.properati.com.pe/detalle/14032-32-d374-33813f9d8cea-cd7fe1b7-a5df-4bf1</t>
  </si>
  <si>
    <t>Apartamento en alquiler en Ur. San Juan Sector A,"Ur. San Juan Sector A, San Juan de Miraflores, Lima, Lima ","S/.1,700",4 dormitorios,3 baÃ±os,80 mÂ²,,,Apartamento,Alquiler,"Hace 1 semana, 5 dÃ­as - Publicado por Peruconsultores",https://www.properati.com.pe/detalle/14032-32-d4cd-4b2e66054c72-b4183750-a599-120d</t>
  </si>
  <si>
    <t>Casa en alquiler en San Bartolo,"San Bartolo, Lima, Lima ","USD1,100",3 dormitorios,3 baÃ±os,180 mÂ²,2020,S/.200,Casa,Alquiler,"Hace 1 semana, 5 dÃ­as - Publicado por Viva en el Campo",https://www.properati.com.pe/detalle/14032-32-d4c3-9fea81837217-a51de150-99e7-120d</t>
  </si>
  <si>
    <t>Apartamento en alquiler en Ur. San Antonio,"Ur. San Antonio, Miraflores, Lima, Lima ","USD1,400",3 dormitorios,4 baÃ±os,210 mÂ²,2015,S/.650,Apartamento,Alquiler,19 nov. 2022 - Publicado por Lien Hub Inmobiliario,https://www.properati.com.pe/detalle/14032-32-1c87-391426fddf66-e9c9d2ce-af70-4c3e</t>
  </si>
  <si>
    <t>Apartamento en alquiler en Surco,"Surco, Santiago De Surco, Lima, Lima ","USD1,250",3 dormitorios,3 baÃ±os,150 mÂ²,2010,S/.600,Apartamento,Alquiler,10 ene. 2023 - Publicado por Century 21 Horizonte,https://www.properati.com.pe/detalle/14032-32-fc6f-65a3aade433-608d0dca-8d68-4482</t>
  </si>
  <si>
    <t>Apartamento en alquiler en Zona 7-B,"Zona 7-B, Urb San Borja, Provincia de Lima, Provincia de Lima ",USD790,3 dormitorios,3 baÃ±os,150 mÂ²,,S/.290,Apartamento,Alquiler,16 set. 2022 - Publicado por BERTTOLÃ SERVICIOS INMOBILIARIOS,https://www.properati.com.pe/detalle/14032-32-85b4-a0b1767245a2-14132992-b702-3cec</t>
  </si>
  <si>
    <t>Apartamento en alquiler en Chiclayo,"Chiclayo, Chiclayo, Lambayeque ","S/.2,500",2 dormitorios,3 baÃ±os,120 mÂ²,120 mÂ²,,Apartamento,Alquiler,17 mar. 2023 - Publicado por Lula Botey Inmobiliaria,https://www.properati.com.pe/detalle/14032-32-1e0f-baae9e8868c2-252f6660-b564-3dc9</t>
  </si>
  <si>
    <t>Casa en alquiler en Piura,"Piura, Piura, Piura ","USD1,200",4 dormitorios,4 baÃ±os,300 mÂ²,2010,,Casa,Alquiler,"Hace 1 semana, 6 dÃ­as - Publicado por Luis Joya Inmobiliaria",https://www.properati.com.pe/detalle/14032-32-d450-ad2e898148c8-ff87ec30-812a-120d</t>
  </si>
  <si>
    <t>Apartamento en alquiler en Ur. Tambo De Monterrico,"Ur. Tambo De Monterrico, Santiago de Surco, Lima, Lima ",USD750,1 dormitorio,1 baÃ±o,77 mÂ²,2010,,Apartamento,Alquiler,24 feb. 2023 - Publicado por Auryn Corp,https://www.properati.com.pe/detalle/14032-32-641a-fba22f787c53-69bad766-baf1-3c3f</t>
  </si>
  <si>
    <t>Apartamento en alquiler en El Palomar,"El Palomar, Provincia de Lima, Provincia de Lima ","S/.2,400",2 dormitorios,1 baÃ±o,70 mÂ²,1995,S/.120,Apartamento,Alquiler,24 ene. 2022 - Publicado por Ana Bay Inmuebles,https://www.properati.com.pe/detalle/14032-32-f7c2-a57c99e2d64e-622ca061-9c0b-42a7</t>
  </si>
  <si>
    <t>Apartamento en alquiler en Chacra Rios Sur,"Chacra Rios Sur, Provincia de Lima, Provincia de Lima ","S/.1,746",3 dormitorios,2 baÃ±os,69 mÂ²,2017,,Apartamento,Alquiler,26 ago. 2022 - Publicado por EXPERT HOME BIENES RAICES S.A.C,https://www.properati.com.pe/detalle/14032-32-b444-8eca2654c3ff-d9f25185-84d4-4de1</t>
  </si>
  <si>
    <t>HabitaciÃ³n en alquiler en Ur. Los Cedros De Villa Etapa I,"Ur. Los Cedros De Villa Etapa I, Chorrillos, Lima, Lima ",S/.700,1 dormitorio,1 baÃ±o,20 mÂ²,2000,,HabitaciÃ³n,Alquiler,28 feb. 2023 - Publicado por Manuel Villarreal Perez,https://www.properati.com.pe/detalle/14032-32-5336-67e32e639926-5a384685-aabc-434b</t>
  </si>
  <si>
    <t>Apartamento en alquiler en Santiago de Surco,"Santiago de Surco, Lima, Lima ",USD650,3 dormitorios,3 baÃ±os,165 mÂ²,2010,S/.800,Apartamento,Alquiler,14 dic. 2022 - Publicado por MARIA DEL ROSARIO - BIENES RAICES,https://www.properati.com.pe/detalle/14032-32-58e8-8cc1e1f50e9d-d125f49d-bb7b-408f</t>
  </si>
  <si>
    <t>Apartamento en alquiler en Hu. Cercado De Miraflores,"Hu. Cercado De Miraflores, Miraflores, Lima, Lima ","USD1,150",2 dormitorios,2 baÃ±os,,2010,S/.450,Apartamento,Alquiler,9 dic. 2022 - Publicado por MARIA DEL ROSARIO - BIENES RAICES,https://www.properati.com.pe/detalle/14032-32-51b1-f3e266034274-af578030-9357-4bf3</t>
  </si>
  <si>
    <t>Apartamento en alquiler en Ur. Balta,"Ur. Balta, Miraflores, Lima, Lima ",USD950,3 dormitorios,3 baÃ±os,100 mÂ²,2010,S/.400,Apartamento,Alquiler,10 ene. 2023 - Publicado por MARIA DEL ROSARIO - BIENES RAICES,https://www.properati.com.pe/detalle/14032-32-f196-96855865fc61-4020a42-bfab-4e6a</t>
  </si>
  <si>
    <t>Apartamento en alquiler en Hu. Cercado De Miraflores,"Hu. Cercado De Miraflores, Miraflores, Lima, Lima ",USD950,1 dormitorio,2 baÃ±os,140 mÂ²,2010,,Apartamento,Alquiler,7 feb. 2023 - Publicado por MARIA DEL ROSARIO - BIENES RAICES,https://www.properati.com.pe/detalle/14032-32-731-5f35de0e2628-80c49181-bf59-4340</t>
  </si>
  <si>
    <t>Apartamento en alquiler en Ur. Linda Vista De Monterrico,"Ur. Linda Vista De Monterrico, Ate, Lima, Lima ","S/.2,200",3 dormitorios,2 baÃ±os,95 mÂ²,2014,S/.180,Apartamento,Alquiler,21 feb. 2023 - Publicado por MADELEINE VIGO INMOBILIARIA ,https://www.properati.com.pe/detalle/14032-32-7bc6-406b3624b095-145738c6-8a69-4734</t>
  </si>
  <si>
    <t>Apartamento en alquiler en Castilla,"Castilla, Piura, Piura ","S/.3,000",3 dormitorios,2 baÃ±os,100 mÂ²,2015,S/.300,Apartamento,Alquiler,"Hace 1 semana, 6 dÃ­as - Publicado por GP Inmobiliaria pe",https://www.properati.com.pe/detalle/14032-32-71c3-b1fb96c81034-380c9974-976e-412c</t>
  </si>
  <si>
    <t>Apartamento en alquiler en Ur. Miramar,"Ur. Miramar, San Miguel, Lima, Lima ","USD1,000",3 dormitorios,3 baÃ±os,125 mÂ²,2019,S/.450,Apartamento,Alquiler,10 feb. 2023 - Publicado por Marcia Rodriguez,https://www.properati.com.pe/detalle/14032-32-b3f7-675b2c763b9c-54315af8-bbf7-4a61</t>
  </si>
  <si>
    <t>Apartamento en alquiler en Ur. Miramar,"Ur. Miramar, San Miguel, Lima, Lima ","S/.1,900",3 dormitorios,2 baÃ±os,62 mÂ²,1999,S/.200,Apartamento,Alquiler,"Hace 2 semanas, 16 horas - Publicado por RE/MAX Principal pe",https://www.properati.com.pe/detalle/14032-32-d249-7a1a26a0ce25-241e1fc8-9492-454b</t>
  </si>
  <si>
    <t>Apartamento en alquiler en Ur. Leuro,"Ur. Leuro, Miraflores, Lima, Lima ","S/.3,500",3 dormitorios,3 baÃ±os,95 mÂ²,2008,,Apartamento,Alquiler,21 mar. 2023 - Publicado por Remax Inmuebles,https://www.properati.com.pe/detalle/14032-32-e719-ee35f6e1123b-d2e68ab7-a24e-4a1e</t>
  </si>
  <si>
    <t>Apartamento en alquiler en Ur. Confraternidad,"Ur. Confraternidad, Barranco, Lima, Lima ",USD700,1 dormitorio,1 baÃ±o,41 mÂ²,2023,S/.200,Apartamento,Alquiler,"Hace 1 semana, 6 dÃ­as - Publicado por RE/MAX PRO",https://www.properati.com.pe/detalle/14032-32-3a25-cef39a06585d-9fa08e1-b59b-4c01</t>
  </si>
  <si>
    <t>Apartamento en alquiler en Petit Jean OcharÃ¡n,"Petit Jean OcharÃ¡n, Urb Cercado de Miraflores, Provincia de Lima, Provincia de Lima ",USD700,1 dormitorio,2 baÃ±os,60 mÂ²,,S/.280,Apartamento,Alquiler,25 mar. 2022 - Publicado por Isotta Lima Space,https://www.properati.com.pe/detalle/14032-32-62f1-a3c63539229c-b372b85e-be6e-417c</t>
  </si>
  <si>
    <t>Apartamento en alquiler en Hu. Cercado De Miraflores,"Hu. Cercado De Miraflores, Miraflores, Lima, Lima ",USD930,2 dormitorios,3 baÃ±os,130 mÂ²,2018,S/.530,Apartamento,Alquiler,11 feb. 2023 - Publicado por Corretaje Pelusa,https://www.properati.com.pe/detalle/14032-32-e72e-2607a9c3e82e-4d9ce001-ab48-441c</t>
  </si>
  <si>
    <t>Apartamento en alquiler en San Isidro,"San Isidro, Lima, Lima ","USD1,300",2 dormitorios,2 baÃ±os,154 mÂ²,2015,S/.680,Apartamento,Alquiler,11 feb. 2023 - Publicado por Pilar Zunjic,https://www.properati.com.pe/detalle/14032-32-2a7f-9bc5c87ff5fe-e01662f0-b74a-4715</t>
  </si>
  <si>
    <t>Apartamento en alquiler en Zona 7-B,"Zona 7-B, Urb San Borja, Provincia de Lima, Provincia de Lima ","S/.2,900",3 dormitorios,3 baÃ±os,150 mÂ²,,S/.290,Apartamento,Alquiler,16 set. 2022 - Publicado por BERTTOLÃ SERVICIOS INMOBILIARIOS,https://www.properati.com.pe/detalle/14032-32-e251-9d220862bd7c-fc68db45-a772-3df6</t>
  </si>
  <si>
    <t>Apartamento en alquiler en Lurigancho,"Lurigancho, Lima, Lima ",USD370,3 dormitorios,2 baÃ±os,85 mÂ²,,,Apartamento,Alquiler,"Hace 2 semanas, 5 dÃ­as - Publicado por Remax Diamond",https://www.properati.com.pe/detalle/14032-32-d3cf-8f9aff4ff713-4601f7bf-a69a-4508</t>
  </si>
  <si>
    <t>Apartamento en alquiler en Hu. Cercado De Miraflores,"Hu. Cercado De Miraflores, Miraflores, Lima, Lima ",USD900,2 dormitorios,3 baÃ±os,180 mÂ²,1990,S/.400,Apartamento,Alquiler,"Hace 2 semanas, 1 dÃ­a - Publicado por DOMUS REAL ESTATE ",https://www.properati.com.pe/detalle/14032-32-21a-266fd34a1a6b-988b1322-b798-47a5</t>
  </si>
  <si>
    <t>Apartamento en alquiler en Ur. Avitentel (Entel Peru),"Ur. Avitentel (Entel Peru), San Juan de Miraflores, Lima, Lima ","S/.1,500",3 dormitorios,2 baÃ±os,98 mÂ²,,,Apartamento,Alquiler,"Hace 2 semanas, 15 horas - Publicado por JM HOME INMOBILIARIA",https://www.properati.com.pe/detalle/14032-32-f68b-e147f5ba34b5-f8dc033-9ac9-44a5</t>
  </si>
  <si>
    <t>Apartamento en alquiler en Ur. Chacarilla Santa Cruz,"Ur. Chacarilla Santa Cruz, San Isidro, Lima, Lima ",USD790,2 dormitorios,3 baÃ±os,63 mÂ²,2010,S/.210,Apartamento,Alquiler,27 mar. 2023 - Publicado por REMAX UNITED,https://www.properati.com.pe/detalle/14032-32-d538-7ac0f7c8d12e-6c09cebd-bd50-42ee</t>
  </si>
  <si>
    <t>Apartamento en alquiler en Ur. Tambo De Monterrico,"Ur. Tambo De Monterrico, Santiago de Surco, Lima, Lima ",USD800,2 dormitorios,2 baÃ±os,72 mÂ²,2013,S/.260,Apartamento,Alquiler,17 mar. 2023 - Publicado por RE/MAX POWER EXPO,https://www.properati.com.pe/detalle/14032-32-56fa-ce620b302ade-f87722fc-8f54-43a3</t>
  </si>
  <si>
    <t>Apartamento en alquiler en El Bosque,"El Bosque, Cayma, Arequipa, Arequipa ","USD1,600",3 dormitorios,5 baÃ±os,250 mÂ²,,,Apartamento,Alquiler,"Hace 2 semanas, 22 horas - Publicado por Casafacil-Aqp",https://www.properati.com.pe/detalle/14032-32-d329-9720269d9d1b-c44647c0-a480-120d</t>
  </si>
  <si>
    <t>Apartamento en alquiler en Ur. Balta,"Ur. Balta, Miraflores, Lima, Lima ","USD2,500",3 dormitorios,4 baÃ±os,200 mÂ²,2020,S/.600,Apartamento,Alquiler,22 feb. 2023 - Publicado por Josh Vega,https://www.properati.com.pe/detalle/14032-32-b2f7-d3c31cf124d9-5b16b160-9cde-120d</t>
  </si>
  <si>
    <t>Apartamento en alquiler en Ur. Parque Internacional De Industria Y Comercio,"Ur. Parque Internacional De Industria Y Comercio, Callao, Callao, Callao ","S/.1,300",2 dormitorios,2 baÃ±os,69 mÂ²,2013,"S/.1,300",Apartamento,Alquiler,"Hace 2 semanas, 14 horas - Publicado por THEMIS INMOBILIARIA",https://www.properati.com.pe/detalle/14032-32-68b5-dbadf2d5bda6-f35fda06-b7c6-4ef5</t>
  </si>
  <si>
    <t>Apartamento en alquiler en Ur. Leuro,"Ur. Leuro, Miraflores, Lima, Lima ","S/.3,100",3 dormitorios,3 baÃ±os,103 mÂ²,2013,S/.400,Apartamento,Alquiler,17 ene. 2023 - Publicado por ASPRO asesores profesionales,https://www.properati.com.pe/detalle/14032-32-ce43-57dcdd91750c-da29dae9-8d0f-4bb2</t>
  </si>
  <si>
    <t>Apartamento en alquiler en Ur. La Capilla (U-2),"Ur. La Capilla (U-2), La Molina, Lima, Lima ","S/.1,400",2 dormitorios,2 baÃ±os,50 mÂ²,1998,S/.1,Apartamento,Alquiler,10 mar. 2023 - Publicado por MADELEINE VIGO INMOBILIARIA ,https://www.properati.com.pe/detalle/14032-32-44b4-3da1faf56803-7a60d7e3-b7f0-4ed4</t>
  </si>
  <si>
    <t>Apartamento en alquiler en Ur. Aurora,"Ur. Aurora, Miraflores, Lima, Lima ","USD1,200",3 dormitorios,2 baÃ±os,150 mÂ²,2017,S/.670,Apartamento,Alquiler,8 feb. 2023 - Publicado por RE/MAX Expo,https://www.properati.com.pe/detalle/14032-32-57c0-c9eb6ea28ffc-f9ab3854-8274-4b26</t>
  </si>
  <si>
    <t>Apartamento en alquiler en Ur. Santa Cruz,"Ur. Santa Cruz, Miraflores, Lima, Lima ","USD2,000",3 dormitorios,2 baÃ±os,175 mÂ²,2004,S/.840,Apartamento,Alquiler,7 mar. 2023 - Publicado por Inmobiliaria Casella,https://www.properati.com.pe/detalle/14032-32-2bc6-fc3f3e5d3608-c891cf7e-be22-46fd</t>
  </si>
  <si>
    <t>Apartamento en alquiler en Ur. America,"Ur. America, Miraflores, Lima, Lima ","USD1,000",2 dormitorios,3 baÃ±os,106 mÂ²,2010,S/.575,Apartamento,Alquiler,"Hace 2 semanas, 2 dÃ­as - Publicado por Doris PeÃ±aranda",https://www.properati.com.pe/detalle/14032-32-d24c-577331d3d019-5765b10-b702-120d</t>
  </si>
  <si>
    <t>Apartamento en alquiler en Ur. Oyague,"Ur. Oyague, Pueblo Libre, Lima, Lima ","S/.2,200",3 dormitorios,2 baÃ±os,112 mÂ²,2011,S/.174,Apartamento,Alquiler,"Hace 2 semanas, 4 dÃ­as - Publicado por RE/MAX Principal pe",https://www.properati.com.pe/detalle/14032-32-ec2b-7226305eb72e-466af862-9d35-42eb</t>
  </si>
  <si>
    <t>Apartamento en alquiler en Ur. San Isidro,"Ur. San Isidro, San Isidro, Lima, Lima ","USD1,250",3 dormitorios,2 baÃ±os,150 mÂ²,1990,S/.650,Apartamento,Alquiler,6 feb. 2023 - Publicado por BÃ¼ro Propiedades,https://www.properati.com.pe/detalle/14032-32-139c-2a2d5f092748-cab56c2-83db-4448</t>
  </si>
  <si>
    <t>Apartamento en alquiler en Ur. Aurora,"Ur. Aurora, Surquillo, Lima, Lima ","S/.2,800",2 dormitorios,2 baÃ±os,78 mÂ²,2019,,Apartamento,Alquiler,"Hace 2 semanas, 1 dÃ­a - Publicado por RE/MAX PRO",https://www.properati.com.pe/detalle/14032-32-c7d0-8d134af667ba-b6392442-a7c0-49bb</t>
  </si>
  <si>
    <t>Apartamento en alquiler en Ur. Los Portales De Javier Prado Etapa Ii,"Ur. Los Portales De Javier Prado Etapa Ii, Ate, Lima, Lima ","S/.1,400",2 dormitorios,2 baÃ±os,75 mÂ²,2017,S/.50,Apartamento,Alquiler,"Hace 2 semanas, 22 horas - Publicado por Astupropiedad",https://www.properati.com.pe/detalle/14032-32-8cfc-29688a9003d5-38481e03-83a9-467a</t>
  </si>
  <si>
    <t>Apartamento en alquiler en Ur. Monterrico Norte,"Ur. Monterrico Norte, San Borja, Lima, Lima ","USD1,150",3 dormitorios,3 baÃ±os,139 mÂ²,2022,S/.500,Apartamento,Alquiler,25 mar. 2023 - Publicado por Tasso Inmobiliaria,https://www.properati.com.pe/detalle/14032-32-de63-da2e8f822c52-c0aa7dd-9b21-4493</t>
  </si>
  <si>
    <t>Apartamento en alquiler en Ur. Chacarilla Del Estanque,"Ur. Chacarilla Del Estanque, San Borja, Lima, Lima ","USD1,150",3 dormitorios,3 baÃ±os,1 Medio baÃ±o,139 mÂ²,,Apartamento,Alquiler,23 mar. 2023 - Publicado por   Moises Fernando  Torres  Tasso ,https://www.properati.com.pe/detalle/14032-32-4f9-e8eb1f5c9c4-aba00348-b4b9-3427</t>
  </si>
  <si>
    <t>Apartamento en alquiler en Ur. San Miguel,"Ur. San Miguel, San Miguel, Lima, Lima ",USD470,2 dormitorios,1 baÃ±o,45 mÂ²,2023,,Apartamento,Alquiler,"Hace 2 semanas, 1 dÃ­a - Publicado por Dominio Inmobiliaria",https://www.properati.com.pe/detalle/14032-32-ee91-335980a8e24-1fca9418-b493-4451</t>
  </si>
  <si>
    <t>Casa en alquiler en Cayma,"Cayma, Arequipa, Arequipa ","S/.3,000",3 dormitorios,3 baÃ±os,165 mÂ²,2010,,Casa,Alquiler,23 mar. 2023 - Publicado por INHOGAR J &amp; B CONSTRUCTORA INMOBILIARIA,https://www.properati.com.pe/detalle/14032-32-ed26-1cfb47a90dbc-aafc5ac7-aaa5-4039</t>
  </si>
  <si>
    <t>Apartamento en alquiler en Ur. San Ignacio,"Ur. San Ignacio, Barranco, Lima, Lima ",USD770,1 dormitorio,1 baÃ±o,45 mÂ²,2022,,Apartamento,Alquiler,"Hace 2 semanas, 1 dÃ­a - Publicado por Dominio Inmobiliaria",https://www.properati.com.pe/detalle/14032-32-8a56-2a3ee9d4f543-1623684-a8aa-483b</t>
  </si>
  <si>
    <t>Apartamento en alquiler en Ur. San Luis,"Ur. San Luis, Miraflores, Lima, Lima ",USD850,2 dormitorios,1 baÃ±o,73 mÂ²,2023,,Apartamento,Alquiler,"Hace 2 semanas, 1 dÃ­a - Publicado por Dominio Inmobiliaria",https://www.properati.com.pe/detalle/14032-32-c793-fafebc9ce007-364d074d-bfb2-4771</t>
  </si>
  <si>
    <t>Apartamento en alquiler en Ur. Libertad,"Ur. Libertad, San Miguel, Lima, Lima ","S/.2,400",3 dormitorios,2 baÃ±os,88 mÂ²,,S/.250,Apartamento,Alquiler,27 mar. 2023 - Publicado por RE/MAX Today,https://www.properati.com.pe/detalle/14032-32-ed82-251856ecc93f-bc9f57dc-b5fb-4bb6</t>
  </si>
  <si>
    <t>Apartamento en alquiler en Ur. Santa Cruz,"Ur. Santa Cruz, Miraflores, Lima, Lima ","USD2,500",3 dormitorios,2 baÃ±os,158 mÂ²,2014,"S/.1,000",Apartamento,Alquiler,"Hace 2 semanas, 5 dÃ­as - Publicado por VerÃ³nica Arosemena",https://www.properati.com.pe/detalle/14032-32-1379-8cc36064c339-c803db59-afd9-4d66</t>
  </si>
  <si>
    <t>Apartamento en alquiler en Ur. Leuro,"Ur. Leuro, Miraflores, Lima, Lima ","S/.2,400",2 dormitorios,1 baÃ±o,47 mÂ²,1983,,Apartamento,Alquiler,"Hace 2 semanas, 1 dÃ­a - Publicado por Remax Plaza",https://www.properati.com.pe/detalle/14032-32-d8b6-6c80332ca53b-2894374f-8b56-43c9</t>
  </si>
  <si>
    <t>Apartamento en alquiler en Urb Residencial Valle Hermoso,"Urb Residencial Valle Hermoso, Provincia de Lima, Municipalidad Metropolitana de Lima ","USD1,000",3 dormitorios,4 baÃ±os,175 mÂ²,,S/.300,Apartamento,Alquiler,17 feb. 2021 - Publicado por Fiorella Saldarriaga,https://www.properati.com.pe/detalle/14032-32-af28-75ef1c134d6a-a212bb75-ab02-482b</t>
  </si>
  <si>
    <t>Apartamento en alquiler en Res Villa Militar,"Res Villa Militar, Tacna, Tacna ",S/.900,2 dormitorios,1 baÃ±o,75 mÂ²,2020,,Apartamento,Alquiler,5 nov. 2022 - Publicado por Azienda,https://www.properati.com.pe/detalle/14032-32-7aaf-5c3bced47f82-3b0d0a48-89de-3bff</t>
  </si>
  <si>
    <t>Apartamento en alquiler en Ur. Orrantia,"Ur. Orrantia, San Isidro, Lima, Lima ","USD1,300",2 dormitorios,3 baÃ±os,154 mÂ²,2018,S/.680,Apartamento,Alquiler,"Hace 2 semanas, 1 dÃ­a - Publicado por Home Inmobiliaria",https://www.properati.com.pe/detalle/14032-32-7f93-9f3fa2423513-b796518b-9c2e-4f57</t>
  </si>
  <si>
    <t>Casa en alquiler en La Banda de Shilcayo,"La Banda de Shilcayo, San MartÃ­n, San MartÃ­n ","S/.3,800",4 dormitorios,5 baÃ±os,200 mÂ²,200 mÂ²,,Casa,Alquiler,"Hace 2 semanas, 5 dÃ­as - Publicado por Yurac Rumi SAC",https://www.properati.com.pe/detalle/14032-32-c15f-3829718ce70a-6d3ae595-83b5-35ca</t>
  </si>
  <si>
    <t>Casa de playa en alquiler en Punta Hermosa,"Punta Hermosa, Lima, Lima ","USD1,000",3 dormitorios,3 baÃ±os,126 mÂ²,2020,S/.450,Casa de playa,Alquiler,12 dic. 2022 - Publicado por Gonzalez Cecilia,https://www.properati.com.pe/detalle/14032-32-474c-15f2b335e3af-cf7e02f0-84bf-43bf</t>
  </si>
  <si>
    <t>Apartamento en alquiler en Hu. Ex Fundo Monterrico Chico Parcela 2 (San Idelfonso Del Vivero),"Hu. Ex Fundo Monterrico Chico Parcela 2 (San Idelfonso Del Vivero), Santiago de Surco, Lima, Lima ","USD1,200",3 dormitorios,3 baÃ±os,148 mÂ²,2012,S/.455,Apartamento,Alquiler,15 mar. 2023 - Publicado por Corretajes Inmobiliarios Matessa SAC,https://www.properati.com.pe/detalle/14032-32-d458-f5b9c85f260a-797bd2c7-a879-4f48</t>
  </si>
  <si>
    <t>Apartamento en alquiler en Miraflores,"Miraflores, Lima, Lima ",USD700,1 dormitorio,1 baÃ±o,54 mÂ²,2019,S/.370,Apartamento,Alquiler,"Hace 2 semanas, 1 dÃ­a - Publicado por GARRIDO SECLEN RICARDY BUENAVENTURA",https://www.properati.com.pe/detalle/14032-32-d295-c18bd8bc6275-ebcbc520-951d-120d</t>
  </si>
  <si>
    <t>Apartamento en alquiler en Hu. Ex Fundo Monterrico Chico Parcela 2 (San Idelfonso Del Vivero),"Hu. Ex Fundo Monterrico Chico Parcela 2 (San Idelfonso Del Vivero), Santiago de Surco, Lima, Lima ","USD1,200",3 dormitorios,2 baÃ±os,150 mÂ²,2010,S/.450,Apartamento,Alquiler,16 mar. 2023 - Publicado por SUCASA GRUPO INMOBILIARIO,https://www.properati.com.pe/detalle/14032-32-1952-58223c36a5cc-852c91d5-a1a1-46e3</t>
  </si>
  <si>
    <t>Apartamento en alquiler en San Isidro,"San Isidro, Lima, Lima ","USD1,100",2 dormitorios,3 baÃ±os,127 mÂ²,2018,S/.300,Apartamento,Alquiler,"Hace 2 semanas, 4 dÃ­as - Publicado por Proyectum  PerÃº",https://www.properati.com.pe/detalle/14032-32-ad4b-7e53f1ac5b00-b00abff-8829-40b4</t>
  </si>
  <si>
    <t>Apartamento en alquiler en Ur. Balta,"Ur. Balta, Miraflores, Lima, Lima ",USD850,3 dormitorios,2 baÃ±os,190 mÂ²,,S/.250,Apartamento,Alquiler,22 mar. 2023 - Publicado por Proyectum  PerÃº,https://www.properati.com.pe/detalle/14032-32-c44b-815467a519b3-785d63be-8457-40ce</t>
  </si>
  <si>
    <t>Apartamento en alquiler en Ur. America,"Ur. America, Miraflores, Lima, Lima ","USD1,600",2 dormitorios,3 baÃ±os,104 mÂ²,2005,S/.635,Apartamento,Alquiler,"Hace 3 semanas, 16 horas - Publicado por Dora Merlo Paz SoldÃ¡n",https://www.properati.com.pe/detalle/14032-32-cdde-691d178457ed-57fb2310-8768-120d</t>
  </si>
  <si>
    <t>Casa en alquiler en San MartÃ­n de Porres,"San MartÃ­n de Porres, Lima, Lima ","USD3,400",8 dormitorios,8 baÃ±os,465 mÂ²,,,Casa,Alquiler,16 ene. 2023 - Publicado por REMAX FENIX,https://www.properati.com.pe/detalle/14032-32-da3a-b792384f7649-b778adf0-a3e1-4c1e</t>
  </si>
  <si>
    <t>Apartamento en alquiler en Ur. Corpac,"Ur. Corpac, San Isidro, Lima, Lima ",USD750,3 dormitorios,2 baÃ±os,134 mÂ²,2000,S/.100,Apartamento,Alquiler,"Hace 2 semanas, 1 dÃ­a - Publicado por JUAN LIBORIO CORREA LUNA",https://www.properati.com.pe/detalle/14032-32-4849-32aa1e4190c7-32bda875-9ab9-4e4b</t>
  </si>
  <si>
    <t>Apartamento en alquiler en Ur. Arboleda De Maranga,"Ur. Arboleda De Maranga, San Miguel, Lima, Lima ",USD479,3 dormitorios,3 baÃ±os,1 Medio baÃ±o,104 mÂ²,,Apartamento,Alquiler,17 mar. 2023 - Publicado por  Ivan  Santa Cruz Maza ,https://www.properati.com.pe/detalle/14032-32-a76a-3d01fc1df23d-2ee6e1a0-a8a9-3b9d</t>
  </si>
  <si>
    <t>Apartamento en alquiler en Ur. La ViÃ±ita,"Ur. La ViÃ±ita, Barranco, Lima, Lima ",USD650,1 dormitorio,1 baÃ±o,42 mÂ²,2017,,Apartamento,Alquiler,"Hace 2 semanas, 1 dÃ­a - Publicado por RE/MAX PRO",https://www.properati.com.pe/detalle/14032-32-b843-af9eb64aaff0-fe810b82-8c8c-4c81</t>
  </si>
  <si>
    <t>Apartamento en alquiler en Urb SeÃ±orial,"Urb SeÃ±orial, Arequipa, Arequipa ","S/.1,750",3 dormitorios,3 baÃ±os,105 mÂ²,2020,,Apartamento,Alquiler,28 ago. 2021 - Publicado por Deglane Melgar Jorge Luis,https://www.properati.com.pe/detalle/14032-32-b2c0-9b6984ee2e40-36e9b35d-b153-489e</t>
  </si>
  <si>
    <t>Casa en alquiler en Ur. El Palomar,"Ur. El Palomar, San Isidro, Lima, Lima ","USD2,600",4 dormitorios,5 baÃ±os,351 mÂ²,1958,,Casa,Alquiler,Hace 3 semanas - Publicado por IMMOBILIARE,https://www.properati.com.pe/detalle/14032-32-9430-c786f9b5843e-f3a8a0b8-bab0-48b7</t>
  </si>
  <si>
    <t>Apartamento en alquiler en Ur. San Eduardo,"Ur. San Eduardo, Chiclayo, Chiclayo, Lambayeque ","S/.2,200",2 dormitorios,2 baÃ±os,120 mÂ²,,S/.230,Apartamento,Alquiler,16 mar. 2023 - Publicado por Lula Botey Inmobiliaria,https://www.properati.com.pe/detalle/14032-32-1f40-416116e882f2-a9eeb6f4-b74a-4ade</t>
  </si>
  <si>
    <t>Apartamento en alquiler en Ur. A. Cabrejos Falla,"Ur. A. Cabrejos Falla, Chiclayo, Chiclayo, Lambayeque ","USD1,000",3 dormitorios,4 baÃ±os,145 mÂ²,,S/.500,Apartamento,Alquiler,16 mar. 2023 - Publicado por Lula Botey Inmobiliaria,https://www.properati.com.pe/detalle/14032-32-cfee-b53ef7ca2ebc-a94c34be-8f8b-4818</t>
  </si>
  <si>
    <t>Apartamento en alquiler en Ur. San Isidro,"Ur. San Isidro, San Isidro, Lima, Lima ",USD620,1 dormitorio,1 baÃ±o,49 mÂ²,1998,S/.350,Apartamento,Alquiler,22 feb. 2023 - Publicado por Corretaje Pelusa,https://www.properati.com.pe/detalle/14032-32-d888-54606aac676f-72bdbc14-80f1-4b15</t>
  </si>
  <si>
    <t>Casa en alquiler en San Isidro,"San Isidro, Lima, Lima ","USD1,900",3 dormitorios,3 baÃ±os,311 mÂ²,,,Casa,Alquiler,16 feb. 2023 - Publicado por Faure Cruz,https://www.properati.com.pe/detalle/14032-32-68d0-384e2e5eb19e-33b6ee76-8387-4057</t>
  </si>
  <si>
    <t>Apartamento en alquiler en Ur. La ViÃ±ita,"Ur. La ViÃ±ita, Barranco, Lima, Lima ",USD650,1 dormitorio,1 baÃ±o,51 mÂ²,2022,S/.260,Apartamento,Alquiler,2 feb. 2023 - Publicado por RE/MAX Expo,https://www.properati.com.pe/detalle/14032-32-3a64-1e7b4763a5e9-bd8c307f-9378-4956</t>
  </si>
  <si>
    <t>Apartamento en alquiler en Magdalena del Mar,"Magdalena del Mar, Lima, Lima ",USD980,3 dormitorios,2 baÃ±os,126 mÂ²,2014,S/.300,Apartamento,Alquiler,"Hace 2 semanas, 3 dÃ­as - Publicado por joresco real estate",https://www.properati.com.pe/detalle/14032-32-d11f-d79deca05055-5c3e0660-b6d7-120d</t>
  </si>
  <si>
    <t>Apartamento en alquiler en Ur. Aurora Este,"Ur. Aurora Este, Surquillo, Lima, Lima ","S/.3,300",4 dormitorios,3 baÃ±os,160 mÂ²,2013,S/.300,Apartamento,Alquiler,"Hace 2 semanas, 2 dÃ­as - Publicado por Piero Ã±opo EchevarrÃ­a",https://www.properati.com.pe/detalle/14032-32-5850-34c14bf9f410-493c716b-8eb2-44eb</t>
  </si>
  <si>
    <t>HabitaciÃ³n en alquiler en Castilla,"Castilla, Piura, Piura ",USD115,3 dormitorios,2 baÃ±os,8 mÂ²,2016,,HabitaciÃ³n,Alquiler,24 feb. 2023 - Publicado por  Christhian Alonso Panta FarfÃ¡n ,https://www.properati.com.pe/detalle/14032-32-1b97-9bc10beb93e2-909b7758-a27e-31af</t>
  </si>
  <si>
    <t>Apartamento en alquiler en Ur. Armendariz,"Ur. Armendariz, Miraflores, Lima, Lima ","S/.3,500",3 dormitorios,3 baÃ±os,125 mÂ²,2010,S/.614,Apartamento,Alquiler,17 mar. 2023 - Publicado por Luis Cano-Alva Vidal,https://www.properati.com.pe/detalle/14032-32-c4e3-b9f848e679e8-943cc210-b912-120d</t>
  </si>
  <si>
    <t>Apartamento en alquiler en Ur. La Huaca,"Ur. La Huaca, La Perla, Callao, Callao ","S/.1,500",3 dormitorios,2 baÃ±os,57 mÂ²,2017,S/.150,Apartamento,Alquiler,17 mar. 2023 - Publicado por Pilar Zunjic,https://www.properati.com.pe/detalle/14032-32-6bcf-93d99a37b746-63d1e045-9b01-45ed</t>
  </si>
  <si>
    <t>Apartamento en alquiler en Surquillo,"Surquillo, Lima, Lima ","S/.1,900",1 dormitorio,1 baÃ±o,44 mÂ²,2018,S/.150,Apartamento,Alquiler,29 nov. 2022 - Publicado por SOCIOS INMOBILIARIOS,https://www.properati.com.pe/detalle/14032-32-6fa7-ed0c1bbf0376-af106a10-a579-120d</t>
  </si>
  <si>
    <t>Apartamento en alquiler en Ur. La Calera De Monterrico,"Ur. La Calera De Monterrico, Surquillo, Lima, Lima ","S/.2,400",3 dormitorios,2 baÃ±os,75 mÂ²,2017,S/.170,Apartamento,Alquiler,"Hace 2 semanas, 6 dÃ­as - Publicado por RE/MAX Principal pe",https://www.properati.com.pe/detalle/14032-32-220f-d57c5144bc45-764adc8c-9b53-4dd0</t>
  </si>
  <si>
    <t>Apartamento en alquiler en Ur. San Felipe,"Ur. San Felipe, JesÃºs MarÃ­a, Lima, Lima ","S/.2,200",2 dormitorios,3 baÃ±os,80 mÂ²,2012,,Apartamento,Alquiler,17 nov. 2022 - Publicado por Cesar MuÃ±oz,https://www.properati.com.pe/detalle/14032-32-74e1-e57052d8a79a-5a150a61-96b9-3c01</t>
  </si>
  <si>
    <t>Casa en alquiler en Sd. Aeropuerto De Collique,"Sd. Aeropuerto De Collique, Comas, Lima, Lima ","S/.3,200",4 dormitorios,2 baÃ±os,140 mÂ²,1980,,Casa,Alquiler,6 mar. 2023 - Publicado por joresco real estate,https://www.properati.com.pe/detalle/14032-32-bbd9-7db7ccf0d756-b533fb40-941e-120d</t>
  </si>
  <si>
    <t>Apartamento en alquiler en Comas,"Comas, Lima, Lima ","S/.1,500",3 dormitorios,2 baÃ±os,102 mÂ²,2022,S/.120,Apartamento,Alquiler,"Hace 3 semanas, 17 horas - Publicado por RAIZ INMOBILIARIA &amp; MARKETING S.A.C.",https://www.properati.com.pe/detalle/14032-32-cdd5-4fb23686def2-fd3fe0d0-bb17-120d</t>
  </si>
  <si>
    <t>Apartamento en alquiler en Ur. Los Chasquis Iii Etapa,"Ur. Los Chasquis Iii Etapa, Comas, Lima, Lima ","S/.1,350",3 dormitorios,2 baÃ±os,76 mÂ²,2020,S/.120,Apartamento,Alquiler,12 mar. 2023 - Publicado por RAIZ INMOBILIARIA &amp; MARKETING S.A.C.,https://www.properati.com.pe/detalle/14032-32-7ab1-35fb8553b994-a30add15-b8f7-40d3</t>
  </si>
  <si>
    <t>Apartamento en alquiler en Hu. Cercado De Miraflores,"Hu. Cercado De Miraflores, Miraflores, Lima, Lima ",USD730,2 dormitorios,3 baÃ±os,117 mÂ²,2005,S/.280,Apartamento,Alquiler,"Hace 2 semanas, 3 dÃ­as - Publicado por RE/MAX POWER EXPO",https://www.properati.com.pe/detalle/14032-32-482c-61d40690ab70-372523ee-bcc3-42de</t>
  </si>
  <si>
    <t>Apartamento en alquiler en Los Frutales,"Los Frutales, Arequipa, Arequipa, Arequipa ","S/.2,000",1 dormitorio,1 baÃ±o,71 mÂ²,2020,S/.238,Apartamento,Alquiler,"Hace 2 semanas, 5 dÃ­as - Publicado por INHOGAR J &amp; B CONSTRUCTORA INMOBILIARIA",https://www.properati.com.pe/detalle/14032-32-afa8-d7c0410c0881-a50679bc-a31f-4403</t>
  </si>
  <si>
    <t>Apartamento en alquiler en Ur. Manuel Prado,"Ur. Manuel Prado, Paucarpata, Arequipa, Arequipa ","S/.2,700",5 dormitorios,5 baÃ±os,210 mÂ²,2020,S/.60,Apartamento,Alquiler,"Hace 2 semanas, 5 dÃ­as - Publicado por INHOGAR J &amp; B CONSTRUCTORA INMOBILIARIA",https://www.properati.com.pe/detalle/14032-32-9d4c-47ec898eec23-59d19284-8800-42ff</t>
  </si>
  <si>
    <t>Apartamento en alquiler en Ur. Los Andenes,"Ur. Los Andenes, Cayma, Arequipa, Arequipa ","S/.2,200",3 dormitorios,3 baÃ±os,145 mÂ²,,S/.150,Apartamento,Alquiler,20 mar. 2023 - Publicado por ANGELICA ESTEFANIA MENDOZA ZEGARRA,https://www.properati.com.pe/detalle/14032-32-7a4f-75bd795e32d2-42110830-b90f-4c5a</t>
  </si>
  <si>
    <t>Casa en alquiler en As. Virgen Del Rosario,"As. Virgen Del Rosario, Comas, Lima, Lima ","S/.3,500",4 dormitorios,3 baÃ±os,195 mÂ²,2003,,Casa,Alquiler,"Hace 3 semanas, 17 horas - Publicado por REMAX FAMILY",https://www.properati.com.pe/detalle/14032-32-c644-72f6b45370bc-c7507dd0-b036-42c9</t>
  </si>
  <si>
    <t>Apartamento en alquiler en Yanahuara,"Yanahuara, Arequipa, Arequipa ","S/.2,100",4 dormitorios,2 baÃ±os,110 mÂ²,2016,S/.100,Apartamento,Alquiler,"Hace 2 semanas, 3 dÃ­as - Publicado por INHOGAR J &amp; B CONSTRUCTORA INMOBILIARIA",https://www.properati.com.pe/detalle/14032-32-6a79-ec94133f3a2d-f1c4b8d0-9cdf-4f2e</t>
  </si>
  <si>
    <t>Apartamento en alquiler en Ur. San Isidro,"Ur. San Isidro, San Isidro, Lima, Lima ","S/.2,900",2 dormitorios,2 baÃ±os,62 mÂ²,2023,S/.250,Apartamento,Alquiler,"Hace 2 semanas, 3 dÃ­as - Publicado por Dominio Inmobiliaria",https://www.properati.com.pe/detalle/14032-32-673d-29ef2b237fc7-27af2291-bb07-4bcb</t>
  </si>
  <si>
    <t>Apartamento en alquiler en Miraflores,"Miraflores, Arequipa, Arequipa ","USD1,300",3 dormitorios,3 baÃ±os,190 mÂ²,2015,S/.300,Apartamento,Alquiler,8 ene. 2023 - Publicado por RUIZ BAGLIETTO TERESA ENRIQUETA,https://www.properati.com.pe/detalle/14032-32-964f-d43312e9a836-7810266-be93-4e8b</t>
  </si>
  <si>
    <t>Apartamento en alquiler en Ur. Barboncito,"Ur. Barboncito, Miraflores, Lima, Lima ",USD790,2 dormitorios,2 baÃ±os,65 mÂ²,2013,S/.240,Apartamento,Alquiler,27 mar. 2023 - Publicado por Oscar Leandro PeÃ±a Villanueva,https://www.properati.com.pe/detalle/14032-32-da0a-e81c3582dd8c-108951d9-87b8-4123</t>
  </si>
  <si>
    <t>Casa en alquiler en Ur. El Cortijo Etapa I,"Ur. El Cortijo Etapa I, Santiago de Surco, Lima, Lima ","USD2,500",5 dormitorios,7 baÃ±os,360 mÂ²,2015,"S/.1,000",Casa,Alquiler,20 mar. 2023 - Publicado por Milagros Garibaldi,https://www.properati.com.pe/detalle/14032-32-e39a-710893f34df5-331267f8-831b-4e5c</t>
  </si>
  <si>
    <t>Apartamento en alquiler en Hu. Cercado De Miraflores,"Hu. Cercado De Miraflores, Miraflores, Lima, Lima ",S/.999,1 dormitorio,1 baÃ±o,20 mÂ²,2000,,Apartamento,Alquiler,4 ene. 2023 - Publicado por DAVID LEYVA HERNANDEZ,https://www.properati.com.pe/detalle/14032-32-5a9a-c9bfc6fe70d0-7c77f93e-91a9-3a21</t>
  </si>
  <si>
    <t>Apartamento en alquiler en Ur. Balta,"Ur. Balta, Miraflores, Lima, Lima ",USD700,2 dormitorios,2 baÃ±os,90 mÂ²,2013,S/.1,Apartamento,Alquiler,26 mar. 2023 - Publicado por Luis Joya Inmobiliaria,https://www.properati.com.pe/detalle/14032-32-cc07-818aa7b9af2c-55dcc8f0-a622-120d</t>
  </si>
  <si>
    <t>Apartamento en alquiler en Ur. Balta,"Ur. Balta, Miraflores, Lima, Lima ","USD1,250",3 dormitorios,4 baÃ±os,160 mÂ²,,,Apartamento,Alquiler,"Hace 2 semanas, 4 dÃ­as - Publicado por RE/MAX Principal pe",https://www.properati.com.pe/detalle/14032-32-9427-47a008ff101e-85e541a9-8ff4-3e7b</t>
  </si>
  <si>
    <t>Apartamento en alquiler en Chiclayo,"Chiclayo, Lambayeque ","S/.2,100",3 dormitorios,2 baÃ±os,130 mÂ²,130 mÂ²,,Apartamento,Alquiler,24 mar. 2022 - Publicado por Lula Botey Inmobiliaria,https://www.properati.com.pe/detalle/14032-32-1d2f-12f4d86cb455-c4036d0c-a808-3adf</t>
  </si>
  <si>
    <t>Casa en alquiler en Ur. Santa Cruz,"Ur. Santa Cruz, Miraflores, Lima, Lima ","USD1,300",4 dormitorios,3 baÃ±os,220 mÂ²,1980,S/.100,Casa,Alquiler,25 ene. 2023 - Publicado por Corretajes Inmobiliarios Matessa SAC,https://www.properati.com.pe/detalle/14032-32-9c4d-bf30d76558ca-81c9abfc-a229-4eaf</t>
  </si>
  <si>
    <t>Apartamento en alquiler en As. La Era,"As. La Era, Lurigancho, Lima, Lima ","S/.1,000",3 dormitorios,2 baÃ±os,67 mÂ²,2017,S/.110,Apartamento,Alquiler,25 ene. 2023 - Publicado por RE/MAX POWER EXPO,https://www.properati.com.pe/detalle/14032-32-9ba2-84143ec721dd-3f5e760b-8e96-4a77</t>
  </si>
  <si>
    <t>Apartamento en alquiler en Ur. El Totoral,"Ur. El Totoral, Santiago de Surco, Lima, Lima ","S/.2,000",3 dormitorios,1 baÃ±o,90 mÂ²,2018,S/.100,Apartamento,Alquiler,"Hace 2 semanas, 4 dÃ­as - Publicado por John E. Diaz",https://www.properati.com.pe/detalle/14032-32-8b2-d2675ed7ad79-846eee7-8da8-4ad6</t>
  </si>
  <si>
    <t>Apartamento en alquiler en Ur. Parque San Martin,"Ur. Parque San Martin, Pueblo Libre, Lima, Lima ","S/.2,600",3 dormitorios,2 baÃ±os,85 mÂ²,2015,,Apartamento,Alquiler,14 mar. 2023 - Publicado por Martha Vargas Serrano,https://www.properati.com.pe/detalle/14032-32-ea6-9ee0d71f8266-64caaaa1-9e8b-4690</t>
  </si>
  <si>
    <t>Apartamento en alquiler en Ur. Humboldt,"Ur. Humboldt, Miraflores, Lima, Lima ","S/.2,700",3 dormitorios,4 baÃ±os,100 mÂ²,2013,S/.290,Apartamento,Alquiler,"Hace 2 semanas, 5 dÃ­as - Publicado por JM HOME INMOBILIARIA",https://www.properati.com.pe/detalle/14032-32-34ed-ca047eaa1fe1-f799dd67-a269-4814</t>
  </si>
  <si>
    <t>Apartamento en alquiler en Ur. San Jose (Santa Cecilia),"Ur. San Jose (Santa Cecilia), Bellavista, Callao, Callao ","S/.1,450",2 dormitorios,2 baÃ±os,65 mÂ²,2023,S/.50,Apartamento,Alquiler,"Hace 2 semanas, 4 dÃ­as - Publicado por Nexdor SAC",https://www.properati.com.pe/detalle/14032-32-1685-34ead0ebeb30-d4fba299-bc45-4275</t>
  </si>
  <si>
    <t>Apartamento en alquiler en Ur. San Jose (Santa Cecilia),"Ur. San Jose (Santa Cecilia), Bellavista, Callao, Callao ","S/.1,350",2 dormitorios,1 baÃ±o,50 mÂ²,2023,S/.50,Apartamento,Alquiler,"Hace 2 semanas, 4 dÃ­as - Publicado por Nexdor SAC",https://www.properati.com.pe/detalle/14032-32-591d-5efdfabb070b-a84d82b0-b8f8-49e5</t>
  </si>
  <si>
    <t>Apartamento en alquiler en Ur. Jardin,"Ur. Jardin, San Isidro, Lima, Lima ","USD1,000",2 dormitorios,2 baÃ±os,72 mÂ²,2021,S/.250,Apartamento,Alquiler,22 feb. 2023 - Publicado por RE/MAX Principal pe,https://www.properati.com.pe/detalle/14032-32-6433-61314a5b0d9a-f851fa3e-aaf6-4d4f</t>
  </si>
  <si>
    <t>Apartamento en alquiler en Hu. Cercado De Miraflores,"Hu. Cercado De Miraflores, Miraflores, Lima, Lima ","USD1,000",2 dormitorios,2 baÃ±os,100 mÂ²,2014,S/.575,Apartamento,Alquiler,"Hace 2 semanas, 5 dÃ­as - Publicado por RocÃ­o Mazzetti",https://www.properati.com.pe/detalle/14032-32-1b45-9d2baf50cb5e-aaefd41a-8c6a-4738</t>
  </si>
  <si>
    <t>Apartamento en alquiler en Ur. Santa Rosa De Surco,"Ur. Santa Rosa De Surco, Santiago de Surco, Lima, Lima ","S/.2,800",4 dormitorios,4 baÃ±os,120 mÂ²,2014,S/.100,Apartamento,Alquiler,9 dic. 2022 - Publicado por RE/MAX Expo,https://www.properati.com.pe/detalle/14032-32-4f9d-f85d858cf382-7ff74700-96bf-4ed0</t>
  </si>
  <si>
    <t>Casa en alquiler en Ur. Country Club,"Ur. Country Club, San Isidro, Lima, Lima ","USD1,900",5 dormitorios,5 baÃ±os,186 mÂ²,,,Casa,Alquiler,21 feb. 2023 - Publicado por REMAX UNITED,https://www.properati.com.pe/detalle/14032-32-8be4-cfcff68ca856-51bb9f0f-a408-4687</t>
  </si>
  <si>
    <t>Apartamento en alquiler en Hu. Cercado De Miraflores,"Hu. Cercado De Miraflores, Miraflores, Lima, Lima ","USD1,250",4 dormitorios,3 baÃ±os,200 mÂ²,2003,S/.600,Apartamento,Alquiler,17 mar. 2023 - Publicado por Manoj Punjabi - Inmobiliaria Mi Casa SoÃ±ada ,https://www.properati.com.pe/detalle/14032-32-7982-1bc73fa8cbee-eaab3740-b652-45ed</t>
  </si>
  <si>
    <t>Apartamento en alquiler en Ur. Los Rosales Ampliacion Etapa Ii,"Ur. Los Rosales Ampliacion Etapa Ii, Santiago de Surco, Lima, Lima ","S/.2,300",3 dormitorios,3 baÃ±os,118 mÂ²,1992,S/.120,Apartamento,Alquiler,15 nov. 2022 - Publicado por RE/MAX Expo,https://www.properati.com.pe/detalle/14032-32-87ad-16c6cc206928-bb9b2616-87a3-4489</t>
  </si>
  <si>
    <t>Apartamento en alquiler en Urb San Luis,"Urb San Luis, Provincia de Lima, Provincia de Lima ",USD850,2 dormitorios,2 baÃ±os,75 mÂ²,2017,S/.330,Apartamento,Alquiler,15 ago. 2022 - Publicado por TELULET Real Estate Group,https://www.properati.com.pe/detalle/14032-32-1cf5-21f342a30809-df8b8d50-abe3-120d</t>
  </si>
  <si>
    <t>Apartamento en alquiler en Ur. San Luis,"Ur. San Luis, Barranco, Lima, Lima ",USD700,1 dormitorio,1 baÃ±o,57 mÂ²,2014,S/.350,Apartamento,Alquiler,9 feb. 2023 - Publicado por RE/MAX Expo,https://www.properati.com.pe/detalle/14032-32-2cc0-a6cd72a7f1b4-363717f6-8c0e-4ae7</t>
  </si>
  <si>
    <t>Apartamento en alquiler en Ur. Country Club,"Ur. Country Club, San Isidro, Lima, Lima ","USD1,680",2 dormitorios,2 baÃ±os,1 Medio baÃ±o,170 mÂ²,,Apartamento,Alquiler,20 mar. 2023 - Publicado por Esther Delgado,https://www.properati.com.pe/detalle/14032-32-61c-6fdca2eaf713-2f2a5ae7-850a-32d8</t>
  </si>
  <si>
    <t>Apartamento en alquiler en Ur. 28 De Julio,"Ur. 28 De Julio, Pueblo Libre, Lima, Lima ",USD550,2 dormitorios,1 baÃ±o,110 mÂ²,,,Apartamento,Alquiler,"Hace 3 semanas, 17 horas - Publicado por Galls Bienes Raices",https://www.properati.com.pe/detalle/14032-32-3f89-79f7c8368796-81a12db3-961a-4b21</t>
  </si>
  <si>
    <t>Apartamento en alquiler en Ur. La Calera De La Merced,"Ur. La Calera De La Merced, Surquillo, Lima, Lima ","S/.2,400",3 dormitorios,2 baÃ±os,75 mÂ²,,S/.180,Apartamento,Alquiler,27 feb. 2023 - Publicado por Jessica Medina V.,https://www.properati.com.pe/detalle/14032-32-5843-a3a6501b453f-23f7ed01-bbcc-416a</t>
  </si>
  <si>
    <t>Apartamento en alquiler en Ur. Leuro,"Ur. Leuro, Miraflores, Lima, Lima ",USD850,3 dormitorios,3 baÃ±os,135 mÂ²,2000,S/.430,Apartamento,Alquiler,21 mar. 2023 - Publicado por Luis Cano-Alva Vidal,https://www.properati.com.pe/detalle/14032-32-c854-e7a158890b4f-cb5dcc70-87cd-120d</t>
  </si>
  <si>
    <t>Apartamento en alquiler en Santiago de Surco,"Santiago de Surco, Lima, Lima ",USD680,3 dormitorios,2 baÃ±os,100 mÂ²,,S/.236,Apartamento,Alquiler,20 ene. 2023 - Publicado por Zoila Loyola,https://www.properati.com.pe/detalle/14032-32-19e7-373cf3c72a6-217bde68-abe6-4c16</t>
  </si>
  <si>
    <t>Apartamento en alquiler en Ur. Santa Cruz,"Ur. Santa Cruz, Miraflores, Lima, Lima ","USD3,000",3 dormitorios,3 baÃ±os,225 mÂ²,2022,S/.950,Apartamento,Alquiler,"Hace 2 semanas, 6 dÃ­as - Publicado por SANDRA USQUIANO",https://www.properati.com.pe/detalle/14032-32-1f6e-ed183900e498-f0de90ce-8bf2-4f6e</t>
  </si>
  <si>
    <t>Casa en alquiler en Los Alamos,"Los Alamos, Arequipa, Arequipa, Arequipa ","S/.3,500",5 dormitorios,4 baÃ±os,200 mÂ²,,,Casa,Alquiler,16 mar. 2023 - Publicado por CANDARES INMOBILIARIA,https://www.properati.com.pe/detalle/14032-32-eab4-332a2d4f61d2-cef9498c-8eea-446c</t>
  </si>
  <si>
    <t>Apartamento en alquiler en Ur. Chacarilla Santa Cruz Zona Santa Isabel B,"Ur. Chacarilla Santa Cruz Zona Santa Isabel B, San Isidro, Lima, Lima ","USD1,500",3 dormitorios,4 baÃ±os,162 mÂ²,2021,S/.1,Apartamento,Alquiler,"Hace 2 semanas, 5 dÃ­as - Publicado por RE/MAX Principal pe",https://www.properati.com.pe/detalle/14032-32-a1c3-f7987295299e-d725da53-8601-4876</t>
  </si>
  <si>
    <t>Apartamento en alquiler en Urb Confraternidad,"Urb Confraternidad, Provincia de Lima, Provincia de Lima ","USD1,000",1 dormitorio,2 baÃ±os,91 mÂ²,,S/.400,Apartamento,Alquiler,19 nov. 2021 - Publicado por Isotta Lima Space,https://www.properati.com.pe/detalle/14032-32-24f9-653e4f6756f8-9c2135e6-9344-4327</t>
  </si>
  <si>
    <t>Apartamento en alquiler en Ur. San Cesar Etapa I,"Ur. San Cesar Etapa I, La Molina, Lima, Lima ","S/.1,800",2 dormitorios,1 baÃ±o,40 mÂ²,2017,,Apartamento,Alquiler,21 mar. 2023 - Publicado por Astupropiedad,https://www.properati.com.pe/detalle/14032-32-66b4-c35c8486432d-3030e0e2-9250-42e4</t>
  </si>
  <si>
    <t>Apartamento en alquiler en Ur. Confraternidad,"Ur. Confraternidad, Barranco, Lima, Lima ","S/.2,300",1 dormitorio,1 baÃ±o,40 mÂ²,,,Apartamento,Alquiler,11 feb. 2023 - Publicado por Century 21 Ambassador,https://www.properati.com.pe/detalle/14032-32-b92f-cd70232acc41-7574c539-87d0-3310</t>
  </si>
  <si>
    <t>Apartamento en alquiler en Ur. Balta,"Ur. Balta, Miraflores, Lima, Lima ",USD850,2 dormitorios,3 baÃ±os,113 mÂ²,,S/.503,Apartamento,Alquiler,24 mar. 2023 - Publicado por Tatiana Peralta,https://www.properati.com.pe/detalle/14032-32-d80-4fa3595821ea-82aaf161-b1d6-4df5</t>
  </si>
  <si>
    <t>Apartamento en alquiler en Ur. Las Gardenias,"Ur. Las Gardenias, Santiago de Surco, Lima, Lima ","S/.1,650",1 dormitorio,1 baÃ±o,40 mÂ²,2000,S/.1,Apartamento,Alquiler,24 mar. 2023 - Publicado por NNK PERU SAC,https://www.properati.com.pe/detalle/14032-32-ca1e-cb690b357e8e-b3172cd0-b33c-120d</t>
  </si>
  <si>
    <t>Apartamento en alquiler en Pj. Mirones Bajo,"Pj. Mirones Bajo, Lima, Lima, Lima ","S/.2,200",2 dormitorios,2 baÃ±os,150 mÂ²,1993,,Apartamento,Alquiler,9 mar. 2023 - Publicado por Jeanette DÃ­az,https://www.properati.com.pe/detalle/14032-32-3337-7d86ec72983b-4d504795-9829-4d42</t>
  </si>
  <si>
    <t>Apartamento en alquiler en Ur. El Derby,"Ur. El Derby, Santiago de Surco, Lima, Lima ","USD2,000",4 dormitorios,5 baÃ±os,300 mÂ²,2018,"S/.1,100",Apartamento,Alquiler,17 feb. 2023 - Publicado por SOCIOS INMOBILIARIOS,https://www.properati.com.pe/detalle/14032-32-4023-18256b0daffc-25464ac9-9672-4893</t>
  </si>
  <si>
    <t>HabitaciÃ³n en alquiler en Ur. San Borja,"Ur. San Borja, San Borja, Lima, Lima ","S/.1,250",1 dormitorio,1 baÃ±o,25 mÂ²,25 mÂ²,,HabitaciÃ³n,Alquiler,19 feb. 2023 - Publicado por SOCIOS INMOBILIARIOS,https://www.properati.com.pe/detalle/14032-32-3831-60c1aa56a34d-2f25b518-92b1-4ff2</t>
  </si>
  <si>
    <t>HabitaciÃ³n en alquiler en Zona 7-B,"Zona 7-B, Urb San Borja, Provincia de Lima, Provincia de Lima ",S/.800,1 dormitorio,1 baÃ±o,20 mÂ²,2012,,HabitaciÃ³n,Alquiler,16 jul. 2022 - Publicado por SOCIOS INMOBILIARIOS,https://www.properati.com.pe/detalle/14032-32-f531-9b583d8a4c26-a943112b-9157-411c</t>
  </si>
  <si>
    <t>Apartamento en alquiler en Hu. Cercado De Miraflores,"Hu. Cercado De Miraflores, Miraflores, Lima, Lima ","USD1,100",3 dormitorios,3 baÃ±os,111 mÂ²,,S/.400,Apartamento,Alquiler,11 ene. 2023 - Publicado por SOCIOS INMOBILIARIOS,https://www.properati.com.pe/detalle/14032-32-d3bd-9b54828cd073-d9348758-8442-4bb2</t>
  </si>
  <si>
    <t>Apartamento en alquiler en Provincia de Lima,"Provincia de Lima, Provincia de Lima ",USD530,1 dormitorio,1 baÃ±o,,2016,S/.220,Apartamento,Alquiler,25 jul. 2022 - Publicado por joresco real estate,https://www.properati.com.pe/detalle/14032-32-7be3-2593e5e2c0f4-aa2fc254-9191-468d</t>
  </si>
  <si>
    <t>Apartamento en alquiler en Ur. Balta,"Ur. Balta, Miraflores, Lima, Lima ","USD1,300",2 dormitorios,2 baÃ±os,1 Medio baÃ±o,165 mÂ²,,Apartamento,Alquiler,7 mar. 2023 - Publicado por MarÃ­a Ximena Velarde Jara,https://www.properati.com.pe/detalle/14032-32-71b4-d93291f8b457-1f454a50-9520-3358</t>
  </si>
  <si>
    <t>Casa en alquiler en Pucallpa,"Pucallpa, Coronel Portillo, Ucayali ","S/.4,500",3 dormitorios,3 baÃ±os,,800 mÂ²,,Casa,Alquiler,"Hace 2 semanas, 6 dÃ­as - Publicado por Area Corporativa SAC",https://www.properati.com.pe/detalle/14032-32-61ef-5e64337ce2a-fb09104c-bd5b-356e</t>
  </si>
  <si>
    <t>Apartamento en alquiler en Ur. Valle Hermoso Oeste,"Ur. Valle Hermoso Oeste, Santiago de Surco, Lima, Lima ","USD1,250",3 dormitorios,3 baÃ±os,166 mÂ²,2010,,Apartamento,Alquiler,28 feb. 2023 - Publicado por RE/MAX PERÃš,https://www.properati.com.pe/detalle/14032-32-6728-9ae20305443a-efd967ef-bd8f-47ac</t>
  </si>
  <si>
    <t>Apartamento en alquiler en Ur. Risso,"Ur. Risso, San Isidro, Lima, Lima ","S/.3,000",3 dormitorios,3 baÃ±os,99 mÂ²,2015,S/.400,Apartamento,Alquiler,"Hace 2 semanas, 6 dÃ­as - Publicado por LOGRA Inmobiliaria",https://www.properati.com.pe/detalle/14032-32-f36c-c7d962cf0c38-c5de7593-a00e-496a</t>
  </si>
  <si>
    <t>Apartamento en alquiler en San Isidro,"San Isidro, Lima, Lima ","USD2,500",4 dormitorios,3 baÃ±os,283 mÂ²,1998,"S/.1,200",Apartamento,Alquiler,"Hace 2 semanas, 6 dÃ­as - Publicado por Penthouse Peru Bienes Raices",https://www.properati.com.pe/detalle/14032-32-72e9-c4ee70afb7ae-7fb22879-911d-4856</t>
  </si>
  <si>
    <t>Apartamento en alquiler en Ur. Orrantia,"Ur. Orrantia, San Isidro, Lima, Lima ","USD1,100",2 dormitorios,2 baÃ±os,112 mÂ²,2013,S/.1,Apartamento,Alquiler,25 feb. 2023 - Publicado por RE/MAX Lider-Luis Lancho Navas,https://www.properati.com.pe/detalle/14032-32-7f32-71eb309b456e-388a0e68-8b66-4383</t>
  </si>
  <si>
    <t>Apartamento en alquiler en As. Huertizacion Progreso La Estrella,"As. Huertizacion Progreso La Estrella, Ate, Lima, Lima ","S/.1,550",3 dormitorios,3 baÃ±os,129 mÂ²,2011,S/.1,Apartamento,Alquiler,25 feb. 2023 - Publicado por RE/MAX Lider-Luis Lancho Navas,https://www.properati.com.pe/detalle/14032-32-8301-bbda6b705cc7-fe699b23-a8dd-4a23</t>
  </si>
  <si>
    <t>Casa en alquiler en Ur. Los Granados,"Ur. Los Granados, Santiago de Surco, Lima, Lima ","USD3,000",4 dormitorios,2 baÃ±os,486 mÂ²,2000,S/.1,Casa,Alquiler,15 mar. 2023 - Publicado por RE/MAX Lider-Luis Lancho Navas,https://www.properati.com.pe/detalle/14032-32-b1b9-bef066921586-e368ac1-aba5-4827</t>
  </si>
  <si>
    <t>Casa en alquiler en Ur. Santa Ines,"Ur. Santa Ines, Trujillo, Trujillo, La Libertad ","S/.6,500",4 dormitorios,5 baÃ±os,300 mÂ²,1983,,Casa,Alquiler,16 mar. 2023 - Publicado por JOSE CARDENAS BIENES RAICES,https://www.properati.com.pe/detalle/14032-32-3fed-a861589c74fe-8306431a-b7df-4f6b</t>
  </si>
  <si>
    <t>Apartamento en alquiler en Ur. San Antonio,"Ur. San Antonio, Miraflores, Lima, Lima ",USD900,1 dormitorio,2 baÃ±os,95 mÂ²,,,Apartamento,Alquiler,21 ene. 2023 - Publicado por REMAX AHORA,https://www.properati.com.pe/detalle/14032-32-dd35-d7aabe331d4c-5e89e593-96b9-434e</t>
  </si>
  <si>
    <t>Apartamento en alquiler en Ur. Corpac,"Ur. Corpac, San Isidro, Lima, Lima ","S/.2,000",1 dormitorio,1 baÃ±o,51 mÂ²,,,Apartamento,Alquiler,21 mar. 2023 - Publicado por REMAX CENTENARIO,https://www.properati.com.pe/detalle/14032-32-92af-4304eb64280b-62602adb-a5e4-40aa</t>
  </si>
  <si>
    <t>Apartamento en alquiler en Ur. Armendariz,"Ur. Armendariz, Miraflores, Lima, Lima ","USD1,000",2 dormitorios,2 baÃ±os,70 mÂ²,2023,S/.250,Apartamento,Alquiler,"Hace 2 semanas, 6 dÃ­as - Publicado por BegoÃ±a Pedraza Corretaje",https://www.properati.com.pe/detalle/14032-32-6bed-1ced6beac1dc-2e491d15-9bb4-4b64</t>
  </si>
  <si>
    <t>Apartamento en alquiler en Hu. Cercado De Miraflores,"Hu. Cercado De Miraflores, Miraflores, Lima, Lima ",USD850,2 dormitorios,2 baÃ±os,90 mÂ²,2010,S/.370,Apartamento,Alquiler,13 mar. 2023 - Publicado por Jaquelina GonzÃ¡les,https://www.properati.com.pe/detalle/14032-32-e1c4-b2d83d055111-faeea735-a9d6-500e</t>
  </si>
  <si>
    <t>Apartamento en alquiler en As. Santa Cruz De Nuevo Vitarte,"As. Santa Cruz De Nuevo Vitarte, Ate, Lima, Lima ","S/.1,800",3 dormitorios,1 baÃ±o,180 mÂ²,,,Apartamento,Alquiler,25 ago. 2022 - Publicado por C&amp;A Asesores y Consultores Inmobiliarios SAC,https://www.properati.com.pe/detalle/14032-32-aff3-97216e9a127d-860b68af-b783-4144</t>
  </si>
  <si>
    <t>Apartamento en alquiler en Ur. Limatambo,"Ur. Limatambo, Surquillo, Lima, Lima ","S/.2,200",3 dormitorios,2 baÃ±os,66 mÂ²,2022,S/.280,Apartamento,Alquiler,24 mar. 2023 - Publicado por Nexdor SAC,https://www.properati.com.pe/detalle/14032-32-3858-f5d3600d7e23-3ad0315-94e9-49f2</t>
  </si>
  <si>
    <t>Apartamento en alquiler en Santiago de Surco,"Santiago de Surco, Lima, Lima ","S/.1,750",3 dormitorios,2 baÃ±os,105 mÂ²,2002,,Apartamento,Alquiler,9 mar. 2023 - Publicado por RE/MAX Expo,https://www.properati.com.pe/detalle/14032-32-8834-b43eeacf96f0-7fee4bab-a35c-4cf6</t>
  </si>
  <si>
    <t>Apartamento en alquiler en Hu. Cercado De Miraflores,"Hu. Cercado De Miraflores, Miraflores, Lima, Lima ","USD1,100",3 dormitorios,2 baÃ±os,100 mÂ²,2021,S/.470,Apartamento,Alquiler,22 mar. 2023 - Publicado por Central Propiedades,https://www.properati.com.pe/detalle/14032-32-d9ac-ca35e2861277-41990eb6-a55c-4352</t>
  </si>
  <si>
    <t>Apartamento en alquiler en Ur. Balta,"Ur. Balta, Miraflores, Lima, Lima ","USD1,000",2 dormitorios,2 baÃ±os,98 mÂ²,2006,S/.400,Apartamento,Alquiler,15 mar. 2023 - Publicado por Corretaje Pelusa,https://www.properati.com.pe/detalle/14032-32-a57e-275d8ec4dcd7-1378276a-8256-4197</t>
  </si>
  <si>
    <t>Apartamento en alquiler en Ur. El Rosario,"Ur. El Rosario, San Isidro, Lima, Lima ","USD2,200",3 dormitorios,2 baÃ±os,210 mÂ²,2010,S/.750,Apartamento,Alquiler,4 ene. 2023 - Publicado por VerÃ³nica Arosemena,https://www.properati.com.pe/detalle/14032-32-cae8-d2d4cdcdd48c-f467d042-b7c8-471e</t>
  </si>
  <si>
    <t>Apartamento en alquiler en Hu. Cercado De Miraflores,"Hu. Cercado De Miraflores, Miraflores, Lima, Lima ",USD625,2 dormitorios,1 baÃ±o,60 mÂ²,2019,S/.130,Apartamento,Alquiler,21 mar. 2023 - Publicado por REMAX SUNSET,https://www.properati.com.pe/detalle/14032-32-6923-ae5c857336af-85c4792b-91f2-4396</t>
  </si>
  <si>
    <t>Casa en alquiler en Ur. Aurora,"Ur. Aurora, Miraflores, Lima, Lima ","USD3,500",3 dormitorios,3 baÃ±os,450 mÂ²,2000,,Casa,Alquiler,"Hace 3 semanas, 17 horas - Publicado por NG Inmobiliaria",https://www.properati.com.pe/detalle/14032-32-c520-cc99e52df87a-7e3b9d3b-a403-4826</t>
  </si>
  <si>
    <t>Apartamento en alquiler en Sector 1,"Sector 1, Provincia de Lima, Provincia de Lima ","USD2,500",3 dormitorios,3 baÃ±os,267 mÂ²,2011,S/.750,Apartamento,Alquiler,17 mar. 2022 - Publicado por Lucy Mier y Teran,https://www.properati.com.pe/detalle/14032-32-8b10-9f20b3f7acb8-a5a9485d-9701-4b73</t>
  </si>
  <si>
    <t>Apartamento en alquiler en Chorrillos,"Chorrillos, Lima, Lima ","USD1,400",3 dormitorios,3 baÃ±os,154 mÂ²,,,Apartamento,Alquiler,7 mar. 2023 - Publicado por CENTURY 21 INNOVA,https://www.properati.com.pe/detalle/14032-32-ccc1-3681eb9418e9-1adcae39-baa7-309b</t>
  </si>
  <si>
    <t>Apartamento en alquiler en Ur. Rosario De Villa,"Ur. Rosario De Villa, Chorrillos, Lima, Lima ","S/.1,800",1 dormitorio,1 baÃ±o,59 mÂ²,2023,S/.20,Apartamento,Alquiler,16 feb. 2023 - Publicado por INMOBILIARIA INTERNACIONAL DEL PERU,https://www.properati.com.pe/detalle/14032-32-69a8-d1c01a1596ff-66396271-af93-4d3c</t>
  </si>
  <si>
    <t>Apartamento en alquiler en Ur. Orrantia,"Ur. Orrantia, San Isidro, Lima, Lima ","USD1,200",3 dormitorios,3 baÃ±os,160 mÂ²,2012,S/.580,Apartamento,Alquiler,2 ene. 2023 - Publicado por Oscar Leandro PeÃ±a Villanueva,https://www.properati.com.pe/detalle/14032-32-923d-839d0497658d-6bf06a1e-9ecd-4a74</t>
  </si>
  <si>
    <t>Apartamento en alquiler en Ur. Country Club,"Ur. Country Club, San Isidro, Lima, Lima ","USD1,600",3 dormitorios,2 baÃ±os,205 mÂ²,,"S/.1,300",Apartamento,Alquiler,21 nov. 2022 - Publicado por Pilar Zunjic,https://www.properati.com.pe/detalle/14032-32-8b4f-b5eb7c5d3c61-fd23e806-a569-4304</t>
  </si>
  <si>
    <t>Apartamento en alquiler en Ur. Orrantia,"Ur. Orrantia, San Isidro, Lima, Lima ","USD1,200",3 dormitorios,2 baÃ±os,160 mÂ²,2012,S/.580,Apartamento,Alquiler,20 mar. 2023 - Publicado por Oscar Leandro PeÃ±a Villanueva,https://www.properati.com.pe/detalle/14032-32-8481-15ac85b3e13d-12b9d1a5-9157-44c1</t>
  </si>
  <si>
    <t>Apartamento en alquiler en Ur. Balta,"Ur. Balta, Miraflores, Lima, Lima ","USD1,700",4 dormitorios,4 baÃ±os,210 mÂ²,2005,,Apartamento,Alquiler,21 mar. 2023 - Publicado por Josh Vega,https://www.properati.com.pe/detalle/14032-32-c81f-55a286ca5677-97757aa0-8391-120d</t>
  </si>
  <si>
    <t>Apartamento en alquiler en Chiclayo,"Chiclayo, Chiclayo, Lambayeque ","USD80,000",4 dormitorios,2 baÃ±os,114 mÂ²,2019,S/.50,Apartamento,Alquiler,10 feb. 2023 - Publicado por RD. INMOBILIARIA DEL PERÃš SAC,https://www.properati.com.pe/detalle/14032-32-a9a7-51a65b7fe36a-c65fa750-9747-120d</t>
  </si>
  <si>
    <t>Apartamento en alquiler en Ur. San Idelfonso Del Vivero,"Ur. San Idelfonso Del Vivero, Santiago de Surco, Lima, Lima ","USD1,100",3 dormitorios,2 baÃ±os,118 mÂ²,2009,S/.450,Apartamento,Alquiler,3 mar. 2023 - Publicado por Inmobiliaria Casella,https://www.properati.com.pe/detalle/14032-32-553e-817f41e9ed86-a212aceb-bc48-435c</t>
  </si>
  <si>
    <t>Apartamento en alquiler en Ur. Leuro,"Ur. Leuro, Miraflores, Lima, Lima ","USD1,000",2 dormitorios,2 baÃ±os,80 mÂ²,2022,S/.375,Apartamento,Alquiler,4 mar. 2023 - Publicado por JY Inmobiliaria SAC,https://www.properati.com.pe/detalle/14032-32-bdb7-ecdd49f33496-9baebb64-8a91-4e80</t>
  </si>
  <si>
    <t>Casa en alquiler en Ur. Lobaton,"Ur. Lobaton, San Isidro, Lima, Lima ","USD1,300",5 dormitorios,2 baÃ±os,205 mÂ²,1983,S/.10,Casa,Alquiler,10 mar. 2023 - Publicado por ANA MARIA CECILIA ARTEAGA RODRIGUEZ,https://www.properati.com.pe/detalle/14032-32-7418-675bfbff8f95-38baadec-bc92-44df</t>
  </si>
  <si>
    <t>Apartamento en alquiler en Re. Monterrico Sur Ampliacion,"Re. Monterrico Sur Ampliacion, La Molina, Lima, Lima ","S/.2,800",3 dormitorios,2 baÃ±os,144 mÂ²,1989,S/.250,Apartamento,Alquiler,9 feb. 2023 - Publicado por JUAN LIBORIO CORREA LUNA,https://www.properati.com.pe/detalle/14032-32-7bd7-360ed67628bf-4eac03aa-aa2e-498d</t>
  </si>
  <si>
    <t>Apartamento en alquiler en Ur. San Borja,"Ur. San Borja, San Borja, Lima, Lima ","S/.3,000",2 dormitorios,2 baÃ±os,108 mÂ²,2000,S/.350,Apartamento,Alquiler,2 feb. 2023 - Publicado por VerÃ³nica Frida DÃ¡vila Herrera,https://www.properati.com.pe/detalle/14032-32-9e7-fa8dba76edc2-e1c9de04-85b4-485c</t>
  </si>
  <si>
    <t>Apartamento en alquiler en Ur. Santa Rosa,"Ur. Santa Rosa, San Isidro, Lima, Lima ","USD1,090",3 dormitorios,2 baÃ±os,168 mÂ²,1983,S/.500,Apartamento,Alquiler,1 dic. 2022 - Publicado por BÃ¼ro Propiedades,https://www.properati.com.pe/detalle/14032-32-16aa-d48ba4ac7a24-84b3b7c0-944d-4727</t>
  </si>
  <si>
    <t>Casa en alquiler en Ur. El Sol De La Molina Etapa Iii,"Ur. El Sol De La Molina Etapa Iii, La Molina, Lima, Lima ","USD1,650",5 dormitorios,5 baÃ±os,850 mÂ²,1986,,Casa,Alquiler,15 mar. 2023 - Publicado por RE/MAX PRO,https://www.properati.com.pe/detalle/14032-32-73b6-440818f2ab3a-d0f07808-acd7-4652</t>
  </si>
  <si>
    <t>Apartamento en alquiler en Ur. Humboldt,"Ur. Humboldt, Miraflores, Lima, Lima ",USD500,1 dormitorio,1 baÃ±o,50 mÂ²,,S/.150,Apartamento,Alquiler,"Hace 3 semanas, 17 horas - Publicado por RE/MAX POWER EXPO",https://www.properati.com.pe/detalle/14032-32-fac2-33d4d499732c-f2e46e77-9d0e-47fa</t>
  </si>
  <si>
    <t>Apartamento en alquiler en Ur. Zarate,"Ur. Zarate, San Juan de Lurigancho, Lima, Lima ","S/.1,200",2 dormitorios,1 baÃ±o,59 mÂ²,,S/.40,Apartamento,Alquiler,22 mar. 2023 - Publicado por JHURT Real Estate,https://www.properati.com.pe/detalle/14032-32-daac-72dffcc75c06-9fcaf28c-b842-48b6</t>
  </si>
  <si>
    <t>Apartamento en alquiler en Ur. Santa Beatriz,"Ur. Santa Beatriz, Lima, Lima, Lima ","S/.2,300",3 dormitorios,2 baÃ±os,77 mÂ²,2018,,Apartamento,Alquiler,22 mar. 2023 - Publicado por REMAX FAMILY,https://www.properati.com.pe/detalle/14032-32-eb1b-96fdf533a75c-2701ef6-900a-4899</t>
  </si>
  <si>
    <t>Apartamento en alquiler en Ur. Leuro,"Ur. Leuro, Miraflores, Lima, Lima ",USD850,2 dormitorios,2 baÃ±os,76 mÂ²,2009,S/.338,Apartamento,Alquiler,24 feb. 2023 - Publicado por VerÃ³nica Arosemena,https://www.properati.com.pe/detalle/14032-32-43db-20573448b184-b471a63e-bbdd-4c40</t>
  </si>
  <si>
    <t>Apartamento en alquiler en Ur. America,"Ur. America, Miraflores, Lima, Lima ",USD999,2 dormitorios,3 baÃ±os,126 mÂ²,2010,S/.460,Apartamento,Alquiler,21 mar. 2023 - Publicado por CarolÂ LeÃ³n,https://www.properati.com.pe/detalle/14032-32-c80c-1d0e178491b8-cec268f0-8659-120d</t>
  </si>
  <si>
    <t>Apartamento en alquiler en Ur. S/N,"Ur. S/N, Lince, Lima, Lima ","S/.1,900",1 dormitorio,1 baÃ±o,45 mÂ²,2022,,Apartamento,Alquiler,"Hace 3 semanas, 19 horas - Publicado por Remax Diamond",https://www.properati.com.pe/detalle/14032-32-a37d-3d80590c4383-90a06704-bba9-4516</t>
  </si>
  <si>
    <t>Apartamento en alquiler en Ur. San Juan Bautista De Chorrillos,"Ur. San Juan Bautista De Chorrillos, Chorrillos, Lima, Lima ",USD318,1 dormitorio,1 baÃ±o,,40 mÂ²,,Apartamento,Alquiler,15 mar. 2023 - Publicado por  Ivan  Santa Cruz Maza ,https://www.properati.com.pe/detalle/14032-32-d464-f8830174793b-56d58f77-bdd4-366d</t>
  </si>
  <si>
    <t>Apartamento en alquiler en Ur. Cerros De Camacho,"Ur. Cerros De Camacho, Santiago de Surco, Lima, Lima ","USD2,300",3 dormitorios,3 baÃ±os,285 mÂ²,2013,S/.900,Apartamento,Alquiler,17 mar. 2023 - Publicado por BÃ¼ro Propiedades,https://www.properati.com.pe/detalle/14032-32-29c-6b5cd9882b35-c5a54cfa-a8ae-4cf0</t>
  </si>
  <si>
    <t>Apartamento en alquiler en Ur. San Felipe,"Ur. San Felipe, JesÃºs MarÃ­a, Lima, Lima ","S/.1,500",2 dormitorios,1 baÃ±o,60 mÂ²,2006,,Apartamento,Alquiler,28 mar. 2023 - Publicado por Arias Propiedades,https://www.properati.com.pe/detalle/14032-32-d88c-557bcf407478-aaf9246f-8048-4e57</t>
  </si>
  <si>
    <t>Apartamento en alquiler en Ur. Santa Cruz,"Ur. Santa Cruz, Miraflores, Lima, Lima ",USD650,2 dormitorios,1 baÃ±o,115 mÂ²,2012,S/.1,Apartamento,Alquiler,29 nov. 2022 - Publicado por Cimiento Raices SAC,https://www.properati.com.pe/detalle/14032-32-47a5-3ae3cea7aad9-26657a8a-9d15-4b9a</t>
  </si>
  <si>
    <t>Apartamento en alquiler en Ur. Confraternidad,"Ur. Confraternidad, Barranco, Lima, Lima ","S/.2,500",1 dormitorio,1 baÃ±o,44 mÂ²,2022,S/.250,Apartamento,Alquiler,28 mar. 2023 - Publicado por Lien Hub Inmobiliario,https://www.properati.com.pe/detalle/14032-32-1e4b-a802b4ed3470-549cbddd-b7aa-4be1</t>
  </si>
  <si>
    <t>Apartamento en alquiler en Ur. Chacarilla Santa Cruz Zona Santa Maria,"Ur. Chacarilla Santa Cruz Zona Santa Maria, San Isidro, Lima, Lima ",USD750,1 dormitorio,1 baÃ±o,55 mÂ²,1988,,Apartamento,Alquiler,1 feb. 2023 - Publicado por LOGRA Inmobiliaria,https://www.properati.com.pe/detalle/14032-32-e8c1-657e72009120-41d041e5-8c00-4745</t>
  </si>
  <si>
    <t>Apartamento en alquiler en Ur. Textil Continental,"Ur. Textil Continental, Surquillo, Lima, Lima ","S/.2,500",3 dormitorios,2 baÃ±os,79 mÂ²,2021,S/.250,Apartamento,Alquiler,20 mar. 2023 - Publicado por JJ CONSULTORES E INMOBILIARIA SAC,https://www.properati.com.pe/detalle/14032-32-66fa-35a36ac2367f-75a83b87-91d1-4134</t>
  </si>
  <si>
    <t>Apartamento en alquiler en Casuarinas Sur,"Casuarinas Sur, Provincia de Lima, Provincia de Lima ",USD800,3 dormitorios,3 baÃ±os,150 mÂ²,2015,S/.600,Apartamento,Alquiler,3 ago. 2022 - Publicado por RE/MAX Expo,https://www.properati.com.pe/detalle/14032-32-d810-40dbaf3e8f4e-982c39a8-9332-484f</t>
  </si>
  <si>
    <t>Apartamento en alquiler en Zona 7-B,"Zona 7-B, Urb San Borja, Provincia de Lima, Provincia de Lima ","USD1,299",3 dormitorios,2 baÃ±os,102 mÂ²,2018,S/.250,Apartamento,Alquiler,11 oct. 2021 - Publicado por JC Consorcio Inmobiliario,https://www.properati.com.pe/detalle/14032-32-f060-8152b6f18d01-3649722a-a67f-4fef</t>
  </si>
  <si>
    <t>HabitaciÃ³n en alquiler en Ur. San Antonio,"Ur. San Antonio, Miraflores, Lima, Lima ","S/.1,350",1 dormitorio,1 baÃ±o,20 mÂ²,1980,S/.100,HabitaciÃ³n,Alquiler,24 mar. 2023 - Publicado por Perfect Places,https://www.properati.com.pe/detalle/14032-32-2731-3481bb9c5031-191b6863-b663-4db0</t>
  </si>
  <si>
    <t>Casa en alquiler en Ur. Humboldt,"Ur. Humboldt, Miraflores, Lima, Lima ","USD1,970",3 dormitorios,3 baÃ±os,230 mÂ²,,,Casa,Alquiler,27 mar. 2023 - Publicado por Inmoba Peru SAC,https://www.properati.com.pe/detalle/14032-32-54bb-67c9508d0a28-5d3cc5c0-83c1-45d2</t>
  </si>
  <si>
    <t>Apartamento en alquiler en Ur. San Eugenio,"Ur. San Eugenio, Lince, Lima, Lima ",USD750,2 dormitorios,2 baÃ±os,71 mÂ²,2019,S/.300,Apartamento,Alquiler,11 mar. 2023 - Publicado por Remax Plaza,https://www.properati.com.pe/detalle/14032-32-cc7f-ed02528e5eb6-e3fdc5e5-a258-4aac</t>
  </si>
  <si>
    <t>Casa en alquiler en Ur. Rinconada Del Lago Etapa Ii,"Ur. Rinconada Del Lago Etapa Ii, La Molina, Lima, Lima ","USD3,000",4 dormitorios,5 baÃ±os,650 mÂ²,,,Casa,Alquiler,24 mar. 2023 - Publicado por ISMAEL RIVAS OTERO,https://www.properati.com.pe/detalle/14032-32-54a8-5c778da00117-93355314-b152-4568</t>
  </si>
  <si>
    <t>Apartamento en alquiler en Ur. San Felipe,"Ur. San Felipe, JesÃºs MarÃ­a, Lima, Lima ","S/.2,400",2 dormitorios,2 baÃ±os,77 mÂ²,2007,,Apartamento,Alquiler,16 mar. 2023 - Publicado por RE/MAX PRO,https://www.properati.com.pe/detalle/14032-32-154c-f9149cb1f2fb-7a81aa8a-85e4-499d</t>
  </si>
  <si>
    <t>Casa en alquiler en Cieneguilla,"Cieneguilla, Lima, Lima ","USD1,100",4 dormitorios,4 baÃ±os,"1,024 mÂ²",2022,S/.150,Casa,Alquiler,7 dic. 2022 - Publicado por DCITY Inmobiliaria   -  Denisse Soto &amp; Asociados,https://www.properati.com.pe/detalle/14032-32-543f-7a0ddb6e4e6f-a8c47ffa-889d-4745</t>
  </si>
  <si>
    <t>Apartamento en alquiler en Ur. Risso,"Ur. Risso, San Isidro, Lima, Lima ","S/.3,000",3 dormitorios,2 baÃ±os,110 mÂ²,2011,,Apartamento,Alquiler,27 mar. 2023 - Publicado por Arias Propiedades,https://www.properati.com.pe/detalle/14032-32-bc2c-27fcb6cbac95-cbbf27b0-8027-4270</t>
  </si>
  <si>
    <t>Apartamento en alquiler en Ur. Juan Xxiii,"Ur. Juan Xxiii, San Borja, Lima, Lima ","S/.2,000",1 dormitorio,1 baÃ±o,75 mÂ²,2015,,Apartamento,Alquiler,27 mar. 2023 - Publicado por Arias Propiedades,https://www.properati.com.pe/detalle/14032-32-d620-b4c86092404-eb9585f5-ad8c-4d1d</t>
  </si>
  <si>
    <t>Apartamento en alquiler en Ur. Portada Del Sol Etapa I (A.E.M.G),"Ur. Portada Del Sol Etapa I (A.E.M.G), La Molina, Lima, Lima ","S/.1,500",2 dormitorios,2 baÃ±os,80 mÂ²,2017,,Apartamento,Alquiler,27 mar. 2023 - Publicado por Arias Propiedades,https://www.properati.com.pe/detalle/14032-32-4319-3c5254cf91e4-3d21f2e6-94d7-4f86</t>
  </si>
  <si>
    <t>Casa en alquiler en Hu. Cercado De Miraflores,"Hu. Cercado De Miraflores, Miraflores, Lima, Lima ","USD3,000",3 dormitorios,2 baÃ±os,153 mÂ²,,,Casa,Alquiler,26 feb. 2023 - Publicado por DREAM HOUSE MR. WONG EIRL,https://www.properati.com.pe/detalle/14032-32-4a67-92ca0de06a88-1e696a84-9d17-4d9c</t>
  </si>
  <si>
    <t>Apartamento en alquiler en Re. Las Camelias,"Re. Las Camelias, San Borja, Lima, Lima ",USD700,3 dormitorios,2 baÃ±os,110 mÂ²,1980,S/.180,Apartamento,Alquiler,9 mar. 2023 - Publicado por Acceso Bienes Raices,https://www.properati.com.pe/detalle/14032-32-bee4-d38fa3002692-c6c39fb0-b39b-120d</t>
  </si>
  <si>
    <t>Apartamento en alquiler en Ur. Mariscal Caceres Sector Iii Etapa 6Ta Y 7Ma,"Ur. Mariscal Caceres Sector Iii Etapa 6Ta Y 7Ma, San Juan de Lurigancho, Lima, Lima ","S/.1,850",3 dormitorios,2 baÃ±os,70 mÂ²,2016,,Apartamento,Alquiler,18 mar. 2023 - Publicado por REMAX CENTENARIO,https://www.properati.com.pe/detalle/14032-32-3284-9f33d45a4822-63248f1f-bcfe-41ce</t>
  </si>
  <si>
    <t>Apartamento en alquiler en Ur. Prolongacion Benavides,"Ur. Prolongacion Benavides, Santiago de Surco, Lima, Lima ","S/.2,000",3 dormitorios,2 baÃ±os,100 mÂ²,2017,,Apartamento,Alquiler,27 mar. 2023 - Publicado por Arias Propiedades,https://www.properati.com.pe/detalle/14032-32-d112-23c6e3db1a68-c9e24ce1-8464-4756</t>
  </si>
  <si>
    <t>Apartamento en alquiler en Ur. San Isidro,"Ur. San Isidro, San Isidro, Lima, Lima ",USD700,1 dormitorio,1 baÃ±o,45 mÂ²,2020,S/.280,Apartamento,Alquiler,17 mar. 2023 - Publicado por Armando Bustamante,https://www.properati.com.pe/detalle/14032-32-ae10-4d5bf36f37dd-178ae965-9eef-47b2</t>
  </si>
  <si>
    <t>Apartamento en alquiler en Ur. Oyague,"Ur. Oyague, Magdalena del Mar, Lima, Lima ","S/.2,300",2 dormitorios,2 baÃ±os,85 mÂ²,2015,S/.250,Apartamento,Alquiler,13 mar. 2023 - Publicado por Martha Vargas Serrano,https://www.properati.com.pe/detalle/14032-32-38d6-470bb6fede32-3cef1e39-a843-42c3</t>
  </si>
  <si>
    <t>Apartamento en alquiler en Surquillo,"Surquillo, Urb Jose Balta, Provincia de Lima, Provincia de Lima ",USD880,3 dormitorios,3 baÃ±os,94 mÂ²,2010,S/.880,Apartamento,Alquiler,15 mar. 2022 - Publicado por Fiorella Saldarriaga,https://www.properati.com.pe/detalle/14032-32-44a8-2e43ee8957f2-d56d4b1d-a4b6-44c0</t>
  </si>
  <si>
    <t>Apartamento en alquiler en Ur. Santo Domingo V Etapa,"Ur. Santo Domingo V Etapa, Carabayllo, Lima, Lima ",S/.700,2 dormitorios,1 baÃ±o,55 mÂ²,2015,,Apartamento,Alquiler,12 dic. 2022 - Publicado por EncontrÃ© tu Hogar,https://www.properati.com.pe/detalle/14032-32-7a01-572f2f094233-1d7a7320-af31-120d</t>
  </si>
  <si>
    <t>Apartamento en alquiler en Ur. Mercurio Ii Etapa,"Ur. Mercurio Ii Etapa, Los Olivos, Lima, Lima ","S/.1,500",3 dormitorios,1 baÃ±o,65 mÂ²,,"S/.1,500",Apartamento,Alquiler,17 mar. 2023 - Publicado por RE/MAX Principal pe,https://www.properati.com.pe/detalle/14032-32-8133-9693b9051a53-e60599c6-b8a1-4a22</t>
  </si>
  <si>
    <t>Apartamento en alquiler en Ur. San Luis,"Ur. San Luis, Miraflores, Lima, Lima ","USD1,190",2 dormitorios,3 baÃ±os,121 mÂ²,2022,S/.550,Apartamento,Alquiler,1 feb. 2023 - Publicado por RE/MAX Expo,https://www.properati.com.pe/detalle/14032-32-b45a-9598883522b4-f3c0546-85d9-44ea</t>
  </si>
  <si>
    <t>Apartamento en alquiler en Ur. Los Jazmines,"Ur. Los Jazmines, Santiago de Surco, Lima, Lima ",USD980,3 dormitorios,4 baÃ±os,126 mÂ²,2018,S/.500,Apartamento,Alquiler,19 nov. 2022 - Publicado por Fiorella Saldarriaga,https://www.properati.com.pe/detalle/14032-32-e617-264a4e17de5b-6a2b3402-ae31-4dbf</t>
  </si>
  <si>
    <t>Casa en alquiler en San Borja,"San Borja, Lima, Lima ","USD2,800",4 dormitorios,5 baÃ±os,550 mÂ²,,,Casa,Alquiler,10 mar. 2023 - Publicado por Century 21 Horizonte,https://www.properati.com.pe/detalle/14032-32-a32c-4a0ff11c1d7d-cea9bfb9-bc19-476b</t>
  </si>
  <si>
    <t>Apartamento en alquiler en Ba. Del Medico,"Ba. Del Medico, Surquillo, Lima, Lima ",USD700,3 dormitorios,2 baÃ±os,71 mÂ²,2018,S/.220,Apartamento,Alquiler,7 mar. 2023 - Publicado por RE/MAX Principal pe,https://www.properati.com.pe/detalle/14032-32-6529-a169617618e7-e96a739a-a472-4bb2</t>
  </si>
  <si>
    <t>Apartamento en alquiler en Ur. Country Club,"Ur. Country Club, San Isidro, Lima, Lima ","USD1,650",2 dormitorios,2 baÃ±os,135 mÂ²,2015,S/.653,Apartamento,Alquiler,24 mar. 2023 - Publicado por RocÃ­o Mazzetti,https://www.properati.com.pe/detalle/14032-32-1b0e-30882899e168-ee9a895e-a56c-4f1a</t>
  </si>
  <si>
    <t>Apartamento en alquiler en Santa Cruz,"Santa Cruz, Urb Cercado de Miraflores, Provincia de Lima, Provincia de Lima ",USD950,3 dormitorios,2 baÃ±os,116 mÂ²,2010,S/.310,Apartamento,Alquiler,13 jul. 2022 - Publicado por Midori Kishimoto,https://www.properati.com.pe/detalle/14032-32-8659-8d3b4b5dc478-2ced8748-b482-4e20</t>
  </si>
  <si>
    <t>Apartamento en alquiler en Ur. Santa Cruz,"Ur. Santa Cruz, Miraflores, Lima, Lima ","USD2,499",2 dormitorios,2 baÃ±os,200 mÂ²,2001,S/.600,Apartamento,Alquiler,3 mar. 2023 - Publicado por RE/MAX PERÃš,https://www.properati.com.pe/detalle/14032-32-d9be-442f701de947-48dc5abb-a264-4a0c</t>
  </si>
  <si>
    <t>Apartamento en alquiler en Ur. Santa Monica,"Ur. Santa Monica, San Isidro, Lima, Lima ","USD3,500",3 dormitorios,3 baÃ±os,320 mÂ²,2020,"S/.1,200",Apartamento,Alquiler,7 nov. 2022 - Publicado por 2g Agentes Inmobiliarios,https://www.properati.com.pe/detalle/14032-32-11a4-d426ee3fbada-1f0153c1-ada5-3fcb</t>
  </si>
  <si>
    <t>HabitaciÃ³n en alquiler en Ur. La Perla,"Ur. La Perla, La Perla, Callao, Callao ",S/.500,1 dormitorio,1 baÃ±o,30 mÂ²,2022,,HabitaciÃ³n,Alquiler,9 feb. 2023 - Publicado por DOMUS REAL ESTATE ,https://www.properati.com.pe/detalle/14032-32-a83f-49ccaf0c9f1e-8fdb2b0-a92b-120d</t>
  </si>
  <si>
    <t>Oficina en alquiler en San Felipe,"San Felipe, Urb Campo de Polo, Provincia de Lima, Provincia de Lima ","USD8,000",15 dormitorios,10 baÃ±os,762 mÂ²,2010,,Oficina,Alquiler,17 ago. 2022 - Publicado por Lucy Zaidman Akerman,https://www.properati.com.pe/detalle/14032-32-16c8-ef2f1a2b5510-ca1aed4b-9a64-3d71</t>
  </si>
  <si>
    <t>Apartamento en alquiler en Chacarilla del Estanque,"Chacarilla del Estanque, Provincia de Lima, Provincia de Lima ","USD1,400",3 dormitorios,4 baÃ±os,185 mÂ²,,S/.700,Apartamento,Alquiler,3 feb. 2022 - Publicado por Marina AlegrÃ­a VelÃ¡squez,https://www.properati.com.pe/detalle/14032-32-bf82-f63ba79adec3-44579346-bb36-4604</t>
  </si>
  <si>
    <t>Apartamento en alquiler en Uv. Matute,"Uv. Matute, La Victoria, Lima, Lima ","S/.1,500",1 dormitorio,1 baÃ±o,47 mÂ²,,,Apartamento,Alquiler,9 mar. 2023 - Publicado por BERTTOLÃ SERVICIOS INMOBILIARIOS,https://www.properati.com.pe/detalle/14032-32-beee-51b42f6cc20e-8b9a9ec0-9ade-120d</t>
  </si>
  <si>
    <t>Apartamento en alquiler en Ur. Siglo Xx,"Ur. Siglo Xx, El Tambo, Huancayo, JunÃ­n ","S/.1,650",2 dormitorios,2 baÃ±os,100 mÂ²,1998,S/.50,Apartamento,Alquiler,4 feb. 2023 - Publicado por Inmobiliaria Casas y Mas,https://www.properati.com.pe/detalle/14032-32-85ab-db12aec5f923-ce7fe36e-a035-40e6</t>
  </si>
  <si>
    <t>Casa en alquiler en Pimentel,"Pimentel, Chiclayo, Lambayeque ","USD1,800",5 dormitorios,6 baÃ±os,440 mÂ²,,,Casa,Alquiler,8 feb. 2023 - Publicado por Lula Botey Inmobiliaria,https://www.properati.com.pe/detalle/14032-32-2dc0-f18f7f85a522-68d5916e-b5e9-4fd6</t>
  </si>
  <si>
    <t>Casa en alquiler en Ur. Santo Tomas,"Ur. Santo Tomas, San Borja, Lima, Lima ","USD1,800",3 dormitorios,4 baÃ±os,300 mÂ²,1995,,Casa,Alquiler,10 feb. 2023 - Publicado por SOCIOS INMOBILIARIOS,https://www.properati.com.pe/detalle/14032-32-65a3-e6fd33dd01bc-30df33c1-af01-479e</t>
  </si>
  <si>
    <t>Apartamento en alquiler en Ur. El Palomar,"Ur. El Palomar, San Isidro, Lima, Lima ","USD1,200",4 dormitorios,4 baÃ±os,148 mÂ²,2011,S/.500,Apartamento,Alquiler,9 feb. 2023 - Publicado por RE/MAX Expo,https://www.properati.com.pe/detalle/14032-32-b9f9-91e8667efcbd-1173703-b83e-43d9</t>
  </si>
  <si>
    <t>Apartamento en alquiler en Ur. Victoria,"Ur. Victoria, San Isidro, Lima, Lima ",USD800,3 dormitorios,2 baÃ±os,180 mÂ²,2002,S/.350,Apartamento,Alquiler,19 ene. 2023 - Publicado por Marcia Rodriguez,https://www.properati.com.pe/detalle/14032-32-cdf0-a0e4918951da-1ade6294-be9e-4f97</t>
  </si>
  <si>
    <t>Apartamento en alquiler en Ur. San Isidro,"Ur. San Isidro, San Isidro, Lima, Lima ",USD600,1 dormitorio,1 baÃ±o,50 mÂ²,2007,S/.142,Apartamento,Alquiler,2 dic. 2022 - Publicado por Proyectum  PerÃº,https://www.properati.com.pe/detalle/14032-32-9770-70874f95b851-b218178b-a83d-49af</t>
  </si>
  <si>
    <t>Apartamento en alquiler en Chacarilla-Santa Cruz,"Chacarilla-Santa Cruz, Urb Cercado de Miraflores, Provincia de Lima, Provincia de Lima ",USD950,2 dormitorios,2 baÃ±os,84 mÂ²,,S/.300,Apartamento,Alquiler,26 ago. 2021 - Publicado por Isotta Lima Space,https://www.properati.com.pe/detalle/14032-32-63b5-c5fec6e411a4-91dccb10-8789-417a</t>
  </si>
  <si>
    <t>Apartamento en alquiler en Ur. Leuro,"Ur. Leuro, Miraflores, Lima, Lima ",USD900,3 dormitorios,2 baÃ±os,97 mÂ²,2009,S/.420,Apartamento,Alquiler,21 ene. 2023 - Publicado por RE/MAX Expo,https://www.properati.com.pe/detalle/14032-32-bfe1-79853a3cb552-a7979f69-926b-42dc</t>
  </si>
  <si>
    <t>Apartamento en alquiler en Ur. Aurora,"Ur. Aurora, Miraflores, Lima, Lima ",USD950,2 dormitorios,3 baÃ±os,165 mÂ²,,S/.500,Apartamento,Alquiler,6 feb. 2023 - Publicado por La Foret Inmobiliaria,https://www.properati.com.pe/detalle/14032-32-96fd-112114279f5e-6f3795bd-be77-402e</t>
  </si>
  <si>
    <t>Apartamento en alquiler en Urb Jose Balta,"Urb Jose Balta, Provincia de Lima, Provincia de Lima ","USD4,000",3 dormitorios,3 baÃ±os,224 mÂ²,2021,,Apartamento,Alquiler,7 abr. 2022 - Publicado por Penthouse Peru Bienes Raices,https://www.properati.com.pe/detalle/14032-32-a2a9-775d21f098b2-eb10827d-bfe8-3b40</t>
  </si>
  <si>
    <t>Casa en alquiler en Huaycani,"Huaycani, Sachaca, Arequipa, Arequipa ","S/.6,000",8 dormitorios,6 baÃ±os,266 mÂ²,1999,,Casa,Alquiler,17 ene. 2023 - Publicado por RE/MAX Consultores Inmobiliarios Arequipa,https://www.properati.com.pe/detalle/14032-32-9ca8-72663346bd54-348362b9-a5a4-4a16</t>
  </si>
  <si>
    <t>Apartamento en alquiler en Ur. Santa Cruz,"Ur. Santa Cruz, Miraflores, Lima, Lima ","S/.1,500",1 dormitorio,1 baÃ±o,42 mÂ²,1983,,Apartamento,Alquiler,27 feb. 2023 - Publicado por Remax Alliance,https://www.properati.com.pe/detalle/14032-32-1f6a-85a6bb7ae8f3-128f1e92-975e-4e85</t>
  </si>
  <si>
    <t>Casa en alquiler en Ur. 28 De Julio,"Ur. 28 De Julio, Pueblo Libre, Lima, Lima ","S/.6,900",4 dormitorios,3 baÃ±os,214 mÂ²,1980,S/.200,Casa,Alquiler,25 ene. 2023 - Publicado por Inmobiliaria SAEG,https://www.properati.com.pe/detalle/14032-32-daf3-40d661bff042-2553fce6-ab78-437c</t>
  </si>
  <si>
    <t>Casa en alquiler en Mariano Melgar,"Mariano Melgar, Arequipa, Arequipa ","S/.3,200",4 dormitorios,4 baÃ±os,192 mÂ²,2000,S/.35,Casa,Alquiler,20 mar. 2023 - Publicado por RE/MAX Consultores Inmobiliarios Arequipa,https://www.properati.com.pe/detalle/14032-32-4cd6-7106b715107f-db4b573d-91ae-4130</t>
  </si>
  <si>
    <t>Apartamento en alquiler en Ur. Los Jazmines,"Ur. Los Jazmines, Santiago de Surco, Lima, Lima ",USD850,3 dormitorios,4 baÃ±os,120 mÂ²,2017,S/.420,Apartamento,Alquiler,17 mar. 2023 - Publicado por RE/MAX Principal pe,https://www.properati.com.pe/detalle/14032-32-c231-dc0be0a56fb0-b323855f-b98c-4248</t>
  </si>
  <si>
    <t>Apartamento en alquiler en Piura,"Piura, Piura, Piura ","S/.1,900",1 dormitorio,1 baÃ±o,34 mÂ²,2021,S/.110,Apartamento,Alquiler,23 mar. 2023 - Publicado por GET HOUSE S.A.C.,https://www.properati.com.pe/detalle/14032-32-ecf1-4265c968f6d0-166d4ed8-a137-4168</t>
  </si>
  <si>
    <t>Apartamento en alquiler en Ur. Sagitario,"Ur. Sagitario, Santiago de Surco, Lima, Lima ","S/.1,550",2 dormitorios,2 baÃ±os,92 mÂ²,,,Apartamento,Alquiler,28 feb. 2023 - Publicado por Century 21 Excellence.,https://www.properati.com.pe/detalle/14032-32-8b3c-75b8c8108766-b5bdf8f4-af90-396c</t>
  </si>
  <si>
    <t>Apartamento en alquiler en Ur. Maranga Etapa Ii,"Ur. Maranga Etapa Ii, San Miguel, Lima, Lima ","S/.2,300",2 dormitorios,3 baÃ±os,70 mÂ²,,,Apartamento,Alquiler,22 mar. 2023 - Publicado por Century 21 Premium,https://www.properati.com.pe/detalle/14032-32-6527-49826989f505-587fdca8-a3d8-3d9b</t>
  </si>
  <si>
    <t>Apartamento en alquiler en Ur. Benavides Etapa I,"Ur. Benavides Etapa I, Santiago de Surco, Lima, Lima ","S/.1,900",2 dormitorios,1 baÃ±o,65 mÂ²,,,Apartamento,Alquiler,28 feb. 2023 - Publicado por Century 21 Premium,https://www.properati.com.pe/detalle/14032-32-9c60-e574062f832e-78d082-b0e2-3bb3</t>
  </si>
  <si>
    <t>Apartamento en alquiler en Ur. Chacarilla Santa Cruz,"Ur. Chacarilla Santa Cruz, San Isidro, Lima, Lima ","USD1,000",2 dormitorios,2 baÃ±os,61 mÂ²,,,Apartamento,Alquiler,15 mar. 2023 - Publicado por Century 21 Premium,https://www.properati.com.pe/detalle/14032-32-6ad9-4f405726fb46-997a8022-b8d5-3b54</t>
  </si>
  <si>
    <t>Apartamento en alquiler en Ur. Valle De Sharon,"Ur. Valle De Sharon, San Juan de Miraflores, Lima, Lima ","S/.1,200",2 dormitorios,1 baÃ±o,78 mÂ²,,,Apartamento,Alquiler,22 mar. 2023 - Publicado por REMAX CENTENARIO,https://www.properati.com.pe/detalle/14032-32-5117-769ad7bae04b-859319cb-9f81-45c3</t>
  </si>
  <si>
    <t>Apartamento en alquiler en Ur. Las Lomas De La Molina Vieja Etapa I,"Ur. Las Lomas De La Molina Vieja Etapa I, La Molina, Lima, Lima ","S/.2,450",3 dormitorios,3 baÃ±os,79 mÂ²,,,Apartamento,Alquiler,22 mar. 2023 - Publicado por REMAX CENTENARIO,https://www.properati.com.pe/detalle/14032-32-65be-93a6b1588d4e-66bfe366-b8de-4d54</t>
  </si>
  <si>
    <t>Apartamento en alquiler en San Isidro,"San Isidro, Lima, Lima ","USD1,500",3 dormitorios,2 baÃ±os,155 mÂ²,2013,S/.730,Apartamento,Alquiler,23 feb. 2023 - Publicado por VerÃ³nica Arosemena,https://www.properati.com.pe/detalle/14032-32-298a-ebe48e1a53d9-accbd92-9683-4193</t>
  </si>
  <si>
    <t>Apartamento en alquiler en Ur. Balta,"Ur. Balta, Miraflores, Lima, Lima ",USD950,3 dormitorios,2 baÃ±os,95 mÂ²,2009,,Apartamento,Alquiler,23 mar. 2023 - Publicado por REMAX FUTURA,https://www.properati.com.pe/detalle/14032-32-a354-55d24f71a62b-a307fbe7-b196-4703</t>
  </si>
  <si>
    <t>Apartamento en alquiler en Rimac,"Rimac, Lima, Lima ","S/.1,400",3 dormitorios,2 baÃ±os,81 mÂ²,2023,,Apartamento,Alquiler,10 feb. 2023 - Publicado por REMAX FAMILY,https://www.properati.com.pe/detalle/14032-32-4818-78af0800564f-86633c39-b06f-4ccc</t>
  </si>
  <si>
    <t>Apartamento en alquiler en Callao,"Callao, Callao, Callao ","S/.1,100",2 dormitorios,2 baÃ±os,65 mÂ²,2018,S/.120,Apartamento,Alquiler,20 mar. 2023 - Publicado por Milagros OrmeÃ±o,https://www.properati.com.pe/detalle/14032-32-7c67-d5066ba53965-2abe84d0-9f2b-4fc2</t>
  </si>
  <si>
    <t>Apartamento en alquiler en Ur. San Borja,"Ur. San Borja, San Borja, Lima, Lima ","S/.2,400",3 dormitorios,1 baÃ±o,100 mÂ²,2020,S/.1,Apartamento,Alquiler,4 ene. 2023 - Publicado por Proyectum  PerÃº,https://www.properati.com.pe/detalle/14032-32-80c7-5e080f64b972-f60e55aa-9332-46a5</t>
  </si>
  <si>
    <t>Apartamento en alquiler en Hu. Cercado De Miraflores,"Hu. Cercado De Miraflores, Miraflores, Lima, Lima ",USD900,2 dormitorios,2 baÃ±os,104 mÂ²,1978,S/.310,Apartamento,Alquiler,20 mar. 2023 - Publicado por REMAX UNITED,https://www.properati.com.pe/detalle/14032-32-3e73-50fcf85e60f4-a731f331-b892-4851</t>
  </si>
  <si>
    <t>Apartamento en alquiler en Ur. Country Club,"Ur. Country Club, San Isidro, Lima, Lima ","USD2,100",4 dormitorios,2 baÃ±os,295 mÂ²,,,Apartamento,Alquiler,22 dic. 2022 - Publicado por Isotta Lima Space,https://www.properati.com.pe/detalle/14032-32-5ebe-61e524a9e13a-e90fec66-bbda-4db6</t>
  </si>
  <si>
    <t>Apartamento en alquiler en Ur. Santa Monica,"Ur. Santa Monica, San Isidro, Lima, Lima ","USD1,650",3 dormitorios,2 baÃ±os,180 mÂ²,1980,S/.748,Apartamento,Alquiler,27 feb. 2023 - Publicado por Corretaje Pelusa,https://www.properati.com.pe/detalle/14032-32-db71-376b3a4a66c7-3900e72c-9521-4daf</t>
  </si>
  <si>
    <t>Casa en alquiler en Country Club,"Country Club, Urb San Felipe, Provincia de Lima, Provincia de Lima ","USD6,500",15 dormitorios,9 baÃ±os,,910 mÂ²,,Casa,Alquiler,29 ago. 2022 - Publicado por Jose Antonio Mejia Ludowieg,https://www.properati.com.pe/detalle/14032-32-7934-299c603942f3-ada7fa56-baeb-369a</t>
  </si>
  <si>
    <t>Casa en alquiler en Rio Seco,"Rio Seco, Cerro Colorado, Arequipa, Arequipa ","USD3,000",5 dormitorios,7 baÃ±os,,2019,,Casa,Alquiler,11 ene. 2023 - Publicado por INHOGAR J &amp; B CONSTRUCTORA INMOBILIARIA,https://www.properati.com.pe/detalle/14032-32-37fb-2011a501c6ba-a343c185-8bca-4051</t>
  </si>
  <si>
    <t>Apartamento en alquiler en Hu. Colegio Particular Santa Maria Etapa Ii,"Hu. Colegio Particular Santa Maria Etapa Ii, Santiago de Surco, Lima, Lima ","USD2,200",4 dormitorios,4 baÃ±os,300 mÂ²,2015,S/.170,Apartamento,Alquiler,10 mar. 2023 - Publicado por IMMOBILIARE,https://www.properati.com.pe/detalle/14032-32-8ae6-ff1736b8c0f3-c79a2ede-9f60-4293</t>
  </si>
  <si>
    <t>Apartamento en alquiler en Ur. Limatambo,"Ur. Limatambo, Surquillo, Lima, Lima ","S/.2,000",2 dormitorios,2 baÃ±os,76 mÂ²,,S/.300,Apartamento,Alquiler,22 mar. 2023 - Publicado por REMAX FUTURA,https://www.properati.com.pe/detalle/14032-32-1947-16e67d3ff413-c822b56c-9d34-4277</t>
  </si>
  <si>
    <t>Apartamento en alquiler en Ur. Balta,"Ur. Balta, Miraflores, Lima, Lima ","USD1,190",3 dormitorios,3 baÃ±os,160 mÂ²,1993,S/.689,Apartamento,Alquiler,20 feb. 2023 - Publicado por RE/MAX Principal pe,https://www.properati.com.pe/detalle/14032-32-ad35-c14abebf1009-bce9e8b1-817e-4937</t>
  </si>
  <si>
    <t>Apartamento en alquiler en Ur. Lola Ferreyros,"Ur. Lola Ferreyros, San MartÃ­n de Porres, Lima, Lima ","S/.1,550",3 dormitorios,2 baÃ±os,93 mÂ²,2020,,Apartamento,Alquiler,22 mar. 2023 - Publicado por REMAX UNITED,https://www.properati.com.pe/detalle/14032-32-4e7d-c4eac7d31a1c-4ec02748-b297-4889</t>
  </si>
  <si>
    <t>Apartamento en alquiler en Ur. Bella Luz,"Ur. Bella Luz, Santiago de Surco, Lima, Lima ","USD2,500",4 dormitorios,4 baÃ±os,217 mÂ²,,,Apartamento,Alquiler,28 feb. 2023 - Publicado por Century 21 Premium,https://www.properati.com.pe/detalle/14032-32-b686-1d733af590b6-b7242cb8-a246-3de4</t>
  </si>
  <si>
    <t>Casa en alquiler en Pj. J. Carlos Mariategui,"Pj. J. Carlos Mariategui, Chiclayo, Chiclayo, Lambayeque ","S/.3,000",3 dormitorios,4 baÃ±os,127 mÂ²,,,Casa,Alquiler,7 feb. 2023 - Publicado por Chiclayo Inmobiliaria,https://www.properati.com.pe/detalle/14032-32-6cc2-526a43ce1c03-7a75f02c-96e1-4f09</t>
  </si>
  <si>
    <t>Casa en alquiler en Yanahuara,"Yanahuara, Arequipa, Arequipa ","USD1,700",4 dormitorios,3 baÃ±os,220 mÂ²,2010,,Casa,Alquiler,22 mar. 2023 - Publicado por Sandra Carbajal,https://www.properati.com.pe/detalle/14032-32-c8e3-efec18b32a5a-784be0f0-b171-120d</t>
  </si>
  <si>
    <t>Apartamento en alquiler en Cayma,"Cayma, Arequipa, Arequipa ","USD1,200",3 dormitorios,3 baÃ±os,110 mÂ²,2010,,Apartamento,Alquiler,22 mar. 2023 - Publicado por Sandra Carbajal,https://www.properati.com.pe/detalle/14032-32-c8e0-5fe03513bed1-3c6ce50-bec2-120d</t>
  </si>
  <si>
    <t>Apartamento en alquiler en Urb Confraternidad,"Urb Confraternidad, Provincia de Lima, Provincia de Lima ",USD650,1 dormitorio,1 baÃ±o,55 mÂ²,2018,S/.405,Apartamento,Alquiler,18 jul. 2022 - Publicado por joresco real estate,https://www.properati.com.pe/detalle/14032-32-6fc0-5b8a400549a1-541e04c-8adf-49cf</t>
  </si>
  <si>
    <t>Apartamento en alquiler en Country Club,"Country Club, Urb San Felipe, Provincia de Lima, Provincia de Lima ",USD780,2 dormitorios,2 baÃ±os,1 Medio baÃ±o,1975,,Apartamento,Alquiler,29 ago. 2022 - Publicado por Jose Antonio Mejia Ludowieg,https://www.properati.com.pe/detalle/14032-32-5ff-5e95553cbfd9-4cff7b8d-ac23-332a</t>
  </si>
  <si>
    <t>Apartamento en alquiler en Ur. Prolima Iii Etapa,"Ur. Prolima Iii Etapa, Los Olivos, Lima, Lima ","S/.1,400",2 dormitorios,2 baÃ±os,110 mÂ²,2022,,Apartamento,Alquiler,28 nov. 2022 - Publicado por SERVICIOS INMOBILIARIOS,https://www.properati.com.pe/detalle/14032-32-35b7-4886105e712a-1cfed8ac-a829-41a2</t>
  </si>
  <si>
    <t>Apartamento en alquiler en Hu. Feria Internacional Del Pacifico,"Hu. Feria Internacional Del Pacifico, San Miguel, Lima, Lima ","S/.1,400",2 dormitorios,2 baÃ±os,70 mÂ²,2016,S/.150,Apartamento,Alquiler,22 mar. 2023 - Publicado por Real Home Peru ,https://www.properati.com.pe/detalle/14032-32-a18d-4cc1a04641b6-4324b713-a8c5-4472</t>
  </si>
  <si>
    <t>Casa en alquiler en Yanahuara,"Yanahuara, Arequipa, Arequipa ","S/.5,000",3 dormitorios,3 baÃ±os,,,,Casa,Alquiler,22 mar. 2023 - Publicado por Sandra Carbajal,https://www.properati.com.pe/detalle/14032-32-c8dc-b37249fbba37-9598a870-ae6e-120d</t>
  </si>
  <si>
    <t>Apartamento en alquiler en Pj. San Francisco De La Tablada De Lurin Sector Segundo,"Pj. San Francisco De La Tablada De Lurin Sector Segundo, Villa MarÃ­a del Triunfo, Lima, Lima ","S/.1,000",3 dormitorios,2 baÃ±os,90 mÂ²,2018,S/.1,Apartamento,Alquiler,12 nov. 2022 - Publicado por RE/MAX Expo,https://www.properati.com.pe/detalle/14032-32-4222-136e97c46e90-6b0f9f4-b6bb-4bf4</t>
  </si>
  <si>
    <t>Apartamento en alquiler en Chiclayo,"Chiclayo, Lambayeque ","S/.1,600",2 dormitorios,1 baÃ±o,,100 mÂ²,,Apartamento,Alquiler,24 mar. 2022 - Publicado por Lula Botey Inmobiliaria,https://www.properati.com.pe/detalle/14032-32-6d47-8108804bcd5f-7e8d8339-89e8-3e75</t>
  </si>
  <si>
    <t>HabitaciÃ³n en alquiler en Ur. San Borja,"Ur. San Borja, San Borja, Lima, Lima ","USD1,100",1 dormitorio,1 baÃ±o,25 mÂ²,25 mÂ²,,HabitaciÃ³n,Alquiler,14 mar. 2023 - Publicado por SOCIOS INMOBILIARIOS,https://www.properati.com.pe/detalle/14032-32-ef68-59a97aefd80e-91c89fe5-b275-425d</t>
  </si>
  <si>
    <t>HabitaciÃ³n en alquiler en Ur. San Borja,"Ur. San Borja, San Borja, Lima, Lima ","S/.1,200",1 dormitorio,1 baÃ±o,25 mÂ²,25 mÂ²,S/.100,HabitaciÃ³n,Alquiler,14 mar. 2023 - Publicado por SOCIOS INMOBILIARIOS,https://www.properati.com.pe/detalle/14032-32-9cf1-f9d90bd80781-fdf3a3e2-910e-45d8</t>
  </si>
  <si>
    <t>Apartamento en alquiler en Ur. San Luis,"Ur. San Luis, Miraflores, Lima, Lima ","USD2,200",3 dormitorios,3 baÃ±os,332 mÂ²,,"S/.1,080",Apartamento,Alquiler,17 nov. 2022 - Publicado por Isotta Lima Space,https://www.properati.com.pe/detalle/14032-32-e352-2649a2997a4e-400d0dbf-9904-45be</t>
  </si>
  <si>
    <t>Apartamento en alquiler en Ur. Las Torres De San Miguelito Etapa I,"Ur. Las Torres De San Miguelito Etapa I, San Miguel, Lima, Lima ","S/.1,800",2 dormitorios,2 baÃ±os,69 mÂ²,2018,S/.250,Apartamento,Alquiler,20 feb. 2023 - Publicado por RE/MAX Expo,https://www.properati.com.pe/detalle/14032-32-6c0c-d50e16df8e41-b32ecdbc-bcb1-4f05</t>
  </si>
  <si>
    <t>Apartamento en alquiler en Ur. Aurora,"Ur. Aurora, Miraflores, Lima, Lima ","USD1,500",3 dormitorios,3 baÃ±os,155 mÂ²,,S/.650,Apartamento,Alquiler,20 feb. 2023 - Publicado por Bienes Raices Marisol,https://www.properati.com.pe/detalle/14032-32-47ab-be979c042ae-2112430e-8f5b-452a</t>
  </si>
  <si>
    <t>Casa en alquiler en Ah. Jose Galvez,"Ah. Jose Galvez, Villa MarÃ­a del Triunfo, Lima, Lima ",USD950,5 dormitorios,4 baÃ±os,,120 mÂ²,,Casa,Alquiler,17 feb. 2023 - Publicado por  Carmen Rosa  Zuniga  Perez  ,https://www.properati.com.pe/detalle/14032-32-f843-e476d3ee1936-71af1dd9-b8ae-3c3c</t>
  </si>
  <si>
    <t>Apartamento en alquiler en Ur. America,"Ur. America, Miraflores, Lima, Lima ",USD650,2 dormitorios,2 baÃ±os,80 mÂ²,2000,S/.345,Apartamento,Alquiler,6 feb. 2023 - Publicado por Boris Bobbio Stihl,https://www.properati.com.pe/detalle/14032-32-834-d2a3e04fd20d-fb042606-a795-4391</t>
  </si>
  <si>
    <t>Apartamento en alquiler en Ur. America,"Ur. America, Miraflores, Lima, Lima ","S/.2,400",2 dormitorios,2 baÃ±os,90 mÂ²,2010,S/.300,Apartamento,Alquiler,18 mar. 2023 - Publicado por JM HOME INMOBILIARIA,https://www.properati.com.pe/detalle/14032-32-898a-625071f7fab9-17479999-a1bc-4a73</t>
  </si>
  <si>
    <t>Apartamento en alquiler en Ur. San Roque Fap,"Ur. San Roque Fap, Santiago de Surco, Lima, Lima ","S/.1,900",1 dormitorio,1 baÃ±o,56 mÂ²,,,Apartamento,Alquiler,20 mar. 2023 - Publicado por RE/MAX POWER EXPO,https://www.properati.com.pe/detalle/14032-32-de06-5a79d1a3deac-3d3e94f5-a10e-4a7c</t>
  </si>
  <si>
    <t>Casa en alquiler en Manantay,"Manantay, Coronel Portillo, Ucayali ",S/.400,2 dormitorios,1 baÃ±o,,,,Casa,Alquiler,16 feb. 2023 - Publicado por Area Corporativa SAC,https://www.properati.com.pe/detalle/14032-32-cbc9-bfc01870f5db-c74689f0-80f6-372a</t>
  </si>
  <si>
    <t>Apartamento en alquiler en Tacna,"Tacna, Tacna ","S/.1,350",2 dormitorios,1 baÃ±o,65 mÂ²,65 mÂ²,,Apartamento,Alquiler,21 oct. 2022 - Publicado por Azienda,https://www.properati.com.pe/detalle/14032-32-ba51-da7b6edc56cb-99b52441-bd64-3f12</t>
  </si>
  <si>
    <t>Apartamento en alquiler en Ur. San Felipe,"Ur. San Felipe, Magdalena del Mar, Lima, Lima ","USD1,000",3 dormitorios,2 baÃ±os,111 mÂ²,2007,S/.350,Apartamento,Alquiler,22 feb. 2023 - Publicado por REMAX SUNSET,https://www.properati.com.pe/detalle/14032-32-5933-1da5603a7652-81f553db-983b-4690</t>
  </si>
  <si>
    <t>Apartamento en alquiler en Valle Hermoso Oeste,"Valle Hermoso Oeste, Provincia de Lima, Provincia de Lima ","USD2,550",5 dormitorios,7 baÃ±os,393 mÂ²,2010,S/.780,Apartamento,Alquiler,8 abr. 2022 - Publicado por Roxana Elvira Lazarte Alatrista,https://www.properati.com.pe/detalle/14032-32-a9dd-9558745f9757-4c2100b6-a0ee-4032</t>
  </si>
  <si>
    <t>Apartamento en alquiler en Re. San Felipe,"Re. San Felipe, San Isidro, Lima, Lima ","USD1,200",3 dormitorios,2 baÃ±os,156 mÂ²,,S/.550,Apartamento,Alquiler,20 mar. 2023 - Publicado por SOCIOS INMOBILIARIOS,https://www.properati.com.pe/detalle/14032-32-e30a-391f8a0d1bb9-c6e8a62-bcc0-4ae7</t>
  </si>
  <si>
    <t>Apartamento en alquiler en Provincia de Lima,"Provincia de Lima, Gobierno Regional de Lima ","S/.2,100",3 dormitorios,2 baÃ±os,70 mÂ²,,S/.215,Apartamento,Alquiler,20 may. 2021 - Publicado por Fiorella Saldarriaga,https://www.properati.com.pe/detalle/14032-32-9361-2ed9e35ff85a-9d759203-9949-4e3b</t>
  </si>
  <si>
    <t>Apartamento en alquiler en Ur. Cerros De Camacho,"Ur. Cerros De Camacho, Santiago de Surco, Lima, Lima ","USD4,500",4 dormitorios,5 baÃ±os,1 Medio baÃ±o,405 mÂ²,,Apartamento,Alquiler,23 feb. 2023 - Publicado por Lorena Grande Valle Riestra,https://www.properati.com.pe/detalle/14032-32-7037-192669365f93-bea488ba-9763-387d</t>
  </si>
  <si>
    <t>Apartamento en alquiler en Hu. Cercado De Miraflores,"Hu. Cercado De Miraflores, Miraflores, Lima, Lima ","USD1,150",3 dormitorios,3 baÃ±os,155 mÂ²,1981,,Apartamento,Alquiler,16 mar. 2023 - Publicado por RE/MAX PERÃš,https://www.properati.com.pe/detalle/14032-32-4c84-9f22cc0ee3ec-60c0c686-9b5e-4931</t>
  </si>
  <si>
    <t>Apartamento en alquiler en Hu. Cercado De Miraflores,"Hu. Cercado De Miraflores, Miraflores, Lima, Lima ",USD75,1 dormitorio,1 baÃ±o,50 mÂ²,,,Apartamento,Alquiler,1 oct. 2021 - Publicado por Fiorella Saldarriaga,https://www.properati.com.pe/detalle/14032-32-448b-7aaf84024e31-13b91dc6-9b53-4ce6</t>
  </si>
  <si>
    <t>Apartamento en alquiler en Santiago De Surco,"Santiago De Surco, Lima, Lima ","S/.3,850",3 dormitorios,3 baÃ±os,114 mÂ²,2018,,Apartamento,Alquiler,16 mar. 2023 - Publicado por RE/MAX Talento,https://www.properati.com.pe/detalle/14032-32-15a2-fcfa52fa4a21-a2d8fef-a5a1-4e8f</t>
  </si>
  <si>
    <t>Apartamento en alquiler en Ur. America,"Ur. America, Miraflores, Lima, Lima ","USD1,100",2 dormitorios,2 baÃ±os,100 mÂ²,,S/.575,Apartamento,Alquiler,27 feb. 2023 - Publicado por Isotta Lima Space,https://www.properati.com.pe/detalle/14032-32-ffea-74720b4f32c8-935120a3-875a-4276</t>
  </si>
  <si>
    <t>Apartamento en alquiler en Ur. Santa Luzmila I Etapa,"Ur. Santa Luzmila I Etapa, Comas, Lima, Lima ","S/.1,400",3 dormitorios,2 baÃ±os,86 mÂ²,2023,,Apartamento,Alquiler,31 ene. 2023 - Publicado por RE/MAX PRO,https://www.properati.com.pe/detalle/14032-32-cafa-960cb1ad0b40-a1f68c56-8fdb-45c9</t>
  </si>
  <si>
    <t>Casa en alquiler en Retamas,"Retamas, Yanahuara, Arequipa, Arequipa ","S/.5,000",4 dormitorios,4 baÃ±os,330 mÂ²,2010,S/.170,Casa,Alquiler,20 mar. 2023 - Publicado por Sandra Carbajal,https://www.properati.com.pe/detalle/14032-32-c754-87aa140c53d3-1b0a9ac0-9db6-120d</t>
  </si>
  <si>
    <t>Apartamento en alquiler en Ur. Confraternidad,"Ur. Confraternidad, Barranco, Lima, Lima ","USD3,000",4 dormitorios,3 baÃ±os,280 mÂ²,2016,S/.900,Apartamento,Alquiler,10 mar. 2023 - Publicado por Proyectum  PerÃº,https://www.properati.com.pe/detalle/14032-32-e2d2-6f44fa7e639-e220733d-834e-4cf2</t>
  </si>
  <si>
    <t>Apartamento en alquiler en Ur. Balta,"Ur. Balta, Miraflores, Lima, Lima ",USD850,3 dormitorios,2 baÃ±os,95 mÂ²,,,Apartamento,Alquiler,28 feb. 2023 - Publicado por Century 21 Excellence.,https://www.properati.com.pe/detalle/14032-32-c88b-298d82c12174-2170e573-9357-3537</t>
  </si>
  <si>
    <t>Apartamento en alquiler en Ur. Los Pinares,"Ur. Los Pinares, Los Olivos, Lima, Lima ","S/.1,250",2 dormitorios,2 baÃ±os,76 mÂ²,,S/.100,Apartamento,Alquiler,15 feb. 2023 - Publicado por RE/MAX Expo,https://www.properati.com.pe/detalle/14032-32-63bc-e19d3b31ca01-b1fef632-a90a-484f</t>
  </si>
  <si>
    <t>Apartamento en alquiler en Ur. Balta,"Ur. Balta, Miraflores, Lima, Lima ","USD2,100",3 dormitorios,4 baÃ±os,267 mÂ²,2014,S/.500,Apartamento,Alquiler,3 mar. 2023 - Publicado por RE/MAX Talento,https://www.properati.com.pe/detalle/14032-32-9a42-905bda75d781-8eebda60-910e-4f85</t>
  </si>
  <si>
    <t>Apartamento en alquiler en Ur. Confraternidad,"Ur. Confraternidad, Barranco, Lima, Lima ","S/.2,500",1 dormitorio,1 baÃ±o,44 mÂ²,2021,S/.170,Apartamento,Alquiler,8 mar. 2023 - Publicado por Marisol BohÃ³rquez Soto,https://www.properati.com.pe/detalle/14032-32-af7f-cfcf4e2c8eea-b838e8b8-9e90-4b25</t>
  </si>
  <si>
    <t>Apartamento en alquiler en As. Los Rosales,"As. Los Rosales, La Molina, Lima, Lima ","S/.1,450",1 dormitorio,2 baÃ±os,60 mÂ²,,S/.120,Apartamento,Alquiler,18 mar. 2023 - Publicado por Tatiana Peralta,https://www.properati.com.pe/detalle/14032-32-f1e1-72401692d627-3f033eec-bec6-48fb</t>
  </si>
  <si>
    <t>Apartamento en alquiler en Ur. Balta,"Ur. Balta, Miraflores, Lima, Lima ",USD900,3 dormitorios,2 baÃ±os,120 mÂ²,2012,S/.640,Apartamento,Alquiler,1 feb. 2023 - Publicado por RE/MAX Expo,https://www.properati.com.pe/detalle/14032-32-ec6-bf4cd79612cc-3dbb1fe6-8563-429c</t>
  </si>
  <si>
    <t>Apartamento en alquiler en Ur. El Carmen,"Ur. El Carmen, Pueblo Libre, Lima, Lima ",S/.700,1 dormitorio,1 baÃ±o,16 mÂ²,2010,S/.45,Apartamento,Alquiler,12 mar. 2023 - Publicado por EncontrÃ© tu Hogar,https://www.properati.com.pe/detalle/14032-32-c13d-b5c9bedb7fa5-c5d0ef30-9e9b-120d</t>
  </si>
  <si>
    <t>Casa en alquiler en Manantay,"Manantay, Coronel Portillo, Ucayali ",S/.400,1 dormitorio,1 baÃ±o,,,,Casa,Alquiler,8 feb. 2023 - Publicado por Area Corporativa SAC,https://www.properati.com.pe/detalle/14032-32-ee4f-b5c6955eebe5-bad75cec-b7af-3b3f</t>
  </si>
  <si>
    <t>Apartamento en alquiler en Arequipa,"Arequipa, Arequipa, Arequipa ","S/.2,000",3 dormitorios,3 baÃ±os,126 mÂ²,2023,,Apartamento,Alquiler,28 ago. 2021 - Publicado por Deglane Melgar Jorge Luis,https://www.properati.com.pe/detalle/14032-32-e2d3-ed7bb6e6ad6e-e9669510-9f97-4704</t>
  </si>
  <si>
    <t>Apartamento en alquiler en Ur. San Antonio,"Ur. San Antonio, Miraflores, Lima, Lima ",USD850,3 dormitorios,3 baÃ±os,86 mÂ²,2011,S/.300,Apartamento,Alquiler,27 feb. 2023 - Publicado por REMAX FULL INMOBILIARIA,https://www.properati.com.pe/detalle/14032-32-918d-6282388ac92f-956d1871-96e0-4e4e</t>
  </si>
  <si>
    <t>Casa en alquiler en Manantay,"Manantay, Coronel Portillo, Ucayali ",S/.400,2 dormitorios,1 baÃ±o,,,,Casa,Alquiler,8 feb. 2023 - Publicado por Area Corporativa SAC,https://www.properati.com.pe/detalle/14032-32-2bb4-d2697f7d358-93fb72b5-8131-38f3</t>
  </si>
  <si>
    <t>Apartamento en alquiler en Ur. San Antonio,"Ur. San Antonio, Miraflores, Lima, Lima ","USD1,350",3 dormitorios,3 baÃ±os,1 Medio baÃ±o,132 mÂ²,,Apartamento,Alquiler,24 feb. 2023 - Publicado por  Teresa Beatriz Garcia Naranjo  Cornejo ,https://www.properati.com.pe/detalle/14032-32-87fe-208abbebb7e7-1cfd8b73-a6e1-3ed9</t>
  </si>
  <si>
    <t>Casa en alquiler en Ur. El Sol De La Molina Etapa Iii,"Ur. El Sol De La Molina Etapa Iii, La Molina, Lima, Lima ","USD2,500",4 dormitorios,4 baÃ±os,258 mÂ²,2001,,Casa,Alquiler,14 ene. 2023 - Publicado por Ventas Primeras Bienes Raices,https://www.properati.com.pe/detalle/14032-32-f90a-32d7c1aec14-4a0d4104-ac66-46b4</t>
  </si>
  <si>
    <t>Apartamento en alquiler en Urb Cercado de Miraflores,"Urb Cercado de Miraflores, Provincia de Lima, Provincia de Lima ","USD1,800",3 dormitorios,5 baÃ±os,242 mÂ²,,,Apartamento,Alquiler,2 oct. 2022 - Publicado por FLOR  D,https://www.properati.com.pe/detalle/14032-32-b465-a16ce3440e8c-e619f7ba-894e-46e5</t>
  </si>
  <si>
    <t>Apartamento en alquiler en Ur. La ViÃ±ita,"Ur. La ViÃ±ita, Barranco, Lima, Lima ","USD1,000",3 dormitorios,2 baÃ±os,72 mÂ²,2022,S/.50,Apartamento,Alquiler,11 mar. 2023 - Publicado por GABRIEL PAREJA Agente Inmobiliario,https://www.properati.com.pe/detalle/14032-32-c085-3bebdd2ffe8f-65afbfe0-a99f-120d</t>
  </si>
  <si>
    <t>Apartamento en alquiler en Ur. Paraiso El Dorado Iii Etapa,"Ur. Paraiso El Dorado Iii Etapa, San MartÃ­n de Porres, Lima, Lima ",S/.835,3 dormitorios,1 baÃ±o,66 mÂ²,2015,S/.130,Apartamento,Alquiler,16 feb. 2023 - Publicado por RAIZ INMOBILIARIA &amp; MARKETING S.A.C.,https://www.properati.com.pe/detalle/14032-32-60f7-d9ff4712a1b5-c862bd6d-995a-4b7f</t>
  </si>
  <si>
    <t>Apartamento en alquiler en Ur. Leuro,"Ur. Leuro, Miraflores, Lima, Lima ",USD700,2 dormitorios,2 baÃ±os,80 mÂ²,2004,,Apartamento,Alquiler,18 mar. 2023 - Publicado por JM HOME INMOBILIARIA,https://www.properati.com.pe/detalle/14032-32-928b-fb03e0d84cad-321c029e-a903-4a1c</t>
  </si>
  <si>
    <t>Apartamento en alquiler en Ur. Oyague,"Ur. Oyague, Magdalena del Mar, Lima, Lima ",USD473,1 dormitorio,1 baÃ±o,48 mÂ²,,,Apartamento,Alquiler,9 mar. 2023 - Publicado por Century 21 Premium,https://www.properati.com.pe/detalle/14032-32-934b-affdf5000f6e-9fce44ac-b91d-3643</t>
  </si>
  <si>
    <t>Apartamento en alquiler en Ur. Country Club,"Ur. Country Club, San Isidro, Lima, Lima ","USD1,800",3 dormitorios,2 baÃ±os,240 mÂ²,1990,,Apartamento,Alquiler,16 mar. 2023 - Publicado por Lucy Mier y Teran,https://www.properati.com.pe/detalle/14032-32-2fcc-dc5d12726f0d-9e75a2bb-8510-4194</t>
  </si>
  <si>
    <t>Casa de playa en alquiler en Playa San Bartolo,"Playa San Bartolo, Provincia de Lima, Provincia de Lima ","USD2,000",3 dormitorios,3 baÃ±os,1 Medio baÃ±o,2019,S/.300,Casa de playa,Alquiler,12 oct. 2022 - Publicado por INMOBILIARIA CRI  PROPIEDADES ,https://www.properati.com.pe/detalle/14032-32-8187-b05fad163a90-51d3e59c-a60a-454a</t>
  </si>
  <si>
    <t>Apartamento en alquiler en Ur. Chacarilla Santa Cruz,"Ur. Chacarilla Santa Cruz, San Isidro, Lima, Lima ","S/.2,700",2 dormitorios,2 baÃ±os,62 mÂ²,,S/.300,Apartamento,Alquiler,16 mar. 2023 - Publicado por ALI HOUSE-PROFESIONALES INMOBILIARIOS,https://www.properati.com.pe/detalle/14032-32-620c-70897b43168-ac72eeeb-acfd-491d</t>
  </si>
  <si>
    <t>Apartamento en alquiler en Rio Seco,"Rio Seco, Cerro Colorado, Arequipa, Arequipa ","S/.2,000",3 dormitorios,2 baÃ±os,110 mÂ²,2020,,Apartamento,Alquiler,14 mar. 2023 - Publicado por Sandra Carbajal,https://www.properati.com.pe/detalle/14032-32-ff02-920cfaabb846-6a0fdb92-b5f0-4f34</t>
  </si>
  <si>
    <t>Apartamento en alquiler en Cayma,"Cayma, Arequipa, Arequipa ",USD850,3 dormitorios,2 baÃ±os,90 mÂ²,2021,,Apartamento,Alquiler,28 dic. 2022 - Publicado por Sandra Carbajal,https://www.properati.com.pe/detalle/14032-32-871e-b98d691e7a69-6bd80df0-b90d-120d</t>
  </si>
  <si>
    <t>Casa en alquiler en Ur. Orrantia Del Mar Zona Iv,"Ur. Orrantia Del Mar Zona Iv, San Isidro, Lima, Lima ","USD2,000",3 dormitorios,5 baÃ±os,313 mÂ²,,,Casa,Alquiler,2 dic. 2022 - Publicado por Madeleine Beltran,https://www.properati.com.pe/detalle/14032-32-d9d9-d1070f73140b-2d956fb8-9fb5-4258</t>
  </si>
  <si>
    <t>Apartamento en alquiler en San Isidro,"San Isidro, Lima, Lima ","USD1,350",3 dormitorios,3 baÃ±os,214 mÂ²,2020,S/.450,Apartamento,Alquiler,9 dic. 2022 - Publicado por Gestiones Exitosas,https://www.properati.com.pe/detalle/14032-32-685f-6855933d8878-8d3added-89ba-485d</t>
  </si>
  <si>
    <t>Casa en alquiler en Surco,"Surco, Santiago De Surco, Lima, Lima ","USD1,800",4 dormitorios,3 baÃ±os,260 mÂ²,1990,S/.700,Casa,Alquiler,24 ene. 2023 - Publicado por Romero Inmobiliaria,https://www.properati.com.pe/detalle/14032-32-9c49-27fdfbcb8fc8-354b4190-a590-120d</t>
  </si>
  <si>
    <t>Apartamento en alquiler en Bellavista,"Bellavista, Callao, Callao ","S/.1,400",2 dormitorios,1 baÃ±o,70 mÂ²,2010,S/.50,Apartamento,Alquiler,10 mar. 2023 - Publicado por Matayoshi Inmobiliaria,https://www.properati.com.pe/detalle/14032-32-39e8-d609091d9905-78d70d4c-941d-411a</t>
  </si>
  <si>
    <t>Apartamento en alquiler en Callao,"Callao, Callao, Callao ","S/.1,100",3 dormitorios,1 baÃ±o,75 mÂ²,,,Apartamento,Alquiler,9 mar. 2023 - Publicado por RE/MAX Principal pe,https://www.properati.com.pe/detalle/14032-32-5f87-e1ed5bd16c6d-3d680e1b-8b26-4140</t>
  </si>
  <si>
    <t>Apartamento en alquiler en Ur. Santa Justina,"Ur. Santa Justina, Santiago de Surco, Lima, Lima ","USD1,400",3 dormitorios,4 baÃ±os,190 mÂ²,2014,S/.600,Apartamento,Alquiler,9 mar. 2023 - Publicado por DOMUS REAL ESTATE ,https://www.properati.com.pe/detalle/14032-32-eaa7-6634980f601c-85e362d0-bf6b-474f</t>
  </si>
  <si>
    <t>Apartamento en alquiler en Ur. Armendariz,"Ur. Armendariz, Miraflores, Lima, Lima ","USD1,100",2 dormitorios,3 baÃ±os,104 mÂ²,2020,S/.520,Apartamento,Alquiler,17 mar. 2023 - Publicado por SOCIOS INMOBILIARIOS,https://www.properati.com.pe/detalle/14032-32-f3ac-3575f15566be-e9e0e613-9c39-42b6</t>
  </si>
  <si>
    <t>Apartamento en alquiler en Hu. Cercado De Miraflores,"Hu. Cercado De Miraflores, Miraflores, Lima, Lima ",S/.999,1 dormitorio,1 baÃ±o,20 mÂ²,2000,S/.55,Apartamento,Alquiler,3 ene. 2023 - Publicado por Grupo Lehmans INMOBILIARIA,https://www.properati.com.pe/detalle/14032-32-857b-6f145cf6b42c-b6f5249-992f-46e1</t>
  </si>
  <si>
    <t>Apartamento en alquiler en Sector 3,"Sector 3, Provincia de Lima, Provincia de Lima ","USD1,350",3 dormitorios,2 baÃ±os,214 mÂ²,2001,S/.450,Apartamento,Alquiler,11 abr. 2022 - Publicado por JOSE MIGUEL REQUENA MARCELO,https://www.properati.com.pe/detalle/14032-32-9d53-7a478bf65677-da102e85-997b-4b96</t>
  </si>
  <si>
    <t>Apartamento en alquiler en Ur. Santa Laura,"Ur. Santa Laura, Chorrillos, Lima, Lima ","S/.1,600",1 dormitorio,1 baÃ±o,37 mÂ²,2015,S/.150,Apartamento,Alquiler,16 mar. 2023 - Publicado por MARY E. DELGADO ABANTO,https://www.properati.com.pe/detalle/14032-32-f587-a85c770d87db-d7e3eb0d-93f3-46ab</t>
  </si>
  <si>
    <t>Apartamento en alquiler en Ur. Balta,"Ur. Balta, Miraflores, Lima, Lima ","USD1,300",3 dormitorios,3 baÃ±os,160 mÂ²,,S/.720,Apartamento,Alquiler,16 feb. 2023 - Publicado por Faure Cruz,https://www.properati.com.pe/detalle/14032-32-5184-7575224c3821-673a5e15-bbb4-4b8e</t>
  </si>
  <si>
    <t>Apartamento en alquiler en Ur. Miramar,"Ur. Miramar, San Miguel, Lima, Lima ","S/.2,000",2 dormitorios,2 baÃ±os,60 mÂ²,,S/.160,Apartamento,Alquiler,13 mar. 2023 - Publicado por REMAX FENIX,https://www.properati.com.pe/detalle/14032-32-bf80-196c1463fb75-3efdb258-9735-4a86</t>
  </si>
  <si>
    <t>Apartamento en alquiler en Ur. Libertad,"Ur. Libertad, San Miguel, Lima, Lima ","S/.2,000",2 dormitorios,2 baÃ±os,60 mÂ²,,,Apartamento,Alquiler,23 feb. 2023 - Publicado por REMAX FENIX,https://www.properati.com.pe/detalle/14032-32-7417-8205e8383e98-407c4c58-8f9d-4310</t>
  </si>
  <si>
    <t>Apartamento en alquiler en Ur. La Luz,"Ur. La Luz, Lima, Lima, Lima ","S/.2,200",2 dormitorios,1 baÃ±o,70 mÂ²,2021,S/.1,Apartamento,Alquiler,16 mar. 2023 - Publicado por RE/MAX POWER EXPO,https://www.properati.com.pe/detalle/14032-32-5002-24d5984d7d82-946c548d-88ab-47af</t>
  </si>
  <si>
    <t>Casa en alquiler en Co. La Molina Real,"Co. La Molina Real, La Molina, Lima, Lima ","USD2,200",5 dormitorios,5 baÃ±os,280 mÂ²,2013,S/.600,Casa,Alquiler,16 mar. 2023 - Publicado por REMAX SPAZIO,https://www.properati.com.pe/detalle/14032-32-41c4-83677a5d1ce-d414da19-b116-4233</t>
  </si>
  <si>
    <t>Apartamento en alquiler en Ur. Orrantia,"Ur. Orrantia, San Isidro, Lima, Lima ",USD750,1 dormitorio,1 baÃ±o,70 mÂ²,,S/.225,Apartamento,Alquiler,14 mar. 2023 - Publicado por Isotta Lima Space,https://www.properati.com.pe/detalle/14032-32-b155-47d0decbe1ef-b1f9e409-9101-4406</t>
  </si>
  <si>
    <t>Apartamento en alquiler en Ur. Santa Cruz,"Ur. Santa Cruz, Miraflores, Lima, Lima ",USD600,2 dormitorios,1 baÃ±o,100 mÂ²,,,Apartamento,Alquiler,28 nov. 2022 - Publicado por SOCIOS INMOBILIARIOS,https://www.properati.com.pe/detalle/14032-32-412f-6faa21c748b4-d06bd7d1-90bc-4f83</t>
  </si>
  <si>
    <t>Casa en alquiler en Ur. Humboldt,"Ur. Humboldt, Miraflores, Lima, Lima ","USD1,700",4 dormitorios,3 baÃ±os,360 mÂ²,2022,,Casa,Alquiler,4 feb. 2023 - Publicado por Silvia Seminario Agurto,https://www.properati.com.pe/detalle/14032-32-dce3-580c3545c01f-e625f046-8f55-42bf</t>
  </si>
  <si>
    <t>Apartamento en alquiler en Ur. Monte Carmelo,"Ur. Monte Carmelo, La Victoria, Lima, Lima ","S/.2,500",3 dormitorios,2 baÃ±os,125 mÂ²,1982,S/.200,Apartamento,Alquiler,10 ene. 2023 - Publicado por Remax Inmuebles,https://www.properati.com.pe/detalle/14032-32-84e2-a955dc6ba26a-ae1b8dbf-8c5f-423a</t>
  </si>
  <si>
    <t>Apartamento en alquiler en San Miguel,"San Miguel, Lima, Lima ","S/.2,400",3 dormitorios,2 baÃ±os,120 mÂ²,,,Apartamento,Alquiler,16 mar. 2023 - Publicado por Infinito Novantanove E.I.R.L,https://www.properati.com.pe/detalle/14032-32-5d22-1e9f06d2052f-2a794539-b69e-4973</t>
  </si>
  <si>
    <t>Apartamento en alquiler en Ur. La Alameda,"Ur. La Alameda, Santiago de Surco, Lima, Lima ",USD620,2 dormitorios,2 baÃ±os,95 mÂ²,1990,S/.130,Apartamento,Alquiler,27 ene. 2023 - Publicado por RENZO ACUÃ‘A BENDEZÃš,https://www.properati.com.pe/detalle/14032-32-17dd-b7e951405128-121e9293-a7bf-4c77</t>
  </si>
  <si>
    <t>Casa en alquiler en Surquillo,"Surquillo, Lima, Lima ","S/.7,200",7 dormitorios,5 baÃ±os,180 mÂ²,,,Casa,Alquiler,10 nov. 2022 - Publicado por Infinito Novantanove E.I.R.L,https://www.properati.com.pe/detalle/14032-32-614b-2c0d25173a8f-5199fd7e-ac1f-4ff7</t>
  </si>
  <si>
    <t>Apartamento en alquiler en Rimac,"Rimac, Lima, Lima ","S/.1,050",2 dormitorios,1 baÃ±o,58 mÂ²,2021,S/.100,Apartamento,Alquiler,16 mar. 2023 - Publicado por ALI HOUSE-PROFESIONALES INMOBILIARIOS,https://www.properati.com.pe/detalle/14032-32-1d85-28832ce6e429-90442f95-9b35-4802</t>
  </si>
  <si>
    <t>Apartamento en alquiler en Hu. Cercado De Miraflores,"Hu. Cercado De Miraflores, Miraflores, Lima, Lima ","S/.3,200",2 dormitorios,3 baÃ±os,86 mÂ²,2019,S/.400,Apartamento,Alquiler,1 mar. 2023 - Publicado por SOCIOS INMOBILIARIOS,https://www.properati.com.pe/detalle/14032-32-d6d0-7125598771e2-f331943a-a214-4314</t>
  </si>
  <si>
    <t>Apartamento en alquiler en San Miguel,"San Miguel, Lima, Lima ","S/.1,200",1 dormitorio,1 baÃ±o,38 mÂ²,,,Apartamento,Alquiler,9 mar. 2023 - Publicado por Infinito Novantanove E.I.R.L,https://www.properati.com.pe/detalle/14032-32-4721-eea91aa4db2a-4b0d048-8152-4313</t>
  </si>
  <si>
    <t>Apartamento en alquiler en Ah. San Hilarion,"Ah. San Hilarion, San Juan de Lurigancho, Lima, Lima ",S/.650,1 dormitorio,1 baÃ±o,45 mÂ²,2021,,Apartamento,Alquiler,9 ene. 2023 - Publicado por RE/MAX PERÃš,https://www.properati.com.pe/detalle/14032-32-ac96-d8851f49fc7-91d20852-bce3-481f</t>
  </si>
  <si>
    <t>Apartamento en alquiler en Ah. San Hilarion,"Ah. San Hilarion, San Juan de Lurigancho, Lima, Lima ",S/.650,1 dormitorio,1 baÃ±o,45 mÂ²,2021,,Apartamento,Alquiler,9 ene. 2023 - Publicado por RE/MAX PERÃš,https://www.properati.com.pe/detalle/14032-32-9378-71d7bec9b9d1-22efe262-9846-4759</t>
  </si>
  <si>
    <t>Apartamento en alquiler en Ur. San Antonio,"Ur. San Antonio, Miraflores, Lima, Lima ","USD1,100",2 dormitorios,2 baÃ±os,126 mÂ²,2017,S/.530,Apartamento,Alquiler,2 mar. 2023 - Publicado por Maria del Pilar Cabrera S.,https://www.properati.com.pe/detalle/14032-32-ab4-511d4621325f-b443310-9c30-4659</t>
  </si>
  <si>
    <t>Apartamento en alquiler en Ur. San Juan Bautista De Chorrillos,"Ur. San Juan Bautista De Chorrillos, Chorrillos, Lima, Lima ","S/.1,200",1 dormitorio,1 baÃ±o,40 mÂ²,1995,,Apartamento,Alquiler,15 mar. 2023 - Publicado por RE/MAX GestiÃ³n Inmobiliaria,https://www.properati.com.pe/detalle/14032-32-2aff-b1cef571a172-23d1c34f-9047-48d2</t>
  </si>
  <si>
    <t>Apartamento en alquiler en Ur. Santa Cruz,"Ur. Santa Cruz, Miraflores, Lima, Lima ",USD800,1 dormitorio,2 baÃ±os,83 mÂ²,2019,S/.400,Apartamento,Alquiler,3 feb. 2023 - Publicado por Century 21 Horizonte,https://www.properati.com.pe/detalle/14032-32-c7f7-d450ba199cbd-1c7a26e4-92a4-4802</t>
  </si>
  <si>
    <t>Apartamento en alquiler en Ur. Casuarinas Sur,"Ur. Casuarinas Sur, Santiago de Surco, Lima, Lima ",USD750,3 dormitorios,2 baÃ±os,115 mÂ²,2014,S/.500,Apartamento,Alquiler,20 feb. 2023 - Publicado por CARLA EMPERATRIZ NEIRA SILVA,https://www.properati.com.pe/detalle/14032-32-2b70-ff10afbd4727-f97d71ef-ba37-45f7</t>
  </si>
  <si>
    <t>Apartamento en alquiler en Ur. Confraternidad,"Ur. Confraternidad, Barranco, Lima, Lima ","USD1,880",3 dormitorios,2 baÃ±os,235 mÂ²,2008,"S/.1,300",Apartamento,Alquiler,7 mar. 2023 - Publicado por NG Inmobiliaria,https://www.properati.com.pe/detalle/14032-32-7183-da85d5d91323-5718b7ce-8401-4b86</t>
  </si>
  <si>
    <t>Apartamento en alquiler en Urb las Gardenias Etapa 1,"Urb las Gardenias Etapa 1, Provincia de Lima, Provincia de Lima ","S/.4,500",7 dormitorios,3 baÃ±os,180 mÂ²,2020,S/.1,Apartamento,Alquiler,11 nov. 2021 - Publicado por NNK PERU SAC,https://www.properati.com.pe/detalle/14032-32-79bd-b4777c98be0d-2208e5d0-b62d-460d</t>
  </si>
  <si>
    <t>Apartamento en alquiler en Ur. Orrantia,"Ur. Orrantia, San Isidro, Lima, Lima ","USD1,150",3 dormitorios,4 baÃ±os,135 mÂ²,2014,S/.520,Apartamento,Alquiler,25 feb. 2023 - Publicado por Lady Montes de Oca,https://www.properati.com.pe/detalle/14032-32-205b-cd0ee430d35d-3ba16fcb-b37a-458a</t>
  </si>
  <si>
    <t>Apartamento en alquiler en El Callao,"El Callao, Callao, Callao ",S/.600,1 dormitorio,1 baÃ±o,40 mÂ²,2022,S/.1,Apartamento,Alquiler,23 feb. 2023 - Publicado por REMAX FAMILY,https://www.properati.com.pe/detalle/14032-32-a64a-df499b8d54e3-c3a83094-8f4d-455d</t>
  </si>
  <si>
    <t>Casa en alquiler en Ag. Inmaculada,"Ag. Inmaculada, Cayma, Arequipa, Arequipa ","S/.4,800",8 dormitorios,4 baÃ±os,520 mÂ²,2000,S/.1,Casa,Alquiler,14 mar. 2023 - Publicado por Sillar Inmobiliaria,https://www.properati.com.pe/detalle/14032-32-d7ec-91ab13feae57-ac3b05df-9484-4c75</t>
  </si>
  <si>
    <t>Casa en alquiler en Manantay,"Manantay, Coronel Portillo, Ucayali ","S/.3,600",3 dormitorios,2 baÃ±os,220 mÂ²,2015,,Casa,Alquiler,9 mar. 2023 - Publicado por Ucayali Homes,https://www.properati.com.pe/detalle/14032-32-30e2-90fd87b41b73-1fed4ce2-8c8a-3ab3</t>
  </si>
  <si>
    <t>Apartamento en alquiler en Ur. Aurora Este,"Ur. Aurora Este, Surquillo, Lima, Lima ","S/.2,300",2 dormitorios,1 baÃ±o,75 mÂ²,1979,S/.1,Apartamento,Alquiler,24 feb. 2023 - Publicado por TU HOGAR Y BIENESTAR,https://www.properati.com.pe/detalle/14032-32-6414-a24b7af24ab-d978f100-99d6-4119</t>
  </si>
  <si>
    <t>Casa en alquiler en Cayma,"Cayma, Arequipa, Arequipa ","S/.6,500",3 dormitorios,3 baÃ±os,210 mÂ²,2010,"S/.6,500",Casa,Alquiler,14 mar. 2023 - Publicado por Sillar Inmobiliaria,https://www.properati.com.pe/detalle/14032-32-e8c3-826540818b5-d9dbe371-8196-461e</t>
  </si>
  <si>
    <t>Casa en alquiler en Ur. La Encantada,"Ur. La Encantada, Chorrillos, Lima, Lima ","USD2,800",3 dormitorios,2 baÃ±os,570 mÂ²,2001,S/.670,Casa,Alquiler,12 ene. 2023 - Publicado por Inmoba Peru SAC,https://www.properati.com.pe/detalle/14032-32-b687-fcf325908c1c-ac5d114f-9910-42ab</t>
  </si>
  <si>
    <t>Apartamento en alquiler en Ur. Campo De Polo,"Ur. Campo De Polo, San Isidro, Lima, Lima ","USD1,400",3 dormitorios,3 baÃ±os,176 mÂ²,2014,"S/.1,360",Apartamento,Alquiler,16 nov. 2022 - Publicado por ANA MARIA CECILIA ARTEAGA RODRIGUEZ,https://www.properati.com.pe/detalle/14032-32-67e-7961ec75091a-4f396479-8531-46a1</t>
  </si>
  <si>
    <t>Apartamento en alquiler en Asia,"Asia, CaÃ±ete, Lima ","USD1,000",4 dormitorios,3 baÃ±os,160 mÂ²,,,Apartamento,Alquiler,3 ene. 2023 - Publicado por Inmoba Peru SAC,https://www.properati.com.pe/detalle/14032-32-3f03-7be4c4e646f7-e4d02d79-a9b6-47d9</t>
  </si>
  <si>
    <t>Casa en alquiler en Ica,"Ica, Ica, Ica ","S/.9,200",7 dormitorios,7 baÃ±os,160 mÂ²,,,Casa,Alquiler,14 mar. 2023 - Publicado por RC HOUSE REAL ESTATE S.A.C.,https://www.properati.com.pe/detalle/14032-32-727c-e7a3c6411fed-ac5a0430-a55b-4b8d</t>
  </si>
  <si>
    <t>Apartamento en alquiler en Ur. La ViÃ±ita,"Ur. La ViÃ±ita, Barranco, Lima, Lima ",USD550,2 dormitorios,1 baÃ±o,62 mÂ²,2008,S/.180,Apartamento,Alquiler,16 feb. 2023 - Publicado por Inmoba Peru SAC,https://www.properati.com.pe/detalle/14032-32-66f-1b9cb52d3179-be2b6645-9397-4944</t>
  </si>
  <si>
    <t>Apartamento en alquiler en Ur. Balta,"Ur. Balta, Miraflores, Lima, Lima ","USD2,000",3 dormitorios,2 baÃ±os,200 mÂ²,2018,S/.603,Apartamento,Alquiler,16 feb. 2023 - Publicado por BÃ¼ro Propiedades,https://www.properati.com.pe/detalle/14032-32-2194-dfc2de2de1b0-e392cfaa-9c16-4b6a</t>
  </si>
  <si>
    <t>Apartamento en alquiler en Hu. Cercado De Miraflores,"Hu. Cercado De Miraflores, Miraflores, Lima, Lima ","USD1,000",3 dormitorios,3 baÃ±os,120 mÂ²,2019,S/.450,Apartamento,Alquiler,24 ene. 2023 - Publicado por  INMOBILIARIA TUCASA A1 PERU,https://www.properati.com.pe/detalle/14032-32-1027-6e637ab2439a-f3786c9e-9874-44f3</t>
  </si>
  <si>
    <t>Apartamento en alquiler en Ur. Las Begonias,"Ur. Las Begonias, San Borja, Lima, Lima ","S/.2,900",3 dormitorios,3 baÃ±os,120 mÂ²,1990,S/.140,Apartamento,Alquiler,29 dic. 2022 - Publicado por IVV Broker Inmobiliario,https://www.properati.com.pe/detalle/14032-32-45cb-b6a85f6aa66b-9502bad3-99f6-45a9</t>
  </si>
  <si>
    <t>Apartamento en alquiler en Hu. Cercado De Miraflores,"Hu. Cercado De Miraflores, Miraflores, Lima, Lima ","S/.2,900",4 dormitorios,3 baÃ±os,120 mÂ²,,,Apartamento,Alquiler,25 dic. 2022 - Publicado por RealWasi Inmobiliaria,https://www.properati.com.pe/detalle/14032-32-84c1-abdc53fec0e4-d798cd90-9e1b-120d</t>
  </si>
  <si>
    <t>Apartamento en alquiler en Ur. Chacarilla Del Estanque,"Ur. Chacarilla Del Estanque, San Borja, Lima, Lima ","USD1,500",3 dormitorios,3 baÃ±os,150 mÂ²,2022,S/.700,Apartamento,Alquiler,9 mar. 2023 - Publicado por RE/MAX Expo,https://www.properati.com.pe/detalle/14032-32-d9b7-2cf8649679c1-18551c74-a815-4a3c</t>
  </si>
  <si>
    <t>Apartamento en alquiler en Fundo Conde San Isidro,"Fundo Conde San Isidro, Provincia de Lima, Provincia de Lima ",USD850,3 dormitorios,3 baÃ±os,114 mÂ²,,S/.300,Apartamento,Alquiler,26 oct. 2022 - Publicado por REMAX SUNSET,https://www.properati.com.pe/detalle/14032-32-99c3-cfb7aa40f7e7-944e2982-8b7a-4b80</t>
  </si>
  <si>
    <t>Apartamento en alquiler en Hu. Cercado De Miraflores,"Hu. Cercado De Miraflores, Miraflores, Lima, Lima ","USD1,800",2 dormitorios,3 baÃ±os,170 mÂ²,2013,S/.506,Apartamento,Alquiler,14 mar. 2023 - Publicado por Manuel Villarreal Perez,https://www.properati.com.pe/detalle/14032-32-ea5f-bd724abdf0b0-620ff35d-8dfb-4c50</t>
  </si>
  <si>
    <t>Casa en alquiler en Ur. Monte Carmelo,"Ur. Monte Carmelo, La Victoria, Lima, Lima ","S/.4,900",3 dormitorios,3 baÃ±os,260 mÂ²,1988,,Casa,Alquiler,11 mar. 2023 - Publicado por JESUS ALTAMIRANO CONDEMARIN,https://www.properati.com.pe/detalle/14032-32-8d6f-9d019a7c4ff3-6bd3681a-a10b-4812</t>
  </si>
  <si>
    <t>Apartamento en alquiler en Santa Rosa,"Santa Rosa, Provincia de Lima, Provincia de Lima ","USD2,500",3 dormitorios,3 baÃ±os,217 mÂ²,,S/.880,Apartamento,Alquiler,17 mar. 2022 - Publicado por Lucy Mier y Teran,https://www.properati.com.pe/detalle/14032-32-c44c-cb19a3937e63-cba2504-a3bd-4a08</t>
  </si>
  <si>
    <t>Casa en alquiler en As. Miguel Grau,"As. Miguel Grau, San Bartolo, Lima, Lima ",USD450,3 dormitorios,1 baÃ±o,120 mÂ²,,,Casa,Alquiler,6 mar. 2023 - Publicado por Alfredo Maccera,https://www.properati.com.pe/detalle/14032-32-bc71-c73c661fb498-c94357a0-8d71-120d</t>
  </si>
  <si>
    <t>Apartamento en alquiler en Ur. Los Andenes,"Ur. Los Andenes, Cayma, Arequipa, Arequipa ","S/.2,300",3 dormitorios,3 baÃ±os,120 mÂ²,,,Apartamento,Alquiler,13 mar. 2023 - Publicado por Sandra Carbajal,https://www.properati.com.pe/detalle/14032-32-7a8a-cf7d8448a11-eda963f-b1d9-443a</t>
  </si>
  <si>
    <t>Apartamento en alquiler en Ur. Las Magnolias,"Ur. Las Magnolias, Santiago de Surco, Lima, Lima ",USD750,3 dormitorios,3 baÃ±os,121 mÂ²,2007,S/.160,Apartamento,Alquiler,5 feb. 2023 - Publicado por RE/MAX Expo,https://www.properati.com.pe/detalle/14032-32-6233-d395937c0e17-42b066e9-a76c-4f91</t>
  </si>
  <si>
    <t>Apartamento en alquiler en Lo. Chacra Cerro,"Lo. Chacra Cerro, Comas, Lima, Lima ",S/.800,3 dormitorios,1 baÃ±o,49 mÂ²,2016,S/.100,Apartamento,Alquiler,1 feb. 2023 - Publicado por RE/MAX Expo,https://www.properati.com.pe/detalle/14032-32-51af-bd59bf77d232-ed24aff0-8046-4397</t>
  </si>
  <si>
    <t>Apartamento en alquiler en Ur. Las Laderas De Melgarejo,"Ur. Las Laderas De Melgarejo, La Molina, Lima, Lima ","S/.2,300",2 dormitorios,3 baÃ±os,76 mÂ²,,,Apartamento,Alquiler,10 mar. 2023 - Publicado por Remax Diamond,https://www.properati.com.pe/detalle/14032-32-5a50-fa71d36f18b8-ec2437fb-b653-5005</t>
  </si>
  <si>
    <t>Apartamento en alquiler en Ur. Balta,"Ur. Balta, Miraflores, Lima, Lima ",USD950,2 dormitorios,3 baÃ±os,128 mÂ²,2018,S/.550,Apartamento,Alquiler,12 mar. 2023 - Publicado por Manuel Villarreal Perez,https://www.properati.com.pe/detalle/14032-32-b329-3bcc8f6202ec-5f71e3ef-86e0-4d04</t>
  </si>
  <si>
    <t>Casa en alquiler en Asia,"Asia, CaÃ±ete, Lima ",USD600,4 dormitorios,4 baÃ±os,700 mÂ²,2022,,Casa,Alquiler,11 feb. 2023 - Publicado por GG BIENES RAICES,https://www.properati.com.pe/detalle/14032-32-6c9f-6183348c61ed-dc4bbfdc-84ca-4801</t>
  </si>
  <si>
    <t>Casa de playa en alquiler en Sama,"Sama, Tacna, Tacna ",USD500,3 dormitorios,2 baÃ±os,,,,Casa de playa,Alquiler,7 ene. 2023 - Publicado por ConÃ©ctica Inmobiliaria,https://www.properati.com.pe/detalle/14032-32-30ac-781b42f2d96-1fd479d5-9d1a-48bf</t>
  </si>
  <si>
    <t>Apartamento en alquiler en Santiago de Surco,"Santiago de Surco, Lima, Lima ",USD800,2 dormitorios,2 baÃ±os,145 mÂ²,2023,S/.200,Apartamento,Alquiler,11 mar. 2023 - Publicado por MARÃA CECILIA UGAZ BEER,https://www.properati.com.pe/detalle/14032-32-c048-adde0b22dd60-d89176d0-b132-120d</t>
  </si>
  <si>
    <t>Apartamento en alquiler en Ur. Mayorazgo Etapa Iv,"Ur. Mayorazgo Etapa Iv, Ate, Lima, Lima ","S/.2,000",2 dormitorios,2 baÃ±os,120 mÂ²,1998,S/.170,Apartamento,Alquiler,12 mar. 2023 - Publicado por RE/MAX PERÃš,https://www.properati.com.pe/detalle/14032-32-22e6-21be8ef1e441-b0fe8edc-947e-49b1</t>
  </si>
  <si>
    <t>Apartamento en alquiler en Sd. Aeropuerto De Collique,"Sd. Aeropuerto De Collique, Comas, Lima, Lima ",S/.800,2 dormitorios,1 baÃ±o,60 mÂ²,2016,S/.1,Apartamento,Alquiler,5 mar. 2023 - Publicado por Piero Ã±opo EchevarrÃ­a,https://www.properati.com.pe/detalle/14032-32-d8f0-6fc097f888a1-1d78eb10-8a77-4726</t>
  </si>
  <si>
    <t>Apartamento en alquiler en Ur. Chacarilla Del Estanque,"Ur. Chacarilla Del Estanque, Santiago de Surco, Lima, Lima ","USD2,200",3 dormitorios,3 baÃ±os,300 mÂ²,2014,S/.170,Apartamento,Alquiler,11 mar. 2023 - Publicado por ERICK FERNANDO REATEGUI VARGAS,https://www.properati.com.pe/detalle/14032-32-c06b-fb738b2ee363-26a151c0-aac3-120d</t>
  </si>
  <si>
    <t>Apartamento en alquiler en Urb los Patricios,"Urb los Patricios, Provincia de Lima, Provincia de Lima ","S/.3,600",3 dormitorios,2 baÃ±os,99 mÂ²,2006,S/.310,Apartamento,Alquiler,24 jul. 2022 - Publicado por Midori Kishimoto,https://www.properati.com.pe/detalle/14032-32-cd77-bc3bd68c89c5-ff43f21d-926c-43cc</t>
  </si>
  <si>
    <t>Apartamento en alquiler en Las Acacias,"Las Acacias, Provincia de Lima, Provincia de Lima ",USD650,1 dormitorio,1 baÃ±o,130 mÂ²,2012,,Apartamento,Alquiler,3 jun. 2022 - Publicado por MarÃ­a  Del Carmen Mesones Villacorta,https://www.properati.com.pe/detalle/14032-32-4294-b4743415b9db-59868097-bc98-3b13</t>
  </si>
  <si>
    <t>Apartamento en alquiler en Miraflores,"Miraflores, Lima, Lima ",USD600,1 dormitorio,1 baÃ±o,60 mÂ²,2023,S/.200,Apartamento,Alquiler,11 mar. 2023 - Publicado por MARÃA CECILIA UGAZ BEER,https://www.properati.com.pe/detalle/14032-32-c047-4d38b668e473-ada67c00-8a37-120d</t>
  </si>
  <si>
    <t>Apartamento en alquiler en Ur. Monterrico Norte,"Ur. Monterrico Norte, San Borja, Lima, Lima ",USD950,3 dormitorios,2 baÃ±os,82 mÂ²,,,Apartamento,Alquiler,9 mar. 2023 - Publicado por REMAX AHORA,https://www.properati.com.pe/detalle/14032-32-ce00-a494b50ac00b-1b9db7fa-9ef1-4df4</t>
  </si>
  <si>
    <t>Apartamento en alquiler en Ur. San Antonio,"Ur. San Antonio, Miraflores, Lima, Lima ","USD1,000",3 dormitorios,2 baÃ±os,112 mÂ²,,,Apartamento,Alquiler,28 feb. 2023 - Publicado por Century 21 Excellence.,https://www.properati.com.pe/detalle/14032-32-fdca-6ff02bd0a6d3-cbac234b-96b9-312c</t>
  </si>
  <si>
    <t>Apartamento en alquiler en Ur. Monterrico Norte,"Ur. Monterrico Norte, San Borja, Lima, Lima ","USD205,000",3 dormitorios,2 baÃ±os,117 mÂ²,2013,S/.350,Apartamento,Alquiler,10 mar. 2023 - Publicado por OPCION UNO INMOBILIARIA S.A.C,https://www.properati.com.pe/detalle/14032-32-8519-cab47c4ff2fe-ad8574d5-a1f7-458d</t>
  </si>
  <si>
    <t>Apartamento en alquiler en Lo. Parcelacion - Ex Fundo La Estrella Sector 23,"Lo. Parcelacion - Ex Fundo La Estrella Sector 23, Ate, Lima, Lima ","S/.1,000",3 dormitorios,2 baÃ±os,65 mÂ²,,,Apartamento,Alquiler,28 feb. 2023 - Publicado por Century 21 Premium,https://www.properati.com.pe/detalle/14032-32-9fdc-cddfd1955206-c2575ccd-a329-4011</t>
  </si>
  <si>
    <t>Apartamento en alquiler en Ur. Maranga Etapa Ii,"Ur. Maranga Etapa Ii, San Miguel, Lima, Lima ","S/.2,500",3 dormitorios,2 baÃ±os,124 mÂ²,1995,,Apartamento,Alquiler,2 feb. 2023 - Publicado por REMAX FAMILY,https://www.properati.com.pe/detalle/14032-32-c20-9506af32f857-edbebebc-b920-438d</t>
  </si>
  <si>
    <t>Apartamento en alquiler en Surquillo,"Surquillo, Urb Cercado de Miraflores, Provincia de Lima, Provincia de Lima ",USD850,2 dormitorios,2 baÃ±os,90 mÂ²,2020,S/.290,Apartamento,Alquiler,26 jul. 2022 - Publicado por Corretajes Inmobiliarios Matessa SAC,https://www.properati.com.pe/detalle/14032-32-7153-ed48552947b7-6a2440e1-8d99-4c50</t>
  </si>
  <si>
    <t>Apartamento en alquiler en Surquillo,"Surquillo, Urb Cercado de Miraflores, Provincia de Lima, Provincia de Lima ",USD850,2 dormitorios,2 baÃ±os,90 mÂ²,2012,S/.300,Apartamento,Alquiler,10 jul. 2022 - Publicado por Corretajes Inmobiliarios Matessa SAC,https://www.properati.com.pe/detalle/14032-32-79fb-11bb5e125d9e-6db5099b-a907-468d</t>
  </si>
  <si>
    <t>Apartamento en alquiler en Ur. San Isidro,"Ur. San Isidro, San Isidro, Lima, Lima ","USD1,100",2 dormitorios,3 baÃ±os,110 mÂ²,2022,S/.380,Apartamento,Alquiler,16 dic. 2022 - Publicado por Dream House Real Estate,https://www.properati.com.pe/detalle/14032-32-919b-b380b8c43666-d2723b18-9876-4c7e</t>
  </si>
  <si>
    <t>Apartamento en alquiler en Ur. Limatambo,"Ur. Limatambo, San Isidro, Lima, Lima ","USD1,500",3 dormitorios,4 baÃ±os,200 mÂ²,2011,S/.800,Apartamento,Alquiler,11 mar. 2023 - Publicado por Prime House,https://www.properati.com.pe/detalle/14032-32-8ede-2dc787348dec-f6829be-84fa-4516</t>
  </si>
  <si>
    <t>Apartamento en alquiler en Ur. Balta,"Ur. Balta, Miraflores, Lima, Lima ","USD1,250",1 dormitorio,1 baÃ±o,110 mÂ²,2019,S/.462,Apartamento,Alquiler,10 mar. 2023 - Publicado por IMPERIAL INN MIRAFLORES S.A.C.,https://www.properati.com.pe/detalle/14032-32-1580-847661ec7f0c-42f9b076-b2fb-45c3</t>
  </si>
  <si>
    <t>Casa en alquiler en Ur. El Sol De La Molina Etapa I,"Ur. El Sol De La Molina Etapa I, La Molina, Lima, Lima ","USD2,200",4 dormitorios,3 baÃ±os,330 mÂ²,2006,S/.600,Casa,Alquiler,6 mar. 2023 - Publicado por RE/MAX Expo,https://www.properati.com.pe/detalle/14032-32-7c27-9aef3ad01741-55e52c06-a397-4aca</t>
  </si>
  <si>
    <t>Apartamento en alquiler en Chacra Rios Sur,"Chacra Rios Sur, Provincia de Lima, Provincia de Lima ","S/.1,469",2 dormitorios,2 baÃ±os,58 mÂ²,2017,,Apartamento,Alquiler,23 ago. 2022 - Publicado por EXPERT HOME BIENES RAICES S.A.C,https://www.properati.com.pe/detalle/14032-32-42a3-ae85fc19d920-29002ad6-877d-4793</t>
  </si>
  <si>
    <t>Casa en alquiler en Ur. El Sol De La Molina Etapa I,"Ur. El Sol De La Molina Etapa I, La Molina, Lima, Lima ","USD2,300",4 dormitorios,3 baÃ±os,330 mÂ²,2006,S/.600,Casa,Alquiler,6 mar. 2023 - Publicado por RE/MAX Expo,https://www.properati.com.pe/detalle/14032-32-448b-c8a06f851ae-acb12818-bb46-4c4f</t>
  </si>
  <si>
    <t>Casa en alquiler en Ur. El Sol De La Molina Etapa I,"Ur. El Sol De La Molina Etapa I, La Molina, Lima, Lima ","USD2,100",4 dormitorios,3 baÃ±os,300 mÂ²,2006,S/.600,Casa,Alquiler,5 mar. 2023 - Publicado por RE/MAX Expo,https://www.properati.com.pe/detalle/14032-32-c949-d3d9505eef72-a80394cd-b458-4587</t>
  </si>
  <si>
    <t>Casa en alquiler en Urb SeÃ±orial,"Urb SeÃ±orial, Arequipa, Arequipa ","S/.4,000",3 dormitorios,4 baÃ±os,200 mÂ²,200 mÂ²,,Casa,Alquiler,23 set. 2022 - Publicado por Casafacil-Aqp,https://www.properati.com.pe/detalle/14032-32-dbe7-859597426bf6-fdad716c-a12d-3ed0</t>
  </si>
  <si>
    <t>Casa en alquiler en Ur. Las Palmas De Surco,"Ur. Las Palmas De Surco, Santiago de Surco, Lima, Lima ","S/.5,800",4 dormitorios,3 baÃ±os,274 mÂ²,,,Casa,Alquiler,17 feb. 2023 - Publicado por Century 21 Expogroup,https://www.properati.com.pe/detalle/14032-32-ef33-f4f05270a1ed-9ac88a94-a804-3b5c</t>
  </si>
  <si>
    <t>Apartamento en alquiler en Ur. S/N,"Ur. S/N, Lince, Lima, Lima ","S/.1,900",1 dormitorio,1 baÃ±o,47 mÂ²,2022,S/.200,Apartamento,Alquiler,6 mar. 2023 - Publicado por CARLA EMPERATRIZ NEIRA SILVA,https://www.properati.com.pe/detalle/14032-32-5be1-7ebf9d9b9bba-4cdaa40d-b5e7-4340</t>
  </si>
  <si>
    <t>Apartamento en alquiler en Hu. Cercado De Miraflores,"Hu. Cercado De Miraflores, Miraflores, Lima, Lima ","USD1,550",2 dormitorios,3 baÃ±os,153 mÂ²,2021,S/.580,Apartamento,Alquiler,9 mar. 2023 - Publicado por BÃ¼ro Propiedades,https://www.properati.com.pe/detalle/14032-32-fc54-c0eba2c56200-a3e64ae1-8940-47cf</t>
  </si>
  <si>
    <t>Apartamento en alquiler en Ur. Santa Patricia Etapa Ii,"Ur. Santa Patricia Etapa Ii, La Molina, Lima, Lima ","S/.1,500",2 dormitorios,1 baÃ±o,75 mÂ²,2010,,Apartamento,Alquiler,10 mar. 2023 - Publicado por EncontrÃ© tu Hogar,https://www.properati.com.pe/detalle/14032-32-bf1d-c1f7980a0236-74f4ffb0-bf16-120d</t>
  </si>
  <si>
    <t>Oficina en alquiler en El Palomar,"El Palomar, Provincia de Lima, Provincia de Lima ","USD1,300",4 dormitorios,2 baÃ±os,,1999,,Oficina,Alquiler,29 ago. 2022 - Publicado por Carla Teresa Guevara Falconi,https://www.properati.com.pe/detalle/14032-32-1198-515142e11f93-59412bf5-8c2d-3463</t>
  </si>
  <si>
    <t>Apartamento en alquiler en Ur. San Rafael,"Ur. San Rafael, BreÃ±a, Lima, Lima ","S/.1,100",2 dormitorios,1 baÃ±o,60 mÂ²,2014,,Apartamento,Alquiler,30 ene. 2023 - Publicado por EncontrÃ© tu Hogar,https://www.properati.com.pe/detalle/14032-32-a079-bb34ba02ec8c-b04aa9b0-96c5-120d</t>
  </si>
  <si>
    <t>Apartamento en alquiler en Ur. La ViÃ±ita,"Ur. La ViÃ±ita, Barranco, Lima, Lima ",USD600,1 dormitorio,1 baÃ±o,41 mÂ²,2023,S/.200,Apartamento,Alquiler,2 mar. 2023 - Publicado por Maju GarcÃ­a,https://www.properati.com.pe/detalle/14032-32-b90c-36539b145c1-983fe410-9f5e-120d</t>
  </si>
  <si>
    <t>Apartamento en alquiler en Ur. Santa Patricia Etapa Iii,"Ur. Santa Patricia Etapa Iii, La Molina, Lima, Lima ","S/.1,100",2 dormitorios,1 baÃ±o,50 mÂ²,2014,,Apartamento,Alquiler,30 ene. 2023 - Publicado por EncontrÃ© tu Hogar,https://www.properati.com.pe/detalle/14032-32-a07d-43b463b85c32-b0be7d50-926f-120d</t>
  </si>
  <si>
    <t>Apartamento en alquiler en Ur. Tejada Alta,"Ur. Tejada Alta, Barranco, Lima, Lima ",USD590,1 dormitorio,1 baÃ±o,45 mÂ²,2023,S/.240,Apartamento,Alquiler,3 mar. 2023 - Publicado por IMPERIAL INN MIRAFLORES S.A.C.,https://www.properati.com.pe/detalle/14032-32-b5e4-cf88ec1247af-831d7ae5-b8e8-4ec2</t>
  </si>
  <si>
    <t>Casa en alquiler en Chiclayo,"Chiclayo, Chiclayo, Lambayeque ","S/.3,000",5 dormitorios,3 baÃ±os,128 mÂ²,112 mÂ²,,Casa,Alquiler,8 mar. 2023 - Publicado por Lula Botey Inmobiliaria,https://www.properati.com.pe/detalle/14032-32-aa8-fa6af4dd81f6-35d98017-aa23-3f2e</t>
  </si>
  <si>
    <t>Apartamento en alquiler en Ur. San Miguel,"Ur. San Miguel, San Miguel, Lima, Lima ","S/.2,600",2 dormitorios,2 baÃ±os,69 mÂ²,2015,S/.250,Apartamento,Alquiler,3 feb. 2023 - Publicado por RE/MAX PRO,https://www.properati.com.pe/detalle/14032-32-2df7-5b619c1ec409-9bdb9e6b-a410-428d</t>
  </si>
  <si>
    <t>Apartamento en alquiler en Hu. Cercado De Miraflores,"Hu. Cercado De Miraflores, Miraflores, Lima, Lima ",USD850,2 dormitorios,2 baÃ±os,90 mÂ²,2002,S/.350,Apartamento,Alquiler,9 feb. 2023 - Publicado por Corretaje Pelusa,https://www.properati.com.pe/detalle/14032-32-4e15-75895301dc49-a57189c1-9bdc-4860</t>
  </si>
  <si>
    <t>Apartamento en alquiler en Ur. Balta,"Ur. Balta, Miraflores, Lima, Lima ",USD850,2 dormitorios,2 baÃ±os,,2000,,Apartamento,Alquiler,24 feb. 2023 - Publicado por   Susana Cordano  Allende ,https://www.properati.com.pe/detalle/14032-32-7349-8be320d6d96d-daa54281-8f66-3400</t>
  </si>
  <si>
    <t>Apartamento en alquiler en Comas,"Comas, Lima, Lima ",S/.900,3 dormitorios,1 baÃ±o,56 mÂ²,2023,S/.100,Apartamento,Alquiler,9 mar. 2023 - Publicado por REMAX FAMILY,https://www.properati.com.pe/detalle/14032-32-2d80-fb37288a0dd6-5167aff3-b4a6-4e93</t>
  </si>
  <si>
    <t>Apartamento en alquiler en Ur. Orrantia,"Ur. Orrantia, San Isidro, Lima, Lima ",USD780,3 dormitorios,2 baÃ±os,105 mÂ²,,,Apartamento,Alquiler,24 feb. 2023 - Publicado por Century 21 MÃ¡xima,https://www.properati.com.pe/detalle/14032-32-3051-b3e8812b96e6-24361292-ab56-3bcd</t>
  </si>
  <si>
    <t>Casa en alquiler en Ur. Federico Villarreal,"Ur. Federico Villarreal, Chiclayo, Chiclayo, Lambayeque ","S/.3,000",5 dormitorios,3 baÃ±os,128 mÂ²,,,Casa,Alquiler,7 mar. 2023 - Publicado por Lula Botey Inmobiliaria,https://www.properati.com.pe/detalle/14032-32-e93a-5977651ea6dd-25878354-960a-47f9</t>
  </si>
  <si>
    <t>Apartamento en alquiler en Nuevo Chimbote,"Nuevo Chimbote, Santa, Ancash ",S/.900,3 dormitorios,3 baÃ±os,108 mÂ²,2019,S/.10,Apartamento,Alquiler,11 feb. 2023 - Publicado por Roalse Inmobiliaria ,https://www.properati.com.pe/detalle/14032-32-4080-6ce80251b515-44cff071-a5e6-40fc</t>
  </si>
  <si>
    <t>Apartamento en alquiler en Nuevo Chimbote,"Nuevo Chimbote, Santa, Ancash ",S/.450,1 dormitorio,1 baÃ±o,35 mÂ²,2020,S/.1,Apartamento,Alquiler,26 nov. 2022 - Publicado por Roalse Inmobiliaria ,https://www.properati.com.pe/detalle/14032-32-ad1c-4ef77fa7ebd3-a40c32b7-86ab-474d</t>
  </si>
  <si>
    <t>HabitaciÃ³n en alquiler en Ur. San Borja,"Ur. San Borja, San Borja, Lima, Lima ","S/.1,100",1 dormitorio,1 baÃ±o,12 mÂ²,2,S/.1,HabitaciÃ³n,Alquiler,8 feb. 2023 - Publicado por TU HOGAR Y BIENESTAR,https://www.properati.com.pe/detalle/14032-32-9899-e8e19d308ef5-ee4727c4-bb85-4abb</t>
  </si>
  <si>
    <t>HabitaciÃ³n en alquiler en Ur. San Borja,"Ur. San Borja, San Borja, Lima, Lima ","S/.1,200",1 dormitorio,1 baÃ±o,17 mÂ²,2,S/.1,HabitaciÃ³n,Alquiler,8 feb. 2023 - Publicado por TU HOGAR Y BIENESTAR,https://www.properati.com.pe/detalle/14032-32-6053-2e05b27977fb-c5ea22f1-9368-501e</t>
  </si>
  <si>
    <t>Apartamento en alquiler en San Miguel,"San Miguel, Lima, Lima ","S/.2,800",3 dormitorios,3 baÃ±os,108 mÂ²,,S/.100,Apartamento,Alquiler,20 feb. 2023 - Publicado por Infinito Novantanove E.I.R.L,https://www.properati.com.pe/detalle/14032-32-8127-f993a284f48c-db984799-ae36-4d89</t>
  </si>
  <si>
    <t>Apartamento en alquiler en Ur. Confraternidad,"Ur. Confraternidad, Barranco, Lima, Lima ","USD1,800",2 dormitorios,2 baÃ±os,165 mÂ²,2010,,Apartamento,Alquiler,24 dic. 2021 - Publicado por Silvia Seminario Agurto,https://www.properati.com.pe/detalle/14032-32-82cd-57276ca491b1-c6075d56-a4d2-46d9</t>
  </si>
  <si>
    <t>Apartamento en alquiler en Ur. Armendariz,"Ur. Armendariz, Miraflores, Lima, Lima ","USD1,900",3 dormitorios,3 baÃ±os,195 mÂ²,2016,S/.900,Apartamento,Alquiler,12 abr. 2022 - Publicado por Silvia Seminario Agurto,https://www.properati.com.pe/detalle/14032-32-ce0c-96f8a62c821e-5e00420e-bd3e-4fc5</t>
  </si>
  <si>
    <t>Apartamento en alquiler en Ur. Valle Hermoso Oeste,"Ur. Valle Hermoso Oeste, Santiago de Surco, Lima, Lima ","USD1,200",3 dormitorios,2 baÃ±os,133 mÂ²,2010,S/.572,Apartamento,Alquiler,12 abr. 2022 - Publicado por Silvia Seminario Agurto,https://www.properati.com.pe/detalle/14032-32-ace8-fc3916c3704f-8c744627-b9e2-428e</t>
  </si>
  <si>
    <t>Apartamento en alquiler en Ur. El Rosario,"Ur. El Rosario, San Isidro, Lima, Lima ","USD1,900",3 dormitorios,2 baÃ±os,203 mÂ²,,,Apartamento,Alquiler,27 nov. 2022 - Publicado por Lucy Mier y Teran,https://www.properati.com.pe/detalle/14032-32-1ae8-2ef1cf1fab82-f77ad90f-9507-44e3</t>
  </si>
  <si>
    <t>Apartamento en alquiler en As. Santa Clarita,"As. Santa Clarita, Ate, Lima, Lima ",S/.950,3 dormitorios,2 baÃ±os,74 mÂ²,,,Apartamento,Alquiler,24 nov. 2022 - Publicado por REMAX AHORA,https://www.properati.com.pe/detalle/14032-32-a16a-c1828ec89989-fe7d8107-bbd8-42d6</t>
  </si>
  <si>
    <t>Casa en alquiler en Leuro,"Leuro, Provincia de Lima, Provincia de Lima ","USD3,500",3 dormitorios,2 baÃ±os,570 mÂ²,,,Casa,Alquiler,9 jul. 2022 - Publicado por ABC Inmuebles,https://www.properati.com.pe/detalle/14032-32-8f96-c575a376318e-c16ca76b-ad45-4358</t>
  </si>
  <si>
    <t>Apartamento en alquiler en Ur. Barboncito,"Ur. Barboncito, Miraflores, Lima, Lima ",USD850,2 dormitorios,2 baÃ±os,90 mÂ²,,S/.260,Apartamento,Alquiler,4 mar. 2023 - Publicado por RE/MAX Realty Group,https://www.properati.com.pe/detalle/14032-32-df3c-bce5496691b7-de446cdd-9587-4ff9</t>
  </si>
  <si>
    <t>Casa en alquiler en Provincia de Lima,"Provincia de Lima, Provincia de Lima ","USD8,000",4 dormitorios,3 baÃ±os,"1,477 mÂ²",,,Casa,Alquiler,5 jul. 2021 - Publicado por BÃ¼ro Propiedades,https://www.properati.com.pe/detalle/14032-32-60d3-7477ef7b7d0b-e71ed7d8-b175-4f3c</t>
  </si>
  <si>
    <t>Apartamento en alquiler en Ur. San Isidro,"Ur. San Isidro, San Isidro, Lima, Lima ","USD1,400",2 dormitorios,2 baÃ±os,191 mÂ²,,S/.500,Apartamento,Alquiler,8 feb. 2023 - Publicado por Isotta Lima Space,https://www.properati.com.pe/detalle/14032-32-951-68e3a4440cac-7a685b7c-9b11-4b75</t>
  </si>
  <si>
    <t>Oficina en alquiler en San Isidro,"San Isidro, Lima, Lima ",USD700,7 dormitorios,2 baÃ±os,,83 mÂ²,,Oficina,Alquiler,17 feb. 2023 - Publicado por  Maria  Testino Luna ,https://www.properati.com.pe/detalle/14032-32-e35c-98f37e5cbb83-af89da2a-9eb9-3a53</t>
  </si>
  <si>
    <t>Apartamento en alquiler en Ur. Los Patricios (San Felipe),"Ur. Los Patricios (San Felipe), JesÃºs MarÃ­a, Lima, Lima ",USD800,3 dormitorios,2 baÃ±os,76 mÂ²,2005,S/.268,Apartamento,Alquiler,28 feb. 2023 - Publicado por HABITALE BIENES RAICES,https://www.properati.com.pe/detalle/14032-32-998c-974062cc4d8a-2245523a-95d2-414d</t>
  </si>
  <si>
    <t>Apartamento en alquiler en Ur. Huacrachuco,"Ur. Huacrachuco, Chorrillos, Lima, Lima ",USD400,1 dormitorio,1 baÃ±o,40 mÂ²,2022,,Apartamento,Alquiler,7 mar. 2023 - Publicado por INMOBILIARIA INTERNACIONAL DEL PERU,https://www.properati.com.pe/detalle/14032-32-3fc3-a457482f39f2-59b0fc53-a20b-48b3</t>
  </si>
  <si>
    <t>Apartamento en alquiler en Ur. San Felipe,"Ur. San Felipe, JesÃºs MarÃ­a, Lima, Lima ",USD800,3 dormitorios,2 baÃ±os,93 mÂ²,,S/.200,Apartamento,Alquiler,9 feb. 2023 - Publicado por RE/MAX Expo,https://www.properati.com.pe/detalle/14032-32-d7ce-ddfcdf65657c-ce6ed8b-b846-4237</t>
  </si>
  <si>
    <t>Apartamento en alquiler en Hu. Ex Fundo Monterrico Chico Parcela 2 (San Idelfonso Del Vivero),"Hu. Ex Fundo Monterrico Chico Parcela 2 (San Idelfonso Del Vivero), Santiago de Surco, Lima, Lima ","USD1,100",3 dormitorios,3 baÃ±os,165 mÂ²,2012,S/.520,Apartamento,Alquiler,7 feb. 2023 - Publicado por Corretajes Inmobiliarios Matessa SAC,https://www.properati.com.pe/detalle/14032-32-6686-d14e38a7960f-511d3214-b40d-48a8</t>
  </si>
  <si>
    <t>Apartamento en alquiler en Playa San Bartolo,"Playa San Bartolo, Provincia de Lima, Provincia de Lima ","Consultar</t>
  </si>
  <si>
    <t xml:space="preserve">                        ",3 dormitorios,2 baÃ±os,106 mÂ²,2013,S/.220,Apartamento,Alquiler,1 jun. 2022 - Publicado por RENZO ACUÃ‘A BENDEZÃš,https://www.properati.com.pe/detalle/14032-32-ee67-3996ddb2cb27-5d7ef26a-aaeb-4024</t>
  </si>
  <si>
    <t>Apartamento en alquiler en Ur. La ViÃ±ita,"Ur. La ViÃ±ita, Barranco, Lima, Lima ","S/.1,700",1 dormitorio,1 baÃ±o,40 mÂ²,,,Apartamento,Alquiler,5 mar. 2023 - Publicado por Century 21 Prestigia,https://www.properati.com.pe/detalle/14032-32-f897-95a7ecda825d-2b8516c7-bb50-3ab1</t>
  </si>
  <si>
    <t>Apartamento en alquiler en Ur. German Astete,"Ur. German Astete, La Perla, Callao, Callao ","S/.1,600",3 dormitorios,2 baÃ±os,82 mÂ²,,,Apartamento,Alquiler,24 feb. 2023 - Publicado por Century 21 Prestigia,https://www.properati.com.pe/detalle/14032-32-82fc-88ca67d6c349-f3e6d089-b3c0-3e5d</t>
  </si>
  <si>
    <t>Apartamento en alquiler en Ur. San Isidro,"Ur. San Isidro, San Isidro, Lima, Lima ","USD1,200",2 dormitorios,2 baÃ±os,106 mÂ²,,,Apartamento,Alquiler,31 ene. 2023 - Publicado por Lucy Mier y Teran,https://www.properati.com.pe/detalle/14032-32-52e6-440e2a7f48e5-c01cc136-a13c-4eef</t>
  </si>
  <si>
    <t>Apartamento en alquiler en Fundo Monterrico Chico,"Fundo Monterrico Chico, Provincia de Lima, Provincia de Lima ","USD1,100",3 dormitorios,3 baÃ±os,131 mÂ²,2012,S/.380,Apartamento,Alquiler,16 jul. 2022 - Publicado por SOCIOS INMOBILIARIOS,https://www.properati.com.pe/detalle/14032-32-371e-3ef3f5639118-a919ffa5-80d7-4b81</t>
  </si>
  <si>
    <t>Apartamento en alquiler en Ur. Chacarilla Santa Cruz Zona Santa Isabel B,"Ur. Chacarilla Santa Cruz Zona Santa Isabel B, San Isidro, Lima, Lima ","USD1,650",3 dormitorios,2 baÃ±os,161 mÂ²,1968,S/.800,Apartamento,Alquiler,8 dic. 2022 - Publicado por RE/MAX Realty Group,https://www.properati.com.pe/detalle/14032-32-946-564c1a5a28df-994ccb3d-bb5e-4fe4</t>
  </si>
  <si>
    <t>Casa en alquiler en Piura,"Piura, Piura, Piura ","USD1,500",6 dormitorios,7 baÃ±os,500 mÂ²,2019,,Casa,Alquiler,11 feb. 2023 - Publicado por GP Inmobiliaria pe,https://www.properati.com.pe/detalle/14032-32-a1ca-2c89a37c3878-c22f7fe4-9c8e-4a02</t>
  </si>
  <si>
    <t>Apartamento en alquiler en Ur. Jacaranda,"Ur. Jacaranda, San Borja, Lima, Lima ","S/.3,000",3 dormitorios,3 baÃ±os,94 mÂ²,,S/.220,Apartamento,Alquiler,11 ene. 2023 - Publicado por SOCIOS INMOBILIARIOS,https://www.properati.com.pe/detalle/14032-32-d479-e9ddef853b15-ad4a2249-9cc8-469c</t>
  </si>
  <si>
    <t>Casa en alquiler en Piura,"Piura, Piura, Piura ","USD1,250",3 dormitorios,5 baÃ±os,200 mÂ²,2018,S/.200,Casa,Alquiler,17 feb. 2023 - Publicado por GP Inmobiliaria pe,https://www.properati.com.pe/detalle/14032-32-8993-ac1e30268e58-9ec3ad03-904f-4d94</t>
  </si>
  <si>
    <t>Apartamento en alquiler en Ur. Campo De Polo,"Ur. Campo De Polo, Magdalena del Mar, Lima, Lima ",USD750,1 dormitorio,1 baÃ±o,45 mÂ²,2021,,Apartamento,Alquiler,3 mar. 2023 - Publicado por RE/MAX Dreams pe,https://www.properati.com.pe/detalle/14032-32-cec6-2e0471f70181-6ff1747-a253-46d0</t>
  </si>
  <si>
    <t>Apartamento en alquiler en San Borja,"San Borja, Lima, Lima ",USD800,3 dormitorios,2 baÃ±os,95 mÂ²,,S/.200,Apartamento,Alquiler,8 feb. 2023 - Publicado por Infinito Novantanove E.I.R.L,https://www.properati.com.pe/detalle/14032-32-c319-f2c2ca7db955-e17a629c-9920-409d</t>
  </si>
  <si>
    <t>Apartamento en alquiler en Ur. Balta,"Ur. Balta, Miraflores, Lima, Lima ",USD850,2 dormitorios,2 baÃ±os,85 mÂ²,85 mÂ²,,Apartamento,Alquiler,3 dic. 2022 - Publicado por Inmobiliaria Portella,https://www.properati.com.pe/detalle/14032-32-da3e-1656cdda5e4b-43ee054d-8dc9-3c7a</t>
  </si>
  <si>
    <t>Apartamento en alquiler en Ur. Oyague,"Ur. Oyague, Pueblo Libre, Lima, Lima ","S/.2,500",3 dormitorios,3 baÃ±os,150 mÂ²,2012,S/.180,Apartamento,Alquiler,5 mar. 2023 - Publicado por RE/MAX Expo,https://www.properati.com.pe/detalle/14032-32-4a71-663fa8f57892-21a9862b-92fb-4f8d</t>
  </si>
  <si>
    <t>Casa en alquiler en Ur. Micaela Bastidas,"Ur. Micaela Bastidas, Los Olivos, Lima, Lima ","USD3,800",5 dormitorios,5 baÃ±os,540 mÂ²,2002,,Casa,Alquiler,7 feb. 2023 - Publicado por Remax Plaza,https://www.properati.com.pe/detalle/14032-32-c77b-a1c3e6fce978-bbb3fff3-a727-46ec</t>
  </si>
  <si>
    <t>Apartamento en alquiler en Ur. Vista Alegre,"Ur. Vista Alegre, Santiago de Surco, Lima, Lima ","S/.4,100",3 dormitorios,3 baÃ±os,92 mÂ²,2023,S/.280,Apartamento,Alquiler,3 mar. 2023 - Publicado por RE/MAX Expo,https://www.properati.com.pe/detalle/14032-32-d3e7-943e2c1fef5e-fc217ab8-a99e-4080</t>
  </si>
  <si>
    <t>Apartamento en alquiler en Ur. Risso,"Ur. Risso, Lince, Lima, Lima ","S/.2,500",2 dormitorios,2 baÃ±os,75 mÂ²,2015,,Apartamento,Alquiler,3 mar. 2023 - Publicado por Remax Diamond,https://www.properati.com.pe/detalle/14032-32-3cdb-262ac65a8eac-9e9a34c7-894d-40b9</t>
  </si>
  <si>
    <t>Apartamento en alquiler en Ur. Valle Hermoso Residencial Etapa Ii,"Ur. Valle Hermoso Residencial Etapa Ii, Santiago de Surco, Lima, Lima ","USD1,400",3 dormitorios,3 baÃ±os,300 mÂ²,2010,S/.480,Apartamento,Alquiler,17 feb. 2023 - Publicado por COLUMBUS INMOBILIARIA,https://www.properati.com.pe/detalle/14032-32-8a8a-37ccd979c701-c92c721d-83dc-4073</t>
  </si>
  <si>
    <t>Apartamento en alquiler en San Isidro,"San Isidro, Lima, Lima ","USD2,600",3 dormitorios,3 baÃ±os,330 mÂ²,2000,"S/.1,350",Apartamento,Alquiler,13 dic. 2022 - Publicado por BÃ¼ro Propiedades,https://www.properati.com.pe/detalle/14032-32-7444-44dd48a9da8f-af958a24-92e8-414d</t>
  </si>
  <si>
    <t>Apartamento en alquiler en Hu. Cercado De Miraflores,"Hu. Cercado De Miraflores, Miraflores, Lima, Lima ","USD1,000",3 dormitorios,3 baÃ±os,112 mÂ²,,S/.570,Apartamento,Alquiler,22 feb. 2023 - Publicado por Fiorella Saldarriaga,https://www.properati.com.pe/detalle/14032-32-972e-fb714669d198-9bf7fafe-990b-48da</t>
  </si>
  <si>
    <t>Apartamento en alquiler en Santa Cruz,"Santa Cruz, Urb Santa Cruz, Provincia de Lima, Provincia de Lima ","USD1,500",3 dormitorios,2 baÃ±os,115 mÂ²,2008,S/.900,Apartamento,Alquiler,6 oct. 2022 - Publicado por HABITALE BIENES RAICES,https://www.properati.com.pe/detalle/14032-32-6d61-cee736aea1bb-3818e47d-a30f-4dd1</t>
  </si>
  <si>
    <t>Apartamento en alquiler en Fundo Conde San Isidro,"Fundo Conde San Isidro, Provincia de Lima, Provincia de Lima ","USD2,000",3 dormitorios,2 baÃ±os,1 Medio baÃ±o,2003,,Apartamento,Alquiler,29 ago. 2022 - Publicado por Ida Rubini Vargas,https://www.properati.com.pe/detalle/14032-32-e8d3-4a0bf908574f-4ec2818c-87c2-31eb</t>
  </si>
  <si>
    <t>Apartamento en alquiler en UrbanizaciÃ³n ZÃ¡rate,"UrbanizaciÃ³n ZÃ¡rate, San Juan De Lurigancho, Lima, Lima ","S/.1,000",3 dormitorios,1 baÃ±o,,,,Apartamento,Alquiler,4 mar. 2023 - Publicado por MSW PerÃº Inmobiliaria,https://www.properati.com.pe/detalle/14032-32-ba51-53a5dddb3e53-56747550-a50a-120d</t>
  </si>
  <si>
    <t>Apartamento en alquiler en Ur. Nueva Castilla,"Ur. Nueva Castilla, Santiago de Surco, Lima, Lima ",USD980,3 dormitorios,3 baÃ±os,140 mÂ²,2018,,Apartamento,Alquiler,3 mar. 2023 - Publicado por Milagros OrmeÃ±o,https://www.properati.com.pe/detalle/14032-32-a20e-8df9ef4bc2e4-66fe14db-b5f6-4e01</t>
  </si>
  <si>
    <t>HabitaciÃ³n en alquiler en Hu. Cercado De La Perla,"Hu. Cercado De La Perla, La Perla, Callao, Callao ","USD12,000",17 dormitorios,2 baÃ±os,12 Medios baÃ±os,2018,S/.1,HabitaciÃ³n,Alquiler,3 mar. 2023 - Publicado por Century 21 Horizonte,https://www.properati.com.pe/detalle/14032-32-5310-5d9a7e423d7d-c00b4355-84dd-44a4</t>
  </si>
  <si>
    <t>Apartamento en alquiler en San Isidro,"San Isidro, Lima, Lima ","USD3,050",3 dormitorios,3 baÃ±os,173 mÂ²,,"S/.1,100",Apartamento,Alquiler,26 ene. 2023 - Publicado por BÃ¼ro Propiedades,https://www.properati.com.pe/detalle/14032-32-dbf9-138ed6ee263f-170e0d2-893c-4192</t>
  </si>
  <si>
    <t>Casa de playa en alquiler en Playa San Bartolo,"Playa San Bartolo, Provincia de Lima, Provincia de Lima ","USD1,300",4 dormitorios,4 baÃ±os,1 Medio baÃ±o,2015,,Casa de playa,Alquiler,22 set. 2022 - Publicado por RENZO ACUÃ‘A BENDEZÃš,https://www.properati.com.pe/detalle/14032-32-ea-728c6c1589b0-881aa977-8bfd-4826</t>
  </si>
  <si>
    <t>Casa en alquiler en Cieneguilla,"Cieneguilla, Lima, Lima ",USD990,4 dormitorios,3 baÃ±os,"1,024 mÂ²",2021,S/.450,Casa,Alquiler,16 nov. 2022 - Publicado por RENZO ACUÃ‘A BENDEZÃš,https://www.properati.com.pe/detalle/14032-32-554b-98555dea96c9-2026c44a-bb98-4d18</t>
  </si>
  <si>
    <t>Casa en alquiler en Provincia de Lima,"Provincia de Lima, Provincia de Lima ","USD1,600",5 dormitorios,6 baÃ±os,"1,024 mÂ²",2018,,Casa,Alquiler,11 oct. 2022 - Publicado por RENZO ACUÃ‘A BENDEZÃš,https://www.properati.com.pe/detalle/14032-32-798d-feeda2f11d87-b9d5c66c-b41a-4128</t>
  </si>
  <si>
    <t>Apartamento en alquiler en Hu. Cercado De Miraflores,"Hu. Cercado De Miraflores, Miraflores, Lima, Lima ","USD2,400",3 dormitorios,2 baÃ±os,200 mÂ²,2006,S/.650,Apartamento,Alquiler,31 ene. 2023 - Publicado por BÃ¼ro Propiedades,https://www.properati.com.pe/detalle/14032-32-11ec-7377078ccf67-355c7069-b65d-5016</t>
  </si>
  <si>
    <t>Casa de playa en alquiler en Cerro Azul,"Cerro Azul, CaÃ±ete, Lima ","USD1,000",4 dormitorios,4 baÃ±os,1 Medio baÃ±o,2022,,Casa de playa,Alquiler,16 nov. 2022 - Publicado por RENZO ACUÃ‘A BENDEZÃš,https://www.properati.com.pe/detalle/14032-32-7f65-2071f8302930-f0db32e9-879e-478c</t>
  </si>
  <si>
    <t>Apartamento en alquiler en Ur. America,"Ur. America, Miraflores, Lima, Lima ",USD700,1 dormitorio,1 baÃ±o,50 mÂ²,2014,S/.221,Apartamento,Alquiler,6 feb. 2023 - Publicado por RENZO ACUÃ‘A BENDEZÃš,https://www.properati.com.pe/detalle/14032-32-e1-70648799a85f-217000ee-ba69-4f43</t>
  </si>
  <si>
    <t>Apartamento en alquiler en Ur. Confraternidad,"Ur. Confraternidad, Barranco, Lima, Lima ",USD950,2 dormitorios,3 baÃ±os,85 mÂ²,2013,S/.450,Apartamento,Alquiler,27 feb. 2023 - Publicado por RENZO ACUÃ‘A BENDEZÃš,https://www.properati.com.pe/detalle/14032-32-aa29-e9f2a37908b5-24e1ae20-8b1c-447d</t>
  </si>
  <si>
    <t>Apartamento en alquiler en Re. San Felipe,"Re. San Felipe, San Isidro, Lima, Lima ","USD2,650",3 dormitorios,3 baÃ±os,450 mÂ²,1995,S/.1,Apartamento,Alquiler,9 ene. 2023 - Publicado por BÃ¼ro Propiedades,https://www.properati.com.pe/detalle/14032-32-8bc1-c853fbbb192a-f1f878a9-8f59-40b1</t>
  </si>
  <si>
    <t>Apartamento en alquiler en Ur. Maranga Etapa Iii,"Ur. Maranga Etapa Iii, San Miguel, Lima, Lima ","S/.1,600",2 dormitorios,1 baÃ±o,53 mÂ²,1990,,Apartamento,Alquiler,3 mar. 2023 - Publicado por REMAX UNITED,https://www.properati.com.pe/detalle/14032-32-30f2-2c7a63c4abc-58b92a4c-b5fb-4960</t>
  </si>
  <si>
    <t>Apartamento en alquiler en Miraflores,"Miraflores, Lima, Lima ","S/.2,800",2 dormitorios,3 baÃ±os,115 mÂ²,2010,S/.1,Apartamento,Alquiler,2 ene. 2023 - Publicado por Danitza Zapata Tomassini,https://www.properati.com.pe/detalle/14032-32-f3d4-6a7543e8e7e7-ce8dfe33-b397-4d4c</t>
  </si>
  <si>
    <t>Casa en alquiler en Surco,"Surco, Santiago De Surco, Lima, Lima ","USD2,500",5 dormitorios,5 baÃ±os,300 mÂ²,2017,,Casa,Alquiler,26 feb. 2023 - Publicado por RE/MAX Expo,https://www.properati.com.pe/detalle/14032-32-8572-4c3c43423cfd-3c8de3a5-82b8-4692</t>
  </si>
  <si>
    <t>Apartamento en alquiler en Ur. Los Jazmines,"Ur. Los Jazmines, Santiago de Surco, Lima, Lima ",USD800,3 dormitorios,3 baÃ±os,170 mÂ²,,S/.280,Apartamento,Alquiler,20 oct. 2022 - Publicado por Fiorella Saldarriaga,https://www.properati.com.pe/detalle/14032-32-688b-1375a15a8fcd-ecd54b3a-bd38-403d</t>
  </si>
  <si>
    <t>Apartamento en alquiler en Ur. San German Etapa I,"Ur. San German Etapa I, San MartÃ­n de Porres, Lima, Lima ",S/.900,1 dormitorio,1 baÃ±o,35 mÂ²,1998,S/.1,Apartamento,Alquiler,3 mar. 2023 - Publicado por REMAX LIBERTY,https://www.properati.com.pe/detalle/14032-32-4f74-536873775d31-cc92dccb-a9f3-4f38</t>
  </si>
  <si>
    <t>Apartamento en alquiler en Urb Haras Tyber,"Urb Haras Tyber, Provincia de Lima, Provincia de Lima ","S/.1,300",1 dormitorio,1 baÃ±o,15 mÂ²,,,Apartamento,Alquiler,26 oct. 2022 - Publicado por Century 21 Central,https://www.properati.com.pe/detalle/14032-32-61ea-302e3e59a505-6bb0871b-8f87-315a</t>
  </si>
  <si>
    <t>Apartamento en alquiler en Ur. Aurora,"Ur. Aurora, Miraflores, Lima, Lima ","USD2,990",3 dormitorios,4 baÃ±os,355 mÂ²,2018,"S/.1,100",Apartamento,Alquiler,15 ago. 2022 - Publicado por IMPERIAL INN MIRAFLORES S.A.C.,https://www.properati.com.pe/detalle/14032-32-e0ca-fa1410aff861-caeb33ac-8072-4c39</t>
  </si>
  <si>
    <t>Apartamento en alquiler en Surquillo,"Surquillo, Urb Jose Balta, Provincia de Lima, Provincia de Lima ","USD1,207",3 dormitorios,4 baÃ±os,132 mÂ²,2015,S/.380,Apartamento,Alquiler,14 ago. 2022 - Publicado por IMPERIAL INN MIRAFLORES S.A.C.,https://www.properati.com.pe/detalle/14032-32-ae1c-a909eb3775d7-cff891cd-a943-4dba</t>
  </si>
  <si>
    <t>Apartamento en alquiler en Ur. Prolongacion Benavides,"Ur. Prolongacion Benavides, Santiago de Surco, Lima, Lima ","S/.1,800",2 dormitorios,1 baÃ±o,90 mÂ²,2008,S/.1,Apartamento,Alquiler,2 mar. 2023 - Publicado por RE/MAX Principal pe,https://www.properati.com.pe/detalle/14032-32-6c7c-7f19d2f767d2-4dabc45b-a3a1-4c76</t>
  </si>
  <si>
    <t>Apartamento en alquiler en Ur. Balta,"Ur. Balta, Miraflores, Lima, Lima ","USD2,100",3 dormitorios,3 baÃ±os,190 mÂ²,2002,S/.580,Apartamento,Alquiler,1 feb. 2023 - Publicado por LOGRA Inmobiliaria,https://www.properati.com.pe/detalle/14032-32-1618-5805e38df61b-6103048c-bae4-4e3c</t>
  </si>
  <si>
    <t>Apartamento en alquiler en Urb Costa Sur,"Urb Costa Sur, Provincia de Lima, Provincia de Lima ","S/.2,250",1 dormitorio,2 baÃ±os,58 mÂ²,,,Apartamento,Alquiler,17 ago. 2022 - Publicado por RE/MAX PRO,https://www.properati.com.pe/detalle/14032-32-b21f-316324697aa5-414bde3d-8767-483f</t>
  </si>
  <si>
    <t>Apartamento en alquiler en Urb Huertos de San Antonio,"Urb Huertos de San Antonio, Provincia de Lima, Provincia de Lima ",USD650,3 dormitorios,2 baÃ±os,165 mÂ²,2000,S/.200,Apartamento,Alquiler,10 jul. 2022 - Publicado por Corretajes Inmobiliarios Matessa SAC,https://www.properati.com.pe/detalle/14032-32-fbcb-f235e92e9a0-8c1a18c3-8895-4bc8</t>
  </si>
  <si>
    <t>Apartamento en alquiler en Leuro,"Leuro, Provincia de Lima, Provincia de Lima ","USD2,700",3 dormitorios,3 baÃ±os,1 Medio baÃ±o,218 mÂ²,,Apartamento,Alquiler,9 nov. 2022 - Publicado por Carmen Lucia Alvarez SÃ nchez,https://www.properati.com.pe/detalle/14032-32-3186-49327fabd9dc-434ba83a-994b-3570</t>
  </si>
  <si>
    <t>Apartamento en alquiler en Ur. Huertos De San Antonio,"Ur. Huertos De San Antonio, Santiago de Surco, Lima, Lima ",USD650,3 dormitorios,2 baÃ±os,170 mÂ²,1990,S/.200,Apartamento,Alquiler,28 feb. 2023 - Publicado por Corretajes Inmobiliarios Matessa SAC,https://www.properati.com.pe/detalle/14032-32-58bf-a75a26f50657-d3e8e44f-ab50-4c0f</t>
  </si>
  <si>
    <t>Apartamento en alquiler en Ur. Jardin,"Ur. Jardin, San Isidro, Lima, Lima ","USD1,200",4 dormitorios,3 baÃ±os,156 mÂ²,2011,S/.450,Apartamento,Alquiler,1 mar. 2023 - Publicado por Lien Hub Inmobiliario,https://www.properati.com.pe/detalle/14032-32-fd2b-fa8e8374ef47-a9b776e9-aff2-4ab4</t>
  </si>
  <si>
    <t>Apartamento en alquiler en Ur. Armendariz,"Ur. Armendariz, Miraflores, Lima, Lima ","USD2,200",3 dormitorios,2 baÃ±os,200 mÂ²,1996,S/.740,Apartamento,Alquiler,1 mar. 2023 - Publicado por RE/MAX Expo,https://www.properati.com.pe/detalle/14032-32-1bda-ae285943ffc4-70cdde0f-b5b5-428f</t>
  </si>
  <si>
    <t>Apartamento en alquiler en Ur. Los Tulipanes,"Ur. Los Tulipanes, Miraflores, Lima, Lima ","S/.4,000",3 dormitorios,2 baÃ±os,121 mÂ²,2018,S/.280,Apartamento,Alquiler,22 ene. 2023 - Publicado por CCE REALTOR - #CierraConEva,https://www.properati.com.pe/detalle/14032-32-33c9-f4ebbe9a4d85-26f10c68-b685-4b62</t>
  </si>
  <si>
    <t>Apartamento en alquiler en Urb las Gardenias Etapa 1,"Urb las Gardenias Etapa 1, Provincia de Lima, Provincia de Lima ","S/.1,200",1 dormitorio,1 baÃ±o,30 mÂ²,2020,S/.1,Apartamento,Alquiler,23 abr. 2022 - Publicado por NNK PERU SAC,https://www.properati.com.pe/detalle/14032-32-3ec1-6943670a3c82-b4c53102-b86e-4e0c</t>
  </si>
  <si>
    <t>Casa en alquiler en San RamÃ³n,"San RamÃ³n, Tambo Grande, Piura, Piura ","S/.2,800",7 dormitorios,3 baÃ±os,312 mÂ²,,,Casa,Alquiler,2 feb. 2023 - Publicado por REMAX FAMILY,https://www.properati.com.pe/detalle/14032-32-8b07-d83c373dd897-52255242-98c3-478c</t>
  </si>
  <si>
    <t>Apartamento en alquiler en Ur. Orrantia Del Mar,"Ur. Orrantia Del Mar, San Isidro, Lima, Lima ","USD1,100",3 dormitorios,2 baÃ±os,124 mÂ²,,S/.400,Apartamento,Alquiler,1 mar. 2023 - Publicado por SOCIOS INMOBILIARIOS,https://www.properati.com.pe/detalle/14032-32-694a-fd96106fb6c6-323ecb67-949a-40a6</t>
  </si>
  <si>
    <t>Apartamento en alquiler en Ur. Las Brisas,"Ur. Las Brisas, Chiclayo, Chiclayo, Lambayeque ","S/.1,000",3 dormitorios,1 baÃ±o,90 mÂ²,2000,,Apartamento,Alquiler,15 nov. 2022 - Publicado por RE/MAX PERÃš,https://www.properati.com.pe/detalle/14032-32-5b2a-fb5156f3cdc0-15755d8f-86a7-43b7</t>
  </si>
  <si>
    <t>Apartamento en alquiler en Ur. San Luis,"Ur. San Luis, Miraflores, Lima, Lima ",USD800,3 dormitorios,3 baÃ±os,86 mÂ²,2012,S/.300,Apartamento,Alquiler,10 ene. 2023 - Publicado por RE/MAX Expo,https://www.properati.com.pe/detalle/14032-32-41d2-2a28d767d2a7-4257d844-8f1b-4c58</t>
  </si>
  <si>
    <t>Apartamento en alquiler en Ur. Chacarilla Santa Cruz Zona Santa Isabel,"Ur. Chacarilla Santa Cruz Zona Santa Isabel, San Isidro, Lima, Lima ","USD1,500",3 dormitorios,3 baÃ±os,120 mÂ²,2017,,Apartamento,Alquiler,28 feb. 2023 - Publicado por J&amp;P Boutique Inmobiliaria PerÃº,https://www.properati.com.pe/detalle/14032-32-168a-e9b070553ad4-2ff1474c-8321-424a</t>
  </si>
  <si>
    <t>Apartamento en alquiler en Ur. San Antonio,"Ur. San Antonio, Miraflores, Lima, Lima ",USD750,1 dormitorio,1 baÃ±o,70 mÂ²,2012,S/.420,Apartamento,Alquiler,6 dic. 2022 - Publicado por RE/MAX PERÃš,https://www.properati.com.pe/detalle/14032-32-b22b-9168decfdefe-9693e428-874f-4d1d</t>
  </si>
  <si>
    <t>Apartamento en alquiler en San Felipe,"San Felipe, Provincia de Lima, Provincia de Lima ",USD850,2 dormitorios,2 baÃ±os,75 mÂ²,2018,,Apartamento,Alquiler,7 jun. 2022 - Publicado por DCITY Inmobiliaria   -  Denisse Soto &amp; Asociados,https://www.properati.com.pe/detalle/14032-32-9eb2-72eff95e4d5f-de0fbff1-b96f-4d87</t>
  </si>
  <si>
    <t>Casa en alquiler en Lurin,"Lurin, Lima, Lima ","S/.1,200",3 dormitorios,1 baÃ±o,150 mÂ²,,,Casa,Alquiler,28 feb. 2023 - Publicado por REMAX AHORA,https://www.properati.com.pe/detalle/14032-32-c9dd-ed5ac183e59d-9ab7d56e-8150-4747</t>
  </si>
  <si>
    <t>Apartamento en alquiler en Barranco,"Barranco, Lima, Lima ",USD600,1 dormitorio,1 baÃ±o,60 mÂ²,1987,S/.1,Apartamento,Alquiler,4 ene. 2023 - Publicado por Agentes Asociados,https://www.properati.com.pe/detalle/14032-32-e165-4f8a293979b3-b24648d4-b4aa-4e00</t>
  </si>
  <si>
    <t>Apartamento en alquiler en Ur. Confraternidad,"Ur. Confraternidad, Barranco, Lima, Lima ","USD1,200",3 dormitorios,3 baÃ±os,110 mÂ²,2010,S/.380,Apartamento,Alquiler,26 dic. 2022 - Publicado por Agentes Asociados,https://www.properati.com.pe/detalle/14032-32-1250-4ee6de009722-f8af4558-a625-44e6</t>
  </si>
  <si>
    <t>Apartamento en alquiler en Provincia de Lima,"Provincia de Lima, Provincia de Lima ","USD1,800",3 dormitorios,3 baÃ±os,114 mÂ²,2016,S/.550,Apartamento,Alquiler,14 oct. 2022 - Publicado por RE/MAX Expo,https://www.properati.com.pe/detalle/14032-32-eb2c-9f47874d20c5-786aa543-8e3b-42c0</t>
  </si>
  <si>
    <t>Apartamento en alquiler en Santiago de Surco,"Santiago de Surco, Lima, Lima ","USD1,100",2 dormitorios,3 baÃ±os,130 mÂ²,2005,S/.600,Apartamento,Alquiler,26 feb. 2023 - Publicado por Francisca Julia SÃ nchezÂ Alvizuri,https://www.properati.com.pe/detalle/14032-32-b5ae-e30b153f50d4-57f12ba0-8b95-120d</t>
  </si>
  <si>
    <t>Casa en alquiler en El Palomar,"El Palomar, Provincia de Lima, Provincia de Lima ","USD8,500",8 dormitorios,6 baÃ±os,1 Medio baÃ±o,1997,,Casa,Alquiler,29 ago. 2022 - Publicado por Lorena Grande Valle Riestra,https://www.properati.com.pe/detalle/14032-32-b28c-58ee1d5f8cfe-1abee606-a619-3daa</t>
  </si>
  <si>
    <t>Apartamento en alquiler en Surquillo,"Surquillo, Urb Cercado de Miraflores, Provincia de Lima, Provincia de Lima ",USD650,1 dormitorio,1 baÃ±o,57 mÂ²,,S/.167,Apartamento,Alquiler,12 oct. 2022 - Publicado por Marlene Y GarcÃ­a OrdÃ³Ã±ez,https://www.properati.com.pe/detalle/14032-32-af7-6600f6a012c-212716d4-9760-40e3</t>
  </si>
  <si>
    <t>Apartamento en alquiler en Co. Vipol El Alamo,"Co. Vipol El Alamo, Comas, Lima, Lima ",S/.950,3 dormitorios,1 baÃ±o,62 mÂ²,2022,S/.110,Apartamento,Alquiler,28 feb. 2023 - Publicado por REMAX FAMILY,https://www.properati.com.pe/detalle/14032-32-4e-1ad85df4de4b-3a8250fb-9e2b-4936</t>
  </si>
  <si>
    <t>Casa en alquiler en Lima Polo and Hunt Club,"Lima Polo and Hunt Club, Provincia de Lima, Provincia de Lima ","USD2,250",3 dormitorios,2 baÃ±os,312 mÂ²,1997,,Casa,Alquiler,6 jul. 2022 - Publicado por ABC Inmuebles,https://www.properati.com.pe/detalle/14032-32-2717-ce3f2fd0fc3d-ea1f31bd-acd1-4700</t>
  </si>
  <si>
    <t>Casa en alquiler en Ur. San Juan Sector A,"Ur. San Juan Sector A, San Juan de Miraflores, Lima, Lima ","S/.11,000",10 dormitorios,10 baÃ±os,165 mÂ²,2015,,Casa,Alquiler,24 feb. 2023 - Publicado por RE/MAX POWER EXPO,https://www.properati.com.pe/detalle/14032-32-3ed6-515c72162e41-263f2e17-b794-47ac</t>
  </si>
  <si>
    <t>Casa en alquiler en Ur. America,"Ur. America, Miraflores, Lima, Lima ","USD3,000",10 dormitorios,10 baÃ±os,250 mÂ²,2011,,Casa,Alquiler,16 ene. 2023 - Publicado por RE/MAX PERÃš,https://www.properati.com.pe/detalle/14032-32-12b3-3941988bded1-423779e9-9ad3-4105</t>
  </si>
  <si>
    <t>Apartamento en alquiler en Surquillo,"Surquillo, Urb Jose Balta, Provincia de Lima, Provincia de Lima ",USD800,3 dormitorios,3 baÃ±os,91 mÂ²,2004,,Apartamento,Alquiler,2 nov. 2021 - Publicado por RE/MAX Expo,https://www.properati.com.pe/detalle/14032-32-bedb-4b547115ceea-c190f7fc-a186-4d9b</t>
  </si>
  <si>
    <t>Apartamento en alquiler en Ur. Santa Rosa De Surco,"Ur. Santa Rosa De Surco, Santiago de Surco, Lima, Lima ",USD950,3 dormitorios,4 baÃ±os,140 mÂ²,2013,,Apartamento,Alquiler,27 feb. 2023 - Publicado por REMAX FAMILY,https://www.properati.com.pe/detalle/14032-32-e721-a461b49f40b-25f54c8a-858c-424b</t>
  </si>
  <si>
    <t>Apartamento en alquiler en Ur. Valle Hermoso Oeste,"Ur. Valle Hermoso Oeste, Santiago de Surco, Lima, Lima ","USD1,400",3 dormitorios,3 baÃ±os,200 mÂ²,2000,S/.630,Apartamento,Alquiler,27 feb. 2023 - Publicado por RocÃ­o Mazzetti,https://www.properati.com.pe/detalle/14032-32-ad5a-df72fccaf31d-79f1a330-97c2-4965</t>
  </si>
  <si>
    <t>Casa de playa en alquiler en Provincia de CaÃ±ete,"Provincia de CaÃ±ete, Gobierno Regional de Lima ","USD1,000",4 dormitorios,3 baÃ±os,,,,Casa de playa,Alquiler,8 ene. 2022 - Publicado por Asesoria Inmobiliaria Alkon,https://www.properati.com.pe/detalle/14032-32-54d-b40441026a62-b112d261-98e2-42e9</t>
  </si>
  <si>
    <t>Apartamento en alquiler en Pj. Hacienda Pro,"Pj. Hacienda Pro, Los Olivos, Lima, Lima ","S/.1,500",3 dormitorios,2 baÃ±os,77 mÂ²,,,Apartamento,Alquiler,10 feb. 2023 - Publicado por REMAX AHORA,https://www.properati.com.pe/detalle/14032-32-3f89-e32784bc99ae-1edd2db8-b4af-465e</t>
  </si>
  <si>
    <t>Apartamento en alquiler en Ur. Chacarilla Santa Cruz,"Ur. Chacarilla Santa Cruz, San Isidro, Lima, Lima ",USD890,2 dormitorios,2 baÃ±os,62 mÂ²,2023,S/.500,Apartamento,Alquiler,27 feb. 2023 - Publicado por RE/MAX PERÃš,https://www.properati.com.pe/detalle/14032-32-f36a-68bd6ac1f73d-f38a3b79-8cf9-4a97</t>
  </si>
  <si>
    <t>Apartamento en alquiler en Ur. Chacarilla Santa Cruz,"Ur. Chacarilla Santa Cruz, San Isidro, Lima, Lima ",USD760,1 dormitorio,1 baÃ±o,45 mÂ²,2023,,Apartamento,Alquiler,10 feb. 2023 - Publicado por REMAX FAMILY,https://www.properati.com.pe/detalle/14032-32-79a1-6276337f755b-90d06212-985f-473c</t>
  </si>
  <si>
    <t>Casa de playa en alquiler en Provincia de Lima,"Provincia de Lima, Provincia de Lima ","USD1,000",4 dormitorios,4 baÃ±os,2 Medios baÃ±os,2008,S/.300,Casa de playa,Alquiler,4 ago. 2022 - Publicado por joresco real estate,https://www.properati.com.pe/detalle/14032-32-4f71-d22bd9efc124-e98d0e1e-bdd0-4567</t>
  </si>
  <si>
    <t>Apartamento en alquiler en San Juan Zona B,"San Juan Zona B, Provincia de Lima, Provincia de Lima ","S/.1,500",4 dormitorios,2 baÃ±os,120 mÂ²,,,Apartamento,Alquiler,26 abr. 2022 - Publicado por Recasa Inmobiliaria PerÃº,https://www.properati.com.pe/detalle/14032-32-4338-d28f4fdbaf4b-7f7e7ea5-84d5-4e7c</t>
  </si>
  <si>
    <t>Apartamento en alquiler en Ur. La Perla,"Ur. La Perla, La Perla, Callao, Callao ","S/.2,000",2 dormitorios,2 baÃ±os,56 mÂ²,2023,S/.100,Apartamento,Alquiler,10 feb. 2023 - Publicado por REMAX FAMILY,https://www.properati.com.pe/detalle/14032-32-a7ab-ebde941bf2e3-d8cd1876-a97c-4ac7</t>
  </si>
  <si>
    <t>Apartamento en alquiler en Rimac,"Rimac, Lima, Lima ","S/.1,300",2 dormitorios,1 baÃ±o,51 mÂ²,2021,S/.160,Apartamento,Alquiler,25 feb. 2023 - Publicado por MarÃ­a  Del Carmen Mesones Villacorta,https://www.properati.com.pe/detalle/14032-32-b573-1f86107fda0e-cba00bb0-9846-120d</t>
  </si>
  <si>
    <t>Apartamento en alquiler en Fundo Conde San Isidro,"Fundo Conde San Isidro, Provincia de Lima, Provincia de Lima ","USD1,400",3 dormitorios,3 baÃ±os,175 mÂ²,2013,S/.650,Apartamento,Alquiler,1 nov. 2022 - Publicado por Luis Joya Inmobiliaria,https://www.properati.com.pe/detalle/14032-32-59a9-b3f4765c2482-1dfc29b0-acac-120d</t>
  </si>
  <si>
    <t>Apartamento en alquiler en Ur. Chacarilla Santa Cruz Zona Santa Isabel B,"Ur. Chacarilla Santa Cruz Zona Santa Isabel B, San Isidro, Lima, Lima ","USD1,650",3 dormitorios,2 baÃ±os,170 mÂ²,,,Apartamento,Alquiler,29 nov. 2022 - Publicado por Asesoria Inmobiliaria Alkon,https://www.properati.com.pe/detalle/14032-32-f0ad-3042b1ab8381-50d0f42e-a40a-45df</t>
  </si>
  <si>
    <t>Apartamento en alquiler en Ur. Oyague,"Ur. Oyague, Magdalena del Mar, Lima, Lima ",USD850,3 dormitorios,2 baÃ±os,76 mÂ²,2019,S/.1,Apartamento,Alquiler,10 ene. 2023 - Publicado por Habitar,https://www.properati.com.pe/detalle/14032-32-5371-c8a8421cb383-68c9bee-a69f-4566</t>
  </si>
  <si>
    <t>Apartamento en alquiler en Ur. Armendariz,"Ur. Armendariz, Miraflores, Lima, Lima ","USD2,400",3 dormitorios,2 baÃ±os,332 mÂ²,2012,"S/.1,200",Apartamento,Alquiler,23 feb. 2023 - Publicado por Corretaje Pelusa,https://www.properati.com.pe/detalle/14032-32-7979-542d27934b01-9dab0932-a53c-4668</t>
  </si>
  <si>
    <t>Casa en alquiler en Ur. Los Cedros De Villa Etapa Xi,"Ur. Los Cedros De Villa Etapa Xi, Chorrillos, Lima, Lima ","USD1,000",6 dormitorios,4 baÃ±os,90 mÂ²,,,Casa,Alquiler,30 ene. 2023 - Publicado por RE/MAX Metropolis,https://www.properati.com.pe/detalle/14032-32-bb9f-e9b0866f2530-194e584-892b-4fb3</t>
  </si>
  <si>
    <t>Apartamento en alquiler en Uv. Mirones,"Uv. Mirones, Lima, Lima, Lima ","S/.1,690",2 dormitorios,2 baÃ±os,60 mÂ²,2022,,Apartamento,Alquiler,10 ene. 2023 - Publicado por RE/MAX ALPHA  pe,https://www.properati.com.pe/detalle/14032-32-5208-f57e72da4a0f-e5b8427a-a7fa-47f3</t>
  </si>
  <si>
    <t>Apartamento en alquiler en Ur. Leuro,"Ur. Leuro, Miraflores, Lima, Lima ",USD970,1 dormitorio,2 baÃ±os,105 mÂ²,2016,S/.392,Apartamento,Alquiler,28 ene. 2023 - Publicado por Corretajes Inmobiliarios Matessa SAC,https://www.properati.com.pe/detalle/14032-32-7278-d726b8b99692-56cd5903-8237-47e0</t>
  </si>
  <si>
    <t>Apartamento en alquiler en Ur. Leuro,"Ur. Leuro, Miraflores, Lima, Lima ",USD970,1 dormitorio,2 baÃ±os,105 mÂ²,2011,S/.392,Apartamento,Alquiler,28 ene. 2023 - Publicado por Corretajes Inmobiliarios Matessa SAC,https://www.properati.com.pe/detalle/14032-32-f940-364e7be96dd5-f4adc101-90d7-4b17</t>
  </si>
  <si>
    <t>Casa en alquiler en Cayma,"Cayma, Cerro Colorado, Arequipa, Arequipa ","S/.5,250",5 dormitorios,9 baÃ±os,350 mÂ²,,S/.170,Casa,Alquiler,23 feb. 2023 - Publicado por Smart House,https://www.properati.com.pe/detalle/14032-32-ade1-bd7dc48e66c9-995251bd-b6d8-45f8</t>
  </si>
  <si>
    <t>Apartamento en alquiler en Pueb Yurimaguas,"Pueb Yurimaguas, Alto Amazonas, Loreto ","S/.3,000",3 dormitorios,3 baÃ±os,,,,Apartamento,Alquiler,17 ago. 2022 - Publicado por Castillos Inmobiliarios S.A.C,https://www.properati.com.pe/detalle/14032-32-4c6f-7b3f7bcb3135-ad246835-8153-302c</t>
  </si>
  <si>
    <t>Casa en alquiler en Ur. La Encantada,"Ur. La Encantada, Chorrillos, Lima, Lima ","USD3,200",4 dormitorios,4 baÃ±os,1 Medio baÃ±o,2016,,Casa,Alquiler,17 feb. 2023 - Publicado por   Maria Cecilia Berastain Arenas ,https://www.properati.com.pe/detalle/14032-32-84b0-74d3ec0c94a9-98f938ff-92c3-3b6b</t>
  </si>
  <si>
    <t>Apartamento en alquiler en Miraflores,"Miraflores, Arequipa, Arequipa ","USD1,000",2 dormitorios,4 baÃ±os,121 mÂ²,,S/.500,Apartamento,Alquiler,23 nov. 2022 - Publicado por SOCIOS INMOBILIARIOS,https://www.properati.com.pe/detalle/14032-32-c4ba-82e5b7b24078-5b49aa35-8144-44fb</t>
  </si>
  <si>
    <t>Apartamento en alquiler en Ur. Balta,"Ur. Balta, Miraflores, Lima, Lima ",USD850,2 dormitorios,2 baÃ±os,85 mÂ²,2012,S/.700,Apartamento,Alquiler,2 feb. 2023 - Publicado por INMOBILIARIA IMMONEO,https://www.properati.com.pe/detalle/14032-32-ace-3805761c4b55-6df83312-9382-486f</t>
  </si>
  <si>
    <t>Apartamento en alquiler en Ur. Chacarilla Santa Cruz Zona Santa Isabel B,"Ur. Chacarilla Santa Cruz Zona Santa Isabel B, San Isidro, Lima, Lima ","USD1,650",3 dormitorios,2 baÃ±os,170 mÂ²,1998,S/.900,Apartamento,Alquiler,8 feb. 2023 - Publicado por Corretaje Pelusa,https://www.properati.com.pe/detalle/14032-32-e189-d378a83c99d7-a2d802db-a7e1-4650</t>
  </si>
  <si>
    <t>Apartamento en alquiler en Ur. San Jose,"Ur. San Jose, Bellavista, Callao, Callao ","S/.1,800",3 dormitorios,2 baÃ±os,160 mÂ²,2010,,Apartamento,Alquiler,12 nov. 2022 - Publicado por JY Inmobiliaria SAC,https://www.properati.com.pe/detalle/14032-32-207f-541f529f156c-f163e947-ba3f-48b7</t>
  </si>
  <si>
    <t>Apartamento en alquiler en Ur. Balta,"Ur. Balta, Miraflores, Lima, Lima ",USD850,2 dormitorios,3 baÃ±os,90 mÂ²,2009,S/.400,Apartamento,Alquiler,19 dic. 2022 - Publicado por JPR INMUEBLES,https://www.properati.com.pe/detalle/14032-32-5573-8c503d6ac96a-2b34ffa4-a685-4a55</t>
  </si>
  <si>
    <t>Casa de playa en alquiler en Ur. Punta Negra,"Ur. Punta Negra, Punta Negra, Lima, Lima ",USD800,3 dormitorios,2 baÃ±os,120 mÂ²,1993,,Casa de playa,Alquiler,12 feb. 2023 - Publicado por RTA TECHNICONCEPT,https://www.properati.com.pe/detalle/14032-32-e704-c9ad113a8900-6d677976-a60e-4667</t>
  </si>
  <si>
    <t>Apartamento en alquiler en Urb Santa Cruz,"Urb Santa Cruz, Provincia de Lima, Provincia de Lima ",USD900,1 dormitorio,2 baÃ±os,105 mÂ²,2014,S/.560,Apartamento,Alquiler,24 ago. 2022 - Publicado por Maria Elena Bedoya,https://www.properati.com.pe/detalle/14032-32-624f-31f2361f6878-a2a57c33-b7d9-49d4</t>
  </si>
  <si>
    <t>Apartamento en alquiler en ArmendÃ¡riz,"ArmendÃ¡riz, Provincia de Lima, Provincia de Lima ","USD2,500",3 dormitorios,3 baÃ±os,180 mÂ²,2001,S/.760,Apartamento,Alquiler,21 nov. 2021 - Publicado por Marcia Rodriguez,https://www.properati.com.pe/detalle/14032-32-c052-3f617002477f-9b39fb89-9735-419f</t>
  </si>
  <si>
    <t>Apartamento en alquiler en Leuro,"Leuro, Provincia de Lima, Provincia de Lima ","USD1,550",5 dormitorios,4 baÃ±os,200 mÂ²,,S/.800,Apartamento,Alquiler,12 may. 2022 - Publicado por Isotta Lima Space,https://www.properati.com.pe/detalle/14032-32-3b49-cfb15daad0b6-3af69b61-b9e1-454b</t>
  </si>
  <si>
    <t>Casa en alquiler en As. Los Zorzales,"As. Los Zorzales, Puente Piedra, Lima, Lima ",USD781,5 dormitorios,4 baÃ±os,120 mÂ²,2013,,Casa,Alquiler,21 feb. 2023 - Publicado por RE/MAX Principal pe,https://www.properati.com.pe/detalle/14032-32-daed-55e611929e4c-737b75cd-abe5-43d6</t>
  </si>
  <si>
    <t>Casa en alquiler en Chaclacayo,"Chaclacayo, Lima, Lima ","S/.1,500",3 dormitorios,3 baÃ±os,135 mÂ²,,,Casa,Alquiler,21 feb. 2023 - Publicado por Magnolia QuiÃ±ones INMOBILIARIA,https://www.properati.com.pe/detalle/14032-32-6707-571ed4f2c043-d3a93edc-81d8-45d6</t>
  </si>
  <si>
    <t>Casa de playa en alquiler en Chilca,"Chilca, Huancayo, JunÃ­n ",USD850,4 dormitorios,2 baÃ±os,2 Medios baÃ±os,2021,S/.180,Casa de playa,Alquiler,2 feb. 2023 - Publicado por RE/MAX POWER EXPO,https://www.properati.com.pe/detalle/14032-32-9c1e-82941971b406-d92b5073-be58-43da</t>
  </si>
  <si>
    <t>Apartamento en alquiler en Ur. Chacarilla Santa Cruz,"Ur. Chacarilla Santa Cruz, San Isidro, Lima, Lima ",USD790,1 dormitorio,1 baÃ±o,45 mÂ²,2023,,Apartamento,Alquiler,21 feb. 2023 - Publicado por Midori Kishimoto,https://www.properati.com.pe/detalle/14032-32-b95b-1d6f7115c480-16e8b844-9eaf-4289</t>
  </si>
  <si>
    <t>Apartamento en alquiler en Chacarilla-Santa Cruz,"Chacarilla-Santa Cruz, Urb Santa Isabel, Provincia de Lima, Provincia de Lima ","USD7,500",4 dormitorios,4 baÃ±os,880 mÂ²,2014,"S/.3,200",Apartamento,Alquiler,27 mar. 2022 - Publicado por 2g Agentes Inmobiliarios,https://www.properati.com.pe/detalle/14032-32-ef0a-8457bf39b305-8da1dbb0-8d8d-375b</t>
  </si>
  <si>
    <t>Casa en alquiler en Cv. C.I.P,"Cv. C.I.P, Cayma, Arequipa, Arequipa ","USD2,500",4 dormitorios,5 baÃ±os,400 mÂ²,,,Casa,Alquiler,11 feb. 2023 - Publicado por David ValcÃ¡rcel Mercado - Nuevo negocio,https://www.properati.com.pe/detalle/14032-32-71b3-2a22209cddbd-28ff3a60-9eae-4c86</t>
  </si>
  <si>
    <t>Apartamento en alquiler en Ur. El Rosal,"Ur. El Rosal, Miraflores, Lima, Lima ","USD1,150",4 dormitorios,5 baÃ±os,165 mÂ²,,S/.400,Apartamento,Alquiler,20 feb. 2023 - Publicado por Madeleine Beltran,https://www.properati.com.pe/detalle/14032-32-ec4c-e1f3d0220fd1-d78d5ab5-8826-4b21</t>
  </si>
  <si>
    <t>Casa en alquiler en Ur. Santa Monica,"Ur. Santa Monica, San Isidro, Lima, Lima ","USD5,000",4 dormitorios,5 baÃ±os,379 mÂ²,1993,,Casa,Alquiler,17 feb. 2023 - Publicado por Top House PerÃº Inmobiliaria,https://www.properati.com.pe/detalle/14032-32-b5a5-784e30091bc4-6d6b3761-be85-4176</t>
  </si>
  <si>
    <t>Apartamento en alquiler en Ur. Prolongacion Benavides,"Ur. Prolongacion Benavides, Santiago de Surco, Lima, Lima ","USD1,300",3 dormitorios,3 baÃ±os,110 mÂ²,2021,S/.50,Apartamento,Alquiler,31 ene. 2023 - Publicado por CENTURY 21 AVANZA,https://www.properati.com.pe/detalle/14032-32-d07a-3ceb6952319d-df8cff09-b332-4834</t>
  </si>
  <si>
    <t>Apartamento en alquiler en Ur. El Rosal,"Ur. El Rosal, Miraflores, Lima, Lima ","USD1,150",4 dormitorios,5 baÃ±os,165 mÂ²,,S/.400,Apartamento,Alquiler,16 feb. 2023 - Publicado por Madeleine Beltran,https://www.properati.com.pe/detalle/14032-32-880f-cadbfdf6f736-8f5b0135-916d-41df</t>
  </si>
  <si>
    <t>Apartamento en alquiler en Fundo Conde San Isidro,"Fundo Conde San Isidro, Provincia de Lima, Provincia de Lima ","USD2,000",3 dormitorios,3 baÃ±os,200 mÂ²,2007,S/.645,Apartamento,Alquiler,9 set. 2022 - Publicado por Ceci Cayo &amp; Asociados SAC,https://www.properati.com.pe/detalle/14032-32-40ce-565106f135ca-9825c73d-ad33-473a</t>
  </si>
  <si>
    <t>Apartamento en alquiler en As. Las ViÃ±as De San Antonio Etapa I,"As. Las ViÃ±as De San Antonio Etapa I, Santiago de Surco, Lima, Lima ",USD725,3 dormitorios,3 baÃ±os,110 mÂ²,2018,S/.273,Apartamento,Alquiler,6 feb. 2023 - Publicado por RE/MAX PERÃš,https://www.properati.com.pe/detalle/14032-32-18be-257e599e4be5-22fae440-a3bc-439b</t>
  </si>
  <si>
    <t>HabitaciÃ³n en alquiler en Urb el Carmen,"Urb el Carmen, Provincia de Lima, Provincia de Lima ",S/.600,1 dormitorio,1 baÃ±o,14 mÂ²,2000,S/.1,HabitaciÃ³n,Alquiler,26 abr. 2022 - Publicado por NNK PERU SAC,https://www.properati.com.pe/detalle/14032-32-cc41-69592bbd68ed-f3f23783-b385-4bca</t>
  </si>
  <si>
    <t>Apartamento en alquiler en Reducto,"Reducto, Urb Cercado de Miraflores, Provincia de Lima, Provincia de Lima ","USD2,500",5 dormitorios,5 baÃ±os,535 mÂ²,1992,"S/.2,000",Apartamento,Alquiler,25 abr. 2022 - Publicado por Lien Hub Inmobiliario,https://www.properati.com.pe/detalle/14032-32-f00-b9b25b667c69-26d51ca9-b374-4994</t>
  </si>
  <si>
    <t>Apartamento en alquiler en As. Los Heraldos,"As. Los Heraldos, Santiago de Surco, Lima, Lima ","S/.2,500",3 dormitorios,4 baÃ±os,180 mÂ²,2007,S/.150,Apartamento,Alquiler,27 dic. 2022 - Publicado por Proyectum  PerÃº,https://www.properati.com.pe/detalle/14032-32-5906-f6c3269ce632-19492f70-8603-42e1</t>
  </si>
  <si>
    <t>Apartamento en alquiler en Pj. El Carmen Alto,"Pj. El Carmen Alto, Comas, Lima, Lima ","S/.1,100",3 dormitorios,1 baÃ±o,65 mÂ²,2022,S/.100,Apartamento,Alquiler,18 feb. 2023 - Publicado por SHAEYLINN ROJAS GOMERO,https://www.properati.com.pe/detalle/14032-32-fefc-71d74dbfd06e-56da298c-99b9-4ad3</t>
  </si>
  <si>
    <t>Casa en alquiler en Cuzco,"Cuzco, Cuzco ","USD3,500",3 dormitorios,3 baÃ±os,220 mÂ²,220 mÂ²,,Casa,Alquiler,14 set. 2022 - Publicado por Full Options SAC,https://www.properati.com.pe/detalle/14032-32-32da-cda52bd998d6-4d155a0f-be80-39ed</t>
  </si>
  <si>
    <t>Apartamento en alquiler en Ur. Santa Cruz,"Ur. Santa Cruz, Miraflores, Lima, Lima ",USD750,2 dormitorios,2 baÃ±os,80 mÂ²,2023,S/.460,Apartamento,Alquiler,14 feb. 2023 - Publicado por AC GestiÃ³n Inmobiliaria,https://www.properati.com.pe/detalle/14032-32-9d9f-2fcd8da0514a-e1c9faff-b307-4900</t>
  </si>
  <si>
    <t>Apartamento en alquiler en Ur. Miramar,"Ur. Miramar, San Miguel, Lima, Lima ",USD750,3 dormitorios,2 baÃ±os,83 mÂ²,2019,S/.250,Apartamento,Alquiler,10 feb. 2023 - Publicado por Habitar,https://www.properati.com.pe/detalle/14032-32-d83-a73504cea72b-1f0e3a25-b307-40ca</t>
  </si>
  <si>
    <t>Apartamento en alquiler en Ur. El Olivar,"Ur. El Olivar, Callao, Callao, Callao ","S/.1,000",2 dormitorios,1 baÃ±o,100 mÂ²,1990,,Apartamento,Alquiler,7 feb. 2023 - Publicado por Remax Integrity,https://www.properati.com.pe/detalle/14032-32-3f1e-3174905120b1-f050477e-baaa-433a</t>
  </si>
  <si>
    <t>Apartamento en alquiler en Ur. San Ignacio,"Ur. San Ignacio, Barranco, Lima, Lima ",USD750,1 dormitorio,1 baÃ±o,50 mÂ²,2023,S/.200,Apartamento,Alquiler,6 feb. 2023 - Publicado por RE/MAX POWER EXPO,https://www.properati.com.pe/detalle/14032-32-1218-7c5e24d59500-6e796f32-99d5-4854</t>
  </si>
  <si>
    <t>Apartamento en alquiler en Urb los Girasoles de Huampani,"Urb los Girasoles de Huampani, Provincia de Lima, Provincia de Lima ","S/.1,700",3 dormitorios,2 baÃ±os,90 mÂ²,2021,,Apartamento,Alquiler,1 jun. 2022 - Publicado por Astupropiedad,https://www.properati.com.pe/detalle/14032-32-411c-bbe3883626fd-7e742256-8f3f-4f63</t>
  </si>
  <si>
    <t>Apartamento en alquiler en Sullana,"Sullana, Sullana, Piura ","S/.1,300",1 dormitorio,1 baÃ±o,34 mÂ²,,,Apartamento,Alquiler,8 feb. 2023 - Publicado por REMAX FAMILY,https://www.properati.com.pe/detalle/14032-32-a439-f9ad1079a6a-ef70faa0-83ac-4b83</t>
  </si>
  <si>
    <t>Apartamento en alquiler en Ur. Confraternidad,"Ur. Confraternidad, Barranco, Lima, Lima ",USD500,1 dormitorio,1 baÃ±o,47 mÂ²,2022,S/.350,Apartamento,Alquiler,5 feb. 2023 - Publicado por AC GestiÃ³n Inmobiliaria,https://www.properati.com.pe/detalle/14032-32-b834-7ba81460b0a6-68b1e781-bd64-4cab</t>
  </si>
  <si>
    <t>Apartamento en alquiler en Uv Del Rimac,"Uv Del Rimac, Rimac, Lima, Lima ","S/.1,200",2 dormitorios,1 baÃ±o,55 mÂ²,2021,S/.150,Apartamento,Alquiler,23 ene. 2023 - Publicado por Nexdor SAC,https://www.properati.com.pe/detalle/14032-32-2614-d2ab896c59dc-efc133b3-9220-474c</t>
  </si>
  <si>
    <t>Apartamento en alquiler en Ur. Confraternidad,"Ur. Confraternidad, Barranco, Lima, Lima ",USD550,1 dormitorio,1 baÃ±o,48 mÂ²,2022,S/.350,Apartamento,Alquiler,8 feb. 2023 - Publicado por AC GestiÃ³n Inmobiliaria,https://www.properati.com.pe/detalle/14032-32-b956-ebb6494af1bd-191cc5c5-9dc7-40df</t>
  </si>
  <si>
    <t>Apartamento en alquiler en Ur. Balta,"Ur. Balta, Miraflores, Lima, Lima ","USD1,400",2 dormitorios,2 baÃ±os,115 mÂ²,2017,S/.600,Apartamento,Alquiler,27 dic. 2022 - Publicado por Global Ceo Net Inmobiliaria,https://www.properati.com.pe/detalle/14032-32-c334-145749678b62-1e08d7f9-bcd6-4d96</t>
  </si>
  <si>
    <t>Casa en alquiler en Ur. Collique,"Ur. Collique, Comas, Lima, Lima ","USD1,000",8 dormitorios,3 baÃ±os,54 mÂ²,1993,,Casa,Alquiler,16 feb. 2023 - Publicado por RE/MAX PRO,https://www.properati.com.pe/detalle/14032-32-84ab-df5a350c0f4c-d8047e00-ac58-4db3</t>
  </si>
  <si>
    <t>Apartamento en alquiler en Coronel Portillo,"Coronel Portillo, Ucayali ","S/.1,300",2 dormitorios,2 baÃ±os,80 mÂ²,80 mÂ²,,Apartamento,Alquiler,29 ago. 2022 - Publicado por Area Corporativa SAC,https://www.properati.com.pe/detalle/14032-32-2385-7916d542922e-cf6bddd8-a03d-3429</t>
  </si>
  <si>
    <t>Casa en alquiler en Los Manzanos,"Los Manzanos, Provincia de Lima, Provincia de Lima ","USD18,000",6 dormitorios,4 baÃ±os,"1,298 mÂ²",2006,,Casa,Alquiler,10 mar. 2022 - Publicado por 2g Agentes Inmobiliarios,https://www.properati.com.pe/detalle/14032-32-97de-b5155ed05b01-e8cedbf3-a4dd-31e8</t>
  </si>
  <si>
    <t>Apartamento en alquiler en Urb Confraternidad,"Urb Confraternidad, Provincia de Lima, Provincia de Lima ","USD1,800",2 dormitorios,2 baÃ±os,165 mÂ²,2005,S/.778,Apartamento,Alquiler,10 mar. 2022 - Publicado por 2g Agentes Inmobiliarios,https://www.properati.com.pe/detalle/14032-32-3b71-97e0b0dbc454-c315f12b-8a46-34c7</t>
  </si>
  <si>
    <t>Apartamento en alquiler en Surquillo,"Surquillo, Urb Jose Balta, Provincia de Lima, Provincia de Lima ","USD1,400",3 dormitorios,2 baÃ±os,140 mÂ²,1999,S/.650,Apartamento,Alquiler,22 abr. 2022 - Publicado por 2g Agentes Inmobiliarios,https://www.properati.com.pe/detalle/14032-32-4a4b-8fef0b8b8388-bbf93495-84ed-3835</t>
  </si>
  <si>
    <t>Apartamento en alquiler en Lo. Huertos Del Naranjal,"Lo. Huertos Del Naranjal, San MartÃ­n de Porres, Lima, Lima ","S/.1,000",2 dormitorios,1 baÃ±o,65 mÂ²,2023,,Apartamento,Alquiler,15 feb. 2023 - Publicado por RE/MAX Principal pe,https://www.properati.com.pe/detalle/14032-32-f0a3-85b5011b425a-a9d1172c-ae32-40ac</t>
  </si>
  <si>
    <t>Apartamento en alquiler en Orrantia del Mar,"Orrantia del Mar, Urb Campo de Polo, Provincia de Lima, Provincia de Lima ","USD4,800",3 dormitorios,3 baÃ±os,410 mÂ²,2012,"S/.1,300",Apartamento,Alquiler,13 jul. 2022 - Publicado por 2g Agentes Inmobiliarios,https://www.properati.com.pe/detalle/14032-32-4556-720d9237a0ef-a3340962-ae52-3e86</t>
  </si>
  <si>
    <t>Casa en alquiler en Sector 3,"Sector 3, Provincia de Lima, Provincia de Lima ","USD8,000",5 dormitorios,3 baÃ±os,890 mÂ²,1961,,Casa,Alquiler,18 jul. 2022 - Publicado por 2g Agentes Inmobiliarios,https://www.properati.com.pe/detalle/14032-32-dd23-b83b5b9d111f-4329d4ed-bcb9-3155</t>
  </si>
  <si>
    <t>Apartamento en alquiler en Ur. Santa Cruz,"Ur. Santa Cruz, Miraflores, Lima, Lima ",USD800,1 dormitorio,1 baÃ±o,58 mÂ²,2000,S/.450,Apartamento,Alquiler,2 feb. 2023 - Publicado por Bricks Consultores Inmobiliarios,https://www.properati.com.pe/detalle/14032-32-5e27-11fd7c388e5d-127af30f-99c6-4cf5</t>
  </si>
  <si>
    <t>Apartamento en alquiler en Aurora,"Aurora, Provincia de Lima, Provincia de Lima ","USD3,700",4 dormitorios,4 baÃ±os,330 mÂ²,,,Apartamento,Alquiler,13 jun. 2022 - Publicado por Isotta Lima Space,https://www.properati.com.pe/detalle/14032-32-a9b2-a0ad50c0b380-1022e841-9cd7-48e4</t>
  </si>
  <si>
    <t>Apartamento en alquiler en Chacarilla-Santa Cruz,"Chacarilla-Santa Cruz, Provincia de Lima, Provincia de Lima ","USD1,000",2 dormitorios,1 baÃ±o,70 mÂ²,,S/.320,Apartamento,Alquiler,26 ago. 2021 - Publicado por Isotta Lima Space,https://www.properati.com.pe/detalle/14032-32-95da-16df08c7b791-2eab4145-bc3a-4a2a</t>
  </si>
  <si>
    <t>Apartamento en alquiler en Ur. Balta,"Ur. Balta, Miraflores, Lima, Lima ",USD990,2 dormitorios,2 baÃ±os,110 mÂ²,2010,S/.500,Apartamento,Alquiler,15 feb. 2023 - Publicado por Midori Kishimoto,https://www.properati.com.pe/detalle/14032-32-767c-a214d6e80fe4-1567cfe9-984f-4f9c</t>
  </si>
  <si>
    <t>Apartamento en alquiler en San Juan Bautista,"San Juan Bautista, Maynas, Loreto ","S/.2,000",2 dormitorios,2 baÃ±os,84 mÂ²,2020,,Apartamento,Alquiler,14 feb. 2023 - Publicado por REMAX SUNSET,https://www.properati.com.pe/detalle/14032-32-b6ca-a9ac6dc36a14-2c24c29e-9cae-4b05</t>
  </si>
  <si>
    <t>Apartamento en alquiler en Surquillo,"Surquillo, Provincia de Lima, Provincia de Lima ","USD1,400",2 dormitorios,2 baÃ±os,1 Medio baÃ±o,2016,,Apartamento,Alquiler,29 ago. 2022 - Publicado por Ida Rubini Vargas,https://www.properati.com.pe/detalle/14032-32-4bfa-7013ba39edd7-dd6b6478-bb38-3cbb</t>
  </si>
  <si>
    <t>Apartamento en alquiler en Orrantia del Mar,"Orrantia del Mar, Urb Campo de Polo, Provincia de Lima, Provincia de Lima ","USD5,000",4 dormitorios,4 baÃ±os,532 mÂ²,2013,"S/.1,470",Apartamento,Alquiler,4 abr. 2022 - Publicado por 2g Agentes Inmobiliarios,https://www.properati.com.pe/detalle/14032-32-33d9-3f71c63b0549-4eb9a452-9e39-3521</t>
  </si>
  <si>
    <t>Casa en alquiler en Ah. Por La Union,"Ah. Por La Union, Villa MarÃ­a del Triunfo, Lima, Lima ","S/.3,300",2 dormitorios,3 baÃ±os,278 mÂ²,2015,,Casa,Alquiler,31 ene. 2023 - Publicado por REMAX FAMILY,https://www.properati.com.pe/detalle/14032-32-fa4e-6572429bc4e0-f8d94993-b9c4-4fba</t>
  </si>
  <si>
    <t>Apartamento en alquiler en Ur. Orrantia Del Mar,"Ur. Orrantia Del Mar, San Isidro, Lima, Lima ","USD1,100",3 dormitorios,2 baÃ±os,130 mÂ²,2018,S/.450,Apartamento,Alquiler,15 feb. 2023 - Publicado por Midori Kishimoto,https://www.properati.com.pe/detalle/14032-32-f0a7-f14e347a6b6a-efbff344-ad72-41a7</t>
  </si>
  <si>
    <t>Apartamento en alquiler en Miraflores,"Miraflores, Lima, Lima ","USD1,200",2 dormitorios,3 baÃ±os,140 mÂ²,2015,S/.550,Apartamento,Alquiler,2 feb. 2023 - Publicado por INMOBILIARIA IMMONEO,https://www.properati.com.pe/detalle/14032-32-e07d-2ab1bf407f8f-6ec5878c-a759-4517</t>
  </si>
  <si>
    <t>Apartamento en alquiler en Hu. Cercado De Miraflores,"Hu. Cercado De Miraflores, Miraflores, Lima, Lima ",USD550,1 dormitorio,1 baÃ±o,50 mÂ²,1998,S/.220,Apartamento,Alquiler,10 ene. 2023 - Publicado por SEYFARTH PROPIEDADES,https://www.properati.com.pe/detalle/14032-32-3bd8-96d63fb96430-4d4fff13-a681-4ef5</t>
  </si>
  <si>
    <t>Apartamento en alquiler en Hu. Cercado De Miraflores,"Hu. Cercado De Miraflores, Miraflores, Lima, Lima ","USD4,000",3 dormitorios,2 baÃ±os,310 mÂ²,2015,S/.800,Apartamento,Alquiler,10 feb. 2023 - Publicado por KLAROST GROUP,https://www.properati.com.pe/detalle/14032-32-cf1-913f75cd2bda-1be72353-b9cc-41e2</t>
  </si>
  <si>
    <t>Apartamento en alquiler en Urb Residencial Valle Hermoso,"Urb Residencial Valle Hermoso, Provincia de Lima, Provincia de Lima ",USD950,3 dormitorios,4 baÃ±os,110 mÂ²,2019,,Apartamento,Alquiler,13 may. 2022 - Publicado por MAS CASA INMOBILIARIA,https://www.properati.com.pe/detalle/14032-32-9e37-da7472df6eb9-b1f840db-a3cd-4d52</t>
  </si>
  <si>
    <t>Local Comercial en alquiler en Urb Maranga Etapa 7,"Urb Maranga Etapa 7, Provincia de Lima, Provincia de Lima ","USD26,000",20 dormitorios,18 baÃ±os,,"1,200 mÂ²",,Local Comercial,Alquiler,29 ago. 2022 - Publicado por Ida Rubini Vargas,https://www.properati.com.pe/detalle/14032-32-96e2-5277dab1a093-28fd0cf7-b81e-3ce4</t>
  </si>
  <si>
    <t>Apartamento en alquiler en Ur. Santa Rosa,"Ur. Santa Rosa, San Isidro, Lima, Lima ","USD2,600",3 dormitorios,4 baÃ±os,244 mÂ²,2012,S/.960,Apartamento,Alquiler,13 feb. 2023 - Publicado por RocÃ­o Mazzetti,https://www.properati.com.pe/detalle/14032-32-8038-8db6ab952c33-a858f17c-a07a-4b36</t>
  </si>
  <si>
    <t>Apartamento en alquiler en Ur. Orrantia Del Mar,"Ur. Orrantia Del Mar, San Isidro, Lima, Lima ","USD1,000",2 dormitorios,2 baÃ±os,140 mÂ²,,S/.400,Apartamento,Alquiler,4 dic. 2022 - Publicado por Fiorella Saldarriaga,https://www.properati.com.pe/detalle/14032-32-586c-962f3028c518-cb67887a-998d-4641</t>
  </si>
  <si>
    <t>Apartamento en alquiler en Ur. El Cortijo Etapa I,"Ur. El Cortijo Etapa I, Santiago de Surco, Lima, Lima ","USD1,150",3 dormitorios,3 baÃ±os,145 mÂ²,2003,S/.150,Apartamento,Alquiler,9 feb. 2023 - Publicado por RE/MAX Principal pe,https://www.properati.com.pe/detalle/14032-32-2a12-919ff3f1a334-b6ecd00c-a9b1-4c4a</t>
  </si>
  <si>
    <t>Apartamento en alquiler en Castilla,"Castilla, Piura, Piura ","S/.1,400",3 dormitorios,2 baÃ±os,72 mÂ²,,,Apartamento,Alquiler,30 ene. 2023 - Publicado por REMAX FAMILY,https://www.properati.com.pe/detalle/14032-32-11df-74a798ef5508-a55de5f7-853f-446f</t>
  </si>
  <si>
    <t>Apartamento en alquiler en Sector 3,"Sector 3, Provincia de Lima, Provincia de Lima ",USD550,1 dormitorio,1 baÃ±o,50 mÂ²,1997,S/.350,Apartamento,Alquiler,30 set. 2022 - Publicado por Green State,https://www.properati.com.pe/detalle/14032-32-5009-89be9cb2209b-3fe53006-b20c-4807</t>
  </si>
  <si>
    <t>Casa en alquiler en Arequipa,"Arequipa, Arequipa, Arequipa ","USD2,500",7 dormitorios,3 baÃ±os,480 mÂ²,,,Casa,Alquiler,8 feb. 2023 - Publicado por David ValcÃ¡rcel Mercado - Nuevo negocio,https://www.properati.com.pe/detalle/14032-32-80b1-a72b75b73954-7cf677c9-886d-4b0a</t>
  </si>
  <si>
    <t>Apartamento en alquiler en Ur. Risso,"Ur. Risso, Lince, Lima, Lima ","S/.2,500",2 dormitorios,2 baÃ±os,65 mÂ²,,,Apartamento,Alquiler,8 feb. 2023 - Publicado por REMAX UNITED,https://www.properati.com.pe/detalle/14032-32-e8ca-fe09d7d3860-57443d7-b22e-4918</t>
  </si>
  <si>
    <t>Apartamento en alquiler en Res el Pinar,"Res el Pinar, Provincia de Lima, Provincia de Lima ",S/.870,2 dormitorios,1 baÃ±o,79 mÂ²,,S/.70,Apartamento,Alquiler,14 may. 2022 - Publicado por RAIZ INMOBILIARIA &amp; MARKETING S.A.C.,https://www.properati.com.pe/detalle/14032-32-e99-5c20ca15a8a7-95de9a0f-9d91-4b74</t>
  </si>
  <si>
    <t>Apartamento en alquiler en Urb las Lomas de Monterrico,"Urb las Lomas de Monterrico, Provincia de Lima, Provincia de Lima ",USD950,3 dormitorios,3 baÃ±os,168 mÂ²,2016,S/.470,Apartamento,Alquiler,4 ago. 2022 - Publicado por CARLA EMPERATRIZ NEIRA SILVA,https://www.properati.com.pe/detalle/14032-32-6e66-71a4ad924980-2c63f5f3-97d7-49d0</t>
  </si>
  <si>
    <t>Apartamento en alquiler en Ur. San Eugenio,"Ur. San Eugenio, Lince, Lima, Lima ","S/.2,500",2 dormitorios,2 baÃ±os,65 mÂ²,2022,S/.390,Apartamento,Alquiler,22 ene. 2023 - Publicado por RE/MAX POWER EXPO,https://www.properati.com.pe/detalle/14032-32-2cb-d7dd52313207-dfdacf61-8a16-4ddc</t>
  </si>
  <si>
    <t>Apartamento en alquiler en La Calera De La Merced,"La Calera De La Merced, Provincia de Lima, Provincia de Lima ","S/.1,950",1 dormitorio,1 baÃ±o,45 mÂ²,2022,S/.250,Apartamento,Alquiler,5 oct. 2022 - Publicado por ANA MARIA CECILIA ARTEAGA RODRIGUEZ,https://www.properati.com.pe/detalle/14032-32-8e9e-54bae35cafb0-b9e9fef-b067-41d1</t>
  </si>
  <si>
    <t>Apartamento en alquiler en Po. Huancayo,"Po. Huancayo, Huancayo, Huancayo, JunÃ­n ","S/.2,200",2 dormitorios,2 baÃ±os,97 mÂ²,2013,S/.100,Apartamento,Alquiler,5 feb. 2023 - Publicado por Inmobiliaria Casas y Mas,https://www.properati.com.pe/detalle/14032-32-7c9d-3346457ae632-7d61d5af-9ebd-46f2</t>
  </si>
  <si>
    <t>Apartamento en alquiler en Las Delicias,"Las Delicias, Chiclayo, Lambayeque ","S/.1,500",3 dormitorios,2 baÃ±os,120 mÂ²,2001,,Apartamento,Alquiler,8 feb. 2023 - Publicado por RE/MAX PERÃš,https://www.properati.com.pe/detalle/14032-32-ffda-22bfd433c09a-3cefc739-9214-4fe3</t>
  </si>
  <si>
    <t>Casa en alquiler en Bellavista,"Bellavista, Callao, Callao ","USD1,300",4 dormitorios,2 baÃ±os,200 mÂ²,1978,S/.1,Casa,Alquiler,7 feb. 2023 - Publicado por AP ASOCIADOS  INMOBILIARIA,https://www.properati.com.pe/detalle/14032-32-f12e-8479e8826f22-ea075fce-8eba-4c61</t>
  </si>
  <si>
    <t>Apartamento en alquiler en Ur. Los Pinares,"Ur. Los Pinares, Los Olivos, Lima, Lima ",S/.900,2 dormitorios,1 baÃ±o,80 mÂ²,2012,S/.1,Apartamento,Alquiler,7 feb. 2023 - Publicado por INMOBILIARIA IMMONEO,https://www.properati.com.pe/detalle/14032-32-f4bb-105f7751e212-5dad729d-b73a-4e03</t>
  </si>
  <si>
    <t>Apartamento en alquiler en La Molina,"La Molina, Lima, Lima ","USD1,200",3 dormitorios,2 baÃ±os,140 mÂ²,,,Apartamento,Alquiler,24 dic. 2022 - Publicado por Infinito Novantanove E.I.R.L,https://www.properati.com.pe/detalle/14032-32-837e-47b80445ae29-69139c5-8db3-40a5</t>
  </si>
  <si>
    <t>Apartamento en alquiler en Ur. San Fernando,"Ur. San Fernando, La Perla, Callao, Callao ","S/.2,600",3 dormitorios,2 baÃ±os,120 mÂ²,,,Apartamento,Alquiler,6 feb. 2023 - Publicado por REMAX UNITED,https://www.properati.com.pe/detalle/14032-32-1319-f7f118cecb16-98a1ba38-a301-4b9f</t>
  </si>
  <si>
    <t>Apartamento en alquiler en Ate,"Ate, Lima, Lima ","S/.1,800",3 dormitorios,2 baÃ±os,110 mÂ²,2014,,Apartamento,Alquiler,26 dic. 2022 - Publicado por Astupropiedad,https://www.properati.com.pe/detalle/14032-32-b5d1-d75e6823b173-36e301c5-a1b9-414d</t>
  </si>
  <si>
    <t>Apartamento en alquiler en Neptuno,"Neptuno, Provincia de Lima, Provincia de Lima ","S/.2,850",3 dormitorios,2 baÃ±os,115 mÂ²,2000,S/.170,Apartamento,Alquiler,23 may. 2022 - Publicado por Corretajes Inmobiliarios Matessa SAC,https://www.properati.com.pe/detalle/14032-32-f0e2-4ad86d50d89e-a825e22-b0a6-4121</t>
  </si>
  <si>
    <t>Apartamento en alquiler en Ur. Paulo Vi,"Ur. Paulo Vi, San Miguel, Lima, Lima ","S/.1,800",2 dormitorios,1 baÃ±o,90 mÂ²,2012,S/.1,Apartamento,Alquiler,2 feb. 2023 - Publicado por INMOBILIARIA IMMONEO,https://www.properati.com.pe/detalle/14032-32-e95c-11ca87ff99f4-b76d348d-aa60-40e3</t>
  </si>
  <si>
    <t>Casa en alquiler en San Isidro,"San Isidro, C.H. La Angostura - I Etapa, Ica, Ica ","S/.5,400",11 dormitorios,4 baÃ±os,95 mÂ²,2007,S/.1,Casa,Alquiler,9 oct. 2022 - Publicado por RC HOUSE REAL ESTATE S.A.C.,https://www.properati.com.pe/detalle/14032-32-694d-e364a1bd3a0f-68fc9dec-a423-4797</t>
  </si>
  <si>
    <t>Casa en alquiler en Ur. Balta,"Ur. Balta, Miraflores, Lima, Lima ","USD1,800",3 dormitorios,2 baÃ±os,230 mÂ²,2001,,Casa,Alquiler,23 ene. 2023 - Publicado por Jaquelina GonzÃ¡les,https://www.properati.com.pe/detalle/14032-32-49a2-c32420c17a80-df3d227c-b8ed-42ec</t>
  </si>
  <si>
    <t>Casa en alquiler en Catacaos,"Catacaos, Piura, Piura ",USD260,2 dormitorios,1 baÃ±o,120 mÂ²,,,Casa,Alquiler,2 feb. 2023 - Publicado por REMAX FAMILY,https://www.properati.com.pe/detalle/14032-32-bec4-d84f2707c08f-3b1d2884-b3a7-4932</t>
  </si>
  <si>
    <t>Casa en alquiler en Cieneguilla,"Cieneguilla, Lima, Lima ","S/.4,000",6 dormitorios,6 baÃ±os,"1,000 mÂ²",2015,S/.200,Casa,Alquiler,5 feb. 2023 - Publicado por joresco real estate,https://www.properati.com.pe/detalle/14032-32-a5a9-79a85dfa7b50-9528940-b031-120d</t>
  </si>
  <si>
    <t>Apartamento en alquiler en Ur. Armendariz,"Ur. Armendariz, Miraflores, Lima, Lima ","USD2,600",4 dormitorios,5 baÃ±os,313 mÂ²,2010,"S/.1,460",Apartamento,Alquiler,2 feb. 2023 - Publicado por RE/MAX Expo,https://www.properati.com.pe/detalle/14032-32-c8f0-b351c9b5dcdb-11b4ddbd-945e-4fbe</t>
  </si>
  <si>
    <t>Apartamento en alquiler en Urb las Gardenias Etapa 1,"Urb las Gardenias Etapa 1, Provincia de Lima, Provincia de Lima ","S/.1,200",1 dormitorio,1 baÃ±o,30 mÂ²,2020,S/.1,Apartamento,Alquiler,26 abr. 2022 - Publicado por NNK PERU SAC,https://www.properati.com.pe/detalle/14032-32-8a4a-aea4db3fca4e-7269c3d2-b989-4b19</t>
  </si>
  <si>
    <t>Casa en alquiler en Ur. Las Magnolias,"Ur. Las Magnolias, San Borja, Lima, Lima ","USD2,500",9 dormitorios,7 baÃ±os,416 mÂ²,,,Casa,Alquiler,10 dic. 2022 - Publicado por Century 21 CTR,https://www.properati.com.pe/detalle/14032-32-6af0-e506e174bb10-d1c7a548-b416-39f6</t>
  </si>
  <si>
    <t>Casa de playa en alquiler en Asia,"Asia, CaÃ±ete, Lima ","S/.40,000",8 dormitorios,8 baÃ±os,2 Medios baÃ±os,2007,,Casa de playa,Alquiler,13 nov. 2022 - Publicado por RE/MAX POWER EXPO,https://www.properati.com.pe/detalle/14032-32-a4a9-eeafe9f6d891-32b2c7ed-b5da-43c2</t>
  </si>
  <si>
    <t>Casa en alquiler en Piura,"Piura, Piura, Piura ","USD2,200",5 dormitorios,8 baÃ±os,500 mÂ²,,,Casa,Alquiler,30 ene. 2023 - Publicado por REMAX FAMILY,https://www.properati.com.pe/detalle/14032-32-5825-aefe31b30e1d-fde3af21-9031-4257</t>
  </si>
  <si>
    <t>Apartamento en alquiler en Ur. Los Chasquis Iii Etapa,"Ur. Los Chasquis Iii Etapa, Comas, Lima, Lima ","S/.1,600",3 dormitorios,3 baÃ±os,84 mÂ²,2022,S/.200,Apartamento,Alquiler,28 dic. 2022 - Publicado por ERICK FERNANDO REATEGUI VARGAS,https://www.properati.com.pe/detalle/14032-32-86f4-edb85fcbc9e9-6b353050-8323-120d</t>
  </si>
  <si>
    <t>Apartamento en alquiler en San Miguel de Miraflores,"San Miguel de Miraflores, Urb Cercado de Miraflores, Provincia de Lima, Provincia de Lima ","USD1,700",3 dormitorios,4 baÃ±os,240 mÂ²,2012,S/.700,Apartamento,Alquiler,2 jul. 2022 - Publicado por Luis Cano-Alva Vidal,https://www.properati.com.pe/detalle/14032-32-a27b-41823ed29199-8f1a2553-97c8-4c99</t>
  </si>
  <si>
    <t>Apartamento en alquiler en Piura,"Piura, Piura, Piura ",USD312,2 dormitorios,1 baÃ±o,51 mÂ²,,,Apartamento,Alquiler,3 feb. 2023 - Publicado por REMAX FAMILY,https://www.properati.com.pe/detalle/14032-32-6157-3341c8e9f7b6-11f906a9-8168-4ae2</t>
  </si>
  <si>
    <t>Apartamento en alquiler en Ur. Corpac,"Ur. Corpac, San Isidro, Lima, Lima ","USD1,400",2 dormitorios,2 baÃ±os,179 mÂ²,,,Apartamento,Alquiler,27 ene. 2023 - Publicado por Century 21 Ambassador,https://www.properati.com.pe/detalle/14032-32-87fc-3ace2e82e289-cbeef671-bc0b-3672</t>
  </si>
  <si>
    <t>Apartamento en alquiler en Ur. Leuro,"Ur. Leuro, Miraflores, Lima, Lima ",USD850,3 dormitorios,3 baÃ±os,110 mÂ²,2010,S/.300,Apartamento,Alquiler,28 dic. 2022 - Publicado por INMOGA S.A.C,https://www.properati.com.pe/detalle/14032-32-63a0-a84513f30005-a82056c6-bd92-4b2c</t>
  </si>
  <si>
    <t>Apartamento en alquiler en Ur. Chama,"Ur. Chama, Santiago de Surco, Lima, Lima ","S/.2,200",2 dormitorios,1 baÃ±o,95 mÂ²,1998,S/.130,Apartamento,Alquiler,3 feb. 2023 - Publicado por ANA MARIA CECILIA ARTEAGA RODRIGUEZ,https://www.properati.com.pe/detalle/14032-32-514b-71ebd02655f6-2f180b4c-a7c8-4eb1</t>
  </si>
  <si>
    <t>Apartamento en alquiler en Fundo Conde San Isidro,"Fundo Conde San Isidro, Provincia de Lima, Provincia de Lima ","USD2,000",3 dormitorios,3 baÃ±os,200 mÂ²,1993,S/.645,Apartamento,Alquiler,28 oct. 2022 - Publicado por Bienes Raices Marisol,https://www.properati.com.pe/detalle/14032-32-be05-5833134dab6f-28ae16e7-bbcb-4e8f</t>
  </si>
  <si>
    <t>Apartamento en alquiler en Country Club,"Country Club, Provincia de Lima, Provincia de Lima ","USD1,350",2 dormitorios,2 baÃ±os,130 mÂ²,,,Apartamento,Alquiler,25 ago. 2022 - Publicado por Isotta Lima Space,https://www.properati.com.pe/detalle/14032-32-8ee3-bba1de16b826-fe33ba3-899c-4bce</t>
  </si>
  <si>
    <t>Apartamento en alquiler en Provincia de Lima,"Provincia de Lima, Provincia de Lima ",USD650,2 dormitorios,2 baÃ±os,70 mÂ²,2021,S/.200,Apartamento,Alquiler,12 jul. 2022 - Publicado por Carmen Rosa Ugarte Gervassi,https://www.properati.com.pe/detalle/14032-32-3b8d-7fa23aa21fea-b31a4094-a919-4348</t>
  </si>
  <si>
    <t>Apartamento en alquiler en A.h la Planicie,"A.h la Planicie, Provincia de Lima, Provincia de Lima ","USD2,500",3 dormitorios,3 baÃ±os,106 mÂ²,2011,S/.400,Apartamento,Alquiler,20 may. 2022 - Publicado por Ana MÃ¡rquez,https://www.properati.com.pe/detalle/14032-32-c1e2-f48dbc1bf604-e28d211-b899-48fa</t>
  </si>
  <si>
    <t>Casa de playa en alquiler en Los Ã“rganos,"Los Ã“rganos, Talara, Piura ",USD392,3 dormitorios,4 baÃ±os,134 mÂ²,134 mÂ²,,Casa de playa,Alquiler,30 ene. 2023 - Publicado por REMAX FAMILY,https://www.properati.com.pe/detalle/14032-32-9a76-676429caac86-f7da7573-b5ba-46ca</t>
  </si>
  <si>
    <t>Apartamento en alquiler en Arenales,"Arenales, Arequipa, Arequipa ","S/.1,600",1 dormitorio,1 baÃ±o,38 mÂ²,2018,S/.130,Apartamento,Alquiler,30 ene. 2023 - Publicado por REMAX FAMILY,https://www.properati.com.pe/detalle/14032-32-48ea-f3d1b8e62200-5246e7c7-8581-4766</t>
  </si>
  <si>
    <t>Casa en alquiler en Miraflores,"Miraflores, Miraflores, Arequipa, Arequipa ","USD1,639",8 dormitorios,4 baÃ±os,272 mÂ²,1983,,Casa,Alquiler,18 ene. 2023 - Publicado por IMPERIAL INN MIRAFLORES S.A.C.,https://www.properati.com.pe/detalle/14032-32-ad0f-5578fe85719e-f9c8b6b6-9b19-4fc2</t>
  </si>
  <si>
    <t>Apartamento en alquiler en Ur. La Virreyna,"Ur. La Virreyna, Santiago de Surco, Lima, Lima ","S/.2,300",2 dormitorios,3 baÃ±os,110 mÂ²,2007,S/.1,Apartamento,Alquiler,31 dic. 2022 - Publicado por RE/MAX POWER EXPO,https://www.properati.com.pe/detalle/14032-32-3328-b6d4509e59c1-2a07ba79-8825-4346</t>
  </si>
  <si>
    <t>Apartamento en alquiler en Ur. Armendariz,"Ur. Armendariz, Miraflores, Lima, Lima ","USD1,000",6 dormitorios,2 baÃ±os,120 mÂ²,1960,,Apartamento,Alquiler,29 ene. 2023 - Publicado por RE/MAX Uno,https://www.properati.com.pe/detalle/14032-32-5b61-6b5643cd1f61-cdc74c03-af8d-4b81</t>
  </si>
  <si>
    <t>Apartamento en alquiler en Ur. Campo De Polo,"Ur. Campo De Polo, Magdalena del Mar, Lima, Lima ","S/.3,900",3 dormitorios,3 baÃ±os,100 mÂ²,2009,,Apartamento,Alquiler,28 ene. 2023 - Publicado por RE/MAX PERÃš,https://www.properati.com.pe/detalle/14032-32-af2e-1d4f69ddb2cd-b3db4a2e-974d-4540</t>
  </si>
  <si>
    <t>Casa en alquiler en Ur. Los Bungalows,"Ur. Los Bungalows, San Bartolo, Lima, Lima ","USD2,000",4 dormitorios,3 baÃ±os,360 mÂ²,2007,,Casa,Alquiler,16 dic. 2022 - Publicado por Vania RodrÃ­guez Bustamante,https://www.properati.com.pe/detalle/14032-32-57da-39aaf6640713-ae27c9a5-b1a5-41cd</t>
  </si>
  <si>
    <t>Apartamento en alquiler en Carabayllo,"Carabayllo, Lima, Lima ",S/.880,3 dormitorios,1 baÃ±o,55 mÂ²,2020,S/.1,Apartamento,Alquiler,3 ene. 2023 - Publicado por RE/MAX POWER EXPO,https://www.properati.com.pe/detalle/14032-32-cd24-a8cf43a83f7c-a2baaacb-b1cd-427f</t>
  </si>
  <si>
    <t>Apartamento en alquiler en Ur. Maranga Etapa V,"Ur. Maranga Etapa V, San Miguel, Lima, Lima ","S/.2,700",3 dormitorios,2 baÃ±os,140 mÂ²,2005,S/.220,Apartamento,Alquiler,25 ene. 2023 - Publicado por joresco real estate,https://www.properati.com.pe/detalle/14032-32-9d04-59507aea7342-2abc1860-8436-120d</t>
  </si>
  <si>
    <t>Apartamento en alquiler en Surquillo,"Surquillo, Urb Jose Balta, Provincia de Lima, Provincia de Lima ","USD1,536",4 dormitorios,4 baÃ±os,180 mÂ²,2007,S/.450,Apartamento,Alquiler,7 nov. 2022 - Publicado por IMPERIAL INN MIRAFLORES S.A.C.,https://www.properati.com.pe/detalle/14032-32-e86d-d567db948f39-5844f515-8e8d-420d</t>
  </si>
  <si>
    <t>Apartamento en alquiler en Hu. Cercado De Miraflores,"Hu. Cercado De Miraflores, Miraflores, Lima, Lima ","USD2,500",3 dormitorios,3 baÃ±os,100 mÂ²,2018,S/.1,Apartamento,Alquiler,23 dic. 2022 - Publicado por IMPERIAL INN MIRAFLORES S.A.C.,https://www.properati.com.pe/detalle/14032-32-dfda-e3c586049dfd-25a011bd-83ee-484a</t>
  </si>
  <si>
    <t>HabitaciÃ³n en alquiler en Ur. Balta,"Ur. Balta, Miraflores, Lima, Lima ",S/.130,1 dormitorio,1 baÃ±o,12 mÂ²,2,,HabitaciÃ³n,Alquiler,30 dic. 2022 - Publicado por IMPERIAL INN MIRAFLORES S.A.C.,https://www.properati.com.pe/detalle/14032-32-9294-172b645a2ad3-54d0f1e7-a987-4321</t>
  </si>
  <si>
    <t>Casa en alquiler en Ur. San Miguel,"Ur. San Miguel, San Miguel, Lima, Lima ","S/.4,400",4 dormitorios,3 baÃ±os,160 mÂ²,2007,S/.10,Casa,Alquiler,19 dic. 2022 - Publicado por joresco real estate,https://www.properati.com.pe/detalle/14032-32-8017-27092107870f-83e25030-8dc3-120d</t>
  </si>
  <si>
    <t>Apartamento en alquiler en Provincia de Lima,"Provincia de Lima, Provincia de Lima ","S/.1,490",1 dormitorio,1 baÃ±o,44 mÂ²,2017,S/.250,Apartamento,Alquiler,18 mar. 2022 - Publicado por A &amp; A Fokus Peru Inmobiliaria,https://www.properati.com.pe/detalle/14032-32-2c1e-b7f94df21cd8-cf17992b-8a5c-4192</t>
  </si>
  <si>
    <t>Apartamento en alquiler en Surquillo,"Surquillo, Urb Cercado de Miraflores, Provincia de Lima, Provincia de Lima ","USD1,357",3 dormitorios,4 baÃ±os,105 mÂ²,2018,S/.380,Apartamento,Alquiler,9 oct. 2022 - Publicado por IMPERIAL INN MIRAFLORES S.A.C.,https://www.properati.com.pe/detalle/14032-32-4840-f3e580f8b69c-884bb670-9398-120d</t>
  </si>
  <si>
    <t>Apartamento en alquiler en Hu. Cercado De Miraflores,"Hu. Cercado De Miraflores, Miraflores, Lima, Lima ","S/.3,769",2 dormitorios,2 baÃ±os,65 mÂ²,2021,S/.330,Apartamento,Alquiler,22 ene. 2023 - Publicado por IMPERIAL INN MIRAFLORES S.A.C.,https://www.properati.com.pe/detalle/14032-32-a4e3-5870872bcd9a-446d95a2-a850-45db</t>
  </si>
  <si>
    <t>Apartamento en alquiler en Chacarilla-Santa Cruz,"Chacarilla-Santa Cruz, Urb Santa Cruz, Provincia de Lima, Provincia de Lima ","USD2,300",3 dormitorios,2 baÃ±os,1 Medio baÃ±o,160 mÂ²,,Apartamento,Alquiler,18 oct. 2022 - Publicado por Luz Ortiz Hernandez,https://www.properati.com.pe/detalle/14032-32-4c57-203731e6154c-2c4ca77f-bd50-3ca8</t>
  </si>
  <si>
    <t>Apartamento en alquiler en Ur. San Borja,"Ur. San Borja, San Borja, Lima, Lima ","S/.3,400",3 dormitorios,3 baÃ±os,91 mÂ²,2022,S/.240,Apartamento,Alquiler,17 nov. 2022 - Publicado por Alfredo Maccera,https://www.properati.com.pe/detalle/14032-32-662b-5b1103224919-d6de7530-c006-120d</t>
  </si>
  <si>
    <t>Apartamento en alquiler en Ur. Armendariz,"Ur. Armendariz, Miraflores, Lima, Lima ","USD1,800",3 dormitorios,2 baÃ±os,1 Medio baÃ±o,190 mÂ²,,Apartamento,Alquiler,23 ene. 2023 - Publicado por Luz Ortiz Hernandez,https://www.properati.com.pe/detalle/14032-32-4f91-26ebd105db02-60e51b22-96b9-3dcf</t>
  </si>
  <si>
    <t>Apartamento en alquiler en Urb San Borja,"Urb San Borja, Provincia de Lima, Provincia de Lima ","USD1,200",3 dormitorios,1 baÃ±o,64 mÂ²,,,Apartamento,Alquiler,3 set. 2022 - Publicado por GRUPO INKA &amp; ASOCIADOS SRL,https://www.properati.com.pe/detalle/14032-32-2a5-79bd0eef8c81-726d276e-827d-37bd</t>
  </si>
  <si>
    <t>Apartamento en alquiler en San Isidro,"San Isidro, Lima, Lima ","USD2,000",3 dormitorios,3 baÃ±os,200 mÂ²,2000,S/.645,Apartamento,Alquiler,26 ene. 2023 - Publicado por WILLKA INMOBILIARIA SAC,https://www.properati.com.pe/detalle/14032-32-e9a3-8fe88f748431-f91c00c4-80d4-4985</t>
  </si>
  <si>
    <t>Apartamento en alquiler en Miraflores,"Miraflores, Lima, Lima ","USD1,000",2 dormitorios,2 baÃ±os,100 mÂ²,,,Apartamento,Alquiler,18 set. 2022 - Publicado por CLAUDIA ELIZABETH COLINA CACIQUE,https://www.properati.com.pe/detalle/14032-32-1748-7d12aa7efc6e-dc11783f-b600-4bdd</t>
  </si>
  <si>
    <t>Apartamento en alquiler en Hu. Cercado De Miraflores,"Hu. Cercado De Miraflores, Miraflores, Lima, Lima ","USD1,300",3 dormitorios,3 baÃ±os,160 mÂ²,,S/.720,Apartamento,Alquiler,27 ene. 2023 - Publicado por Fiorella Saldarriaga,https://www.properati.com.pe/detalle/14032-32-7e79-5650437ac62d-b0554d91-9218-4d23</t>
  </si>
  <si>
    <t>Apartamento en alquiler en Urb Confraternidad,"Urb Confraternidad, Provincia de Lima, Provincia de Lima ",USD600,1 dormitorio,1 baÃ±o,42 mÂ²,2010,S/.180,Apartamento,Alquiler,8 nov. 2022 - Publicado por REMAX FENIX,https://www.properati.com.pe/detalle/14032-32-f264-281a655c73f9-e87fc94a-a125-42c5</t>
  </si>
  <si>
    <t>Casa en alquiler en Provincia de Lima,"Provincia de Lima, Provincia de Lima ","USD1,300",3 dormitorios,4 baÃ±os,114 mÂ²,1977,S/.70,Casa,Alquiler,8 nov. 2022 - Publicado por RE/MAX GestiÃ³n Inmobiliaria,https://www.properati.com.pe/detalle/14032-32-6ca9-cb3dbfab8cbf-43532ceb-c000-45ba</t>
  </si>
  <si>
    <t>Apartamento en alquiler en Ah. San Hilarion,"Ah. San Hilarion, San Juan de Lurigancho, Lima, Lima ",S/.850,2 dormitorios,1 baÃ±o,55 mÂ²,2021,,Apartamento,Alquiler,9 ene. 2023 - Publicado por RE/MAX PERÃš,https://www.properati.com.pe/detalle/14032-32-7c90-34515495d90e-256966d6-beb6-4b89</t>
  </si>
  <si>
    <t>Apartamento en alquiler en Ah. San Hilarion,"Ah. San Hilarion, San Juan de Lurigancho, Lima, Lima ",S/.850,2 dormitorios,1 baÃ±o,55 mÂ²,2021,,Apartamento,Alquiler,8 ene. 2023 - Publicado por RE/MAX PERÃš,https://www.properati.com.pe/detalle/14032-32-780d-f05ddff751b-f3b06c4d-b5f7-4383</t>
  </si>
  <si>
    <t>Apartamento en alquiler en Fundo Conde San Isidro,"Fundo Conde San Isidro, Provincia de Lima, Provincia de Lima ","USD2,000",3 dormitorios,2 baÃ±os,200 mÂ²,2000,S/.654,Apartamento,Alquiler,23 ago. 2022 - Publicado por VerÃ³nica Arosemena,https://www.properati.com.pe/detalle/14032-32-243a-555b226273cd-94cc6629-8531-4e6a</t>
  </si>
  <si>
    <t>Apartamento en alquiler en Ur. Risso,"Ur. Risso, San Isidro, Lima, Lima ","S/.2,995",1 dormitorio,2 baÃ±os,65 mÂ²,2013,,Apartamento,Alquiler,18 ene. 2023 - Publicado por Cesar MuÃ±oz,https://www.properati.com.pe/detalle/14032-32-5536-5ef3e309b62d-f47fb3db-b603-3dfd</t>
  </si>
  <si>
    <t>Apartamento en alquiler en Ur. Chacarilla Del Estanque,"Ur. Chacarilla Del Estanque, Santiago de Surco, Lima, Lima ","USD1,650",3 dormitorios,3 baÃ±os,1 Medio baÃ±o,200 mÂ²,,Apartamento,Alquiler,7 dic. 2022 - Publicado por Esther Delgado,https://www.properati.com.pe/detalle/14032-32-b32d-82d150d335c2-9883c0d8-998e-3756</t>
  </si>
  <si>
    <t>Apartamento en alquiler en Ur. Lobaton,"Ur. Lobaton, San Isidro, Lima, Lima ","USD1,800",3 dormitorios,3 baÃ±os,398 mÂ²,1992,S/.650,Apartamento,Alquiler,29 dic. 2022 - Publicado por Pilar Zunjic,https://www.properati.com.pe/detalle/14032-32-81cf-c82dc4d2510-e96a3716-a9e6-4667</t>
  </si>
  <si>
    <t>Oficina en alquiler en Tacna,"Tacna, Tacna ","USD2,400",5 dormitorios,4 baÃ±os,,,,Oficina,Alquiler,17 ago. 2022 - Publicado por Azienda,https://www.properati.com.pe/detalle/14032-32-558f-30f6a7cb9f82-36a99314-ab8f-31bc</t>
  </si>
  <si>
    <t>Casa de playa en alquiler en Asia,"Asia, CaÃ±ete, Lima ","USD5,000",5 dormitorios,5 baÃ±os,1 Medio baÃ±o,2010,,Casa de playa,Alquiler,23 nov. 2022 - Publicado por RE/MAX PERÃš,https://www.properati.com.pe/detalle/14032-32-870b-478d3c31cefa-a05eda1c-86a1-4978</t>
  </si>
  <si>
    <t>Apartamento en alquiler en Ur. Las Lagunas De La Molina Etapa Iii,"Ur. Las Lagunas De La Molina Etapa Iii, La Molina, Lima, Lima ",USD750,3 dormitorios,2 baÃ±os,95 mÂ²,2011,S/.325,Apartamento,Alquiler,24 ene. 2023 - Publicado por Midori Kishimoto,https://www.properati.com.pe/detalle/14032-32-be99-248da778eb4d-d6d5373f-8020-4c01</t>
  </si>
  <si>
    <t>Apartamento en alquiler en Ur. Las Violetas,"Ur. Las Violetas, Santiago de Surco, Lima, Lima ","S/.4,775",3 dormitorios,2 baÃ±os,187 mÂ²,1998,S/.350,Apartamento,Alquiler,24 ene. 2023 - Publicado por Doris PeÃ±aranda,https://www.properati.com.pe/detalle/14032-32-3e27-4db864529614-3900156e-bb89-459f</t>
  </si>
  <si>
    <t>Apartamento en alquiler en Ur. Confraternidad,"Ur. Confraternidad, Barranco, Lima, Lima ",USD700,2 dormitorios,2 baÃ±os,53 mÂ²,2016,S/.290,Apartamento,Alquiler,20 dic. 2022 - Publicado por EMILIA ROSARIO COURREJOLLES REAÃ‘O,https://www.properati.com.pe/detalle/14032-32-a811-1c129b81b993-dd6aac9f-a827-47e0</t>
  </si>
  <si>
    <t>Apartamento en alquiler en Provincia de Lima,"Provincia de Lima, Provincia de Lima ",USD900,3 dormitorios,2 baÃ±os,146 mÂ²,1990,S/.460,Apartamento,Alquiler,16 ago. 2022 - Publicado por Infinito Novantanove E.I.R.L,https://www.properati.com.pe/detalle/14032-32-6c54-a8dc18b17bdf-ffbbc693-9f17-48f9</t>
  </si>
  <si>
    <t>Apartamento en alquiler en Fundo Conde San Isidro,"Fundo Conde San Isidro, Provincia de Lima, Provincia de Lima ","USD1,250",2 dormitorios,3 baÃ±os,180 mÂ²,1992,S/.790,Apartamento,Alquiler,30 oct. 2022 - Publicado por PATRICIA CHUQUIN ARROYO,https://www.properati.com.pe/detalle/14032-32-fad7-676124854889-f0f53906-8cdd-4ea9</t>
  </si>
  <si>
    <t>Casa en alquiler en Surco,"Surco, Santiago De Surco, Lima, Lima ","USD1,500",4 dormitorios,4 baÃ±os,310 mÂ²,,,Casa,Alquiler,18 may. 2022 - Publicado por BegoÃ±a Pedraza Corretaje,https://www.properati.com.pe/detalle/14032-32-939b-30d09cc2095b-cc755c94-b97f-3b80</t>
  </si>
  <si>
    <t>Casa en alquiler en Ur. La Encantada,"Ur. La Encantada, Chorrillos, Lima, Lima ","USD4,000",5 dormitorios,7 baÃ±os,659 mÂ²,,,Casa,Alquiler,22 ene. 2023 - Publicado por Century 21 Central,https://www.properati.com.pe/detalle/14032-32-f4ca-dc4f85d5c1fd-7d94464-8d76-3e30</t>
  </si>
  <si>
    <t>Casa de playa en alquiler en Cerro Azul,"Cerro Azul, CaÃ±ete, Lima ","USD1,000",4 dormitorios,3 baÃ±os,2 Medios baÃ±os,2010,S/.300,Casa de playa,Alquiler,11 dic. 2022 - Publicado por joresco real estate,https://www.properati.com.pe/detalle/14032-32-797c-c1b12f4c3cde-699e5670-9e5c-120d</t>
  </si>
  <si>
    <t>Casa en alquiler en Ur. San Ignacio De Monterrico (San Ignacio De Loyola),"Ur. San Ignacio De Monterrico (San Ignacio De Loyola), Santiago de Surco, Lima, Lima ","S/.2,000",2 dormitorios,1 baÃ±o,80 mÂ²,1980,,Casa,Alquiler,23 nov. 2022 - Publicado por LAZSLO POZGAI / POZSGAI Y ASESORES,https://www.properati.com.pe/detalle/14032-32-6ae4-cb3dd84a0e03-b8008730-8bc2-120d</t>
  </si>
  <si>
    <t>Apartamento en alquiler en JardÃ­n,"JardÃ­n, San Eugenio, Provincia de Lima, Provincia de Lima ","USD1,000",3 dormitorios,2 baÃ±os,140 mÂ²,,S/.350,Apartamento,Alquiler,31 ago. 2022 - Publicado por Infinito Novantanove E.I.R.L,https://www.properati.com.pe/detalle/14032-32-c088-2d80df17293-b2260f25-95bd-4f35</t>
  </si>
  <si>
    <t>Apartamento en alquiler en Hu. Club Arabe,"Hu. Club Arabe, Santiago de Surco, Lima, Lima ","USD1,600",3 dormitorios,2 baÃ±os,150 mÂ²,2012,S/.650,Apartamento,Alquiler,27 dic. 2022 - Publicado por Ccasa Inmobiliaria,https://www.properati.com.pe/detalle/14032-32-185b-e1afbf14c631-f883f770-b93b-4a3a</t>
  </si>
  <si>
    <t>Apartamento en alquiler en Surquillo,"Surquillo, Urb Cercado de Miraflores, Provincia de Lima, Provincia de Lima ",USD900,1 dormitorio,2 baÃ±os,97 mÂ²,2019,S/.350,Apartamento,Alquiler,6 jun. 2022 - Publicado por CARLA EMPERATRIZ NEIRA SILVA,https://www.properati.com.pe/detalle/14032-32-7aa5-4cd6320d116-96bf4bd8-9106-4df6</t>
  </si>
  <si>
    <t>Apartamento en alquiler en San Isidro,"San Isidro, Arequipa, Arequipa, Arequipa ","S/.1,700",3 dormitorios,2 baÃ±os,82 mÂ²,1989,S/.115,Apartamento,Alquiler,18 ene. 2023 - Publicado por RE/MAX Consultores Inmobiliarios Arequipa,https://www.properati.com.pe/detalle/14032-32-d84d-c5962133aaa2-703720f9-aa87-4cad</t>
  </si>
  <si>
    <t>Apartamento en alquiler en Miraflores,"Miraflores, Arequipa, Arequipa ","USD1,250",2 dormitorios,3 baÃ±os,100 mÂ²,,S/.300,Apartamento,Alquiler,15 dic. 2022 - Publicado por RE/MAX POWER EXPO,https://www.properati.com.pe/detalle/14032-32-dc7d-6bc26fe62837-2e5a1e27-b231-45a3</t>
  </si>
  <si>
    <t>Apartamento en alquiler en Ur. Covima,"Ur. Covima, La Molina, Lima, Lima ",USD499,2 dormitorios,2 baÃ±os,70 mÂ²,2000,S/.50,Apartamento,Alquiler,19 ene. 2023 - Publicado por Corretajes Inmobiliarios Matessa SAC,https://www.properati.com.pe/detalle/14032-32-e68f-3f5f6bbc9506-8669d610-a3c8-4878</t>
  </si>
  <si>
    <t>Apartamento en alquiler en Ur. Valle Hermoso Oeste,"Ur. Valle Hermoso Oeste, Santiago de Surco, Lima, Lima ","USD2,500",3 dormitorios,3 baÃ±os,367 mÂ²,2000,"S/.1,000",Apartamento,Alquiler,12 ene. 2023 - Publicado por NG Inmobiliaria,https://www.properati.com.pe/detalle/14032-32-9cab-5054790b7a50-cee02294-9cba-488d</t>
  </si>
  <si>
    <t>Apartamento en alquiler en Surquillo,"Surquillo, Urb Cercado de Miraflores, Provincia de Lima, Provincia de Lima ",USD700,1 dormitorio,2 baÃ±os,60 mÂ²,2013,S/.220,Apartamento,Alquiler,14 nov. 2021 - Publicado por Manuel Villarreal Perez,https://www.properati.com.pe/detalle/14032-32-37c9-fc023d78accc-6e0560a1-b98a-4d5b</t>
  </si>
  <si>
    <t>Apartamento en alquiler en Ur. Jardin,"Ur. Jardin, San Isidro, Lima, Lima ","USD1,150",3 dormitorios,3 baÃ±os,136 mÂ²,2012,S/.500,Apartamento,Alquiler,19 ene. 2023 - Publicado por Corretajes Inmobiliarios Matessa SAC,https://www.properati.com.pe/detalle/14032-32-6a4a-db1692748e5c-e2b8cd10-865f-4166</t>
  </si>
  <si>
    <t>Apartamento en alquiler en Fundo Conde San Isidro,"Fundo Conde San Isidro, Provincia de Lima, Provincia de Lima ",USD700,1 dormitorio,1 baÃ±o,48 mÂ²,2022,,Apartamento,Alquiler,24 set. 2022 - Publicado por RE/MAX PERÃš,https://www.properati.com.pe/detalle/14032-32-e7f6-2c3e2e5a1b39-d59c0f41-bded-4a9e</t>
  </si>
  <si>
    <t>Apartamento en alquiler en Ur. Jardin,"Ur. Jardin, San Isidro, Lima, Lima ","USD1,150",3 dormitorios,3 baÃ±os,136 mÂ²,2012,S/.500,Apartamento,Alquiler,15 nov. 2022 - Publicado por Corretajes Inmobiliarios Matessa SAC,https://www.properati.com.pe/detalle/14032-32-f882-5a9e2053539c-6d4c4fca-8f1c-458a</t>
  </si>
  <si>
    <t>Apartamento en alquiler en Santiago de Surco,"Santiago de Surco, Lima, Lima ",USD750,3 dormitorios,2 baÃ±os,90 mÂ²,2005,S/.350,Apartamento,Alquiler,19 ene. 2023 - Publicado por Corretajes Inmobiliarios Matessa SAC,https://www.properati.com.pe/detalle/14032-32-f64-442a5f375c03-ef20059b-939e-437c</t>
  </si>
  <si>
    <t>Apartamento en alquiler en Provincia de Lima,"Provincia de Lima, Provincia de Lima ",USD850,2 dormitorios,3 baÃ±os,150 mÂ²,,S/.540,Apartamento,Alquiler,11 nov. 2021 - Publicado por AP ASOCIADOS  INMOBILIARIA,https://www.properati.com.pe/detalle/14032-32-7152-dd0ef55c0c1d-b237e4f7-92d3-46d3</t>
  </si>
  <si>
    <t>Apartamento en alquiler en Hu. Cercado De Miraflores,"Hu. Cercado De Miraflores, Miraflores, Lima, Lima ",USD900,2 dormitorios,3 baÃ±os,100 mÂ²,1967,S/.120,Apartamento,Alquiler,18 ene. 2023 - Publicado por AP ASOCIADOS  INMOBILIARIA,https://www.properati.com.pe/detalle/14032-32-8133-7676e76761a2-7f4f3cb8-bf42-49e9</t>
  </si>
  <si>
    <t>Apartamento en alquiler en Provincia de Lima,"Provincia de Lima, Provincia de Lima ",USD520,1 dormitorio,1 baÃ±o,50 mÂ²,1980,S/.100,Apartamento,Alquiler,13 set. 2021 - Publicado por Agentes Asociados,https://www.properati.com.pe/detalle/14032-32-5923-31175a594e6f-a26fcd2b-a7bd-4ecb</t>
  </si>
  <si>
    <t>Apartamento en alquiler en Ur. Corpac,"Ur. Corpac, San Isidro, Lima, Lima ","USD3,500",8 dormitorios,4 baÃ±os,146 mÂ²,1992,,Apartamento,Alquiler,5 dic. 2022 - Publicado por RE/MAX GestiÃ³n Inmobiliaria,https://www.properati.com.pe/detalle/14032-32-6565-fdce91d00398-39cc62c1-b42a-4cbb</t>
  </si>
  <si>
    <t>Oficina en alquiler en Progreso,"Progreso, Urb Cercado de Miraflores, Provincia de Lima, Provincia de Lima ",USD500,1 dormitorio,1 baÃ±o,38 mÂ²,2003,,Oficina,Alquiler,21 oct. 2022 - Publicado por ONA Soluciones Inmobiliarias,https://www.properati.com.pe/detalle/14032-32-30a6-8ba40beef3a8-a6ceeaf2-9e99-307a</t>
  </si>
  <si>
    <t>Apartamento en alquiler en Miraflores,"Miraflores, Arequipa, Arequipa ","USD2,000",3 dormitorios,2 baÃ±os,207 mÂ²,1980,S/.790,Apartamento,Alquiler,12 ene. 2023 - Publicado por NG Inmobiliaria,https://www.properati.com.pe/detalle/14032-32-f089-734598d40780-44cac91c-9a73-4b60</t>
  </si>
  <si>
    <t>Apartamento en alquiler en Santa Cruz,"Santa Cruz, Urb Jose Balta, Provincia de Lima, Provincia de Lima ","USD1,200",3 dormitorios,2 baÃ±os,155 mÂ²,2013,S/.400,Apartamento,Alquiler,29 ago. 2022 - Publicado por Esther Delgado,https://www.properati.com.pe/detalle/14032-32-4908-a3e2d3668f7-bc669089-9d53-356b</t>
  </si>
  <si>
    <t>Apartamento en alquiler en Santa Anita,"Santa Anita, Lima, Lima ","S/.1,200",3 dormitorios,2 baÃ±os,120 mÂ²,2003,S/.100,Apartamento,Alquiler,9 dic. 2022 - Publicado por SOCIOS INMOBILIARIOS,https://www.properati.com.pe/detalle/14032-32-f9c0-8c859cdde60c-fd44e356-b72b-4440</t>
  </si>
  <si>
    <t>Apartamento en alquiler en Ur. Chacarilla Del Estanque,"Ur. Chacarilla Del Estanque, San Borja, Lima, Lima ","USD2,800",3 dormitorios,4 baÃ±os,383 mÂ²,2010,"S/.1,200",Apartamento,Alquiler,12 ene. 2023 - Publicado por NG Inmobiliaria,https://www.properati.com.pe/detalle/14032-32-2ddc-2d8fbfc13b92-412dab8b-b7ef-479b</t>
  </si>
  <si>
    <t>Apartamento en alquiler en Chacarilla-Santa Cruz,"Chacarilla-Santa Cruz, Urb Cercado de Miraflores, Provincia de Lima, Provincia de Lima ","USD1,300",3 dormitorios,3 baÃ±os,157 mÂ²,2013,,Apartamento,Alquiler,25 oct. 2022 - Publicado por Asesor Inmobiliario y Consultores Asociados EIRL,https://www.properati.com.pe/detalle/14032-32-f808-dd1139175a95-141c8ada-b5bc-35c7</t>
  </si>
  <si>
    <t>Apartamento en alquiler en Ur. Santa Cruz,"Ur. Santa Cruz, Miraflores, Lima, Lima ","USD1,600",3 dormitorios,3 baÃ±os,130 mÂ²,2015,S/.500,Apartamento,Alquiler,6 dic. 2022 - Publicado por RE/MAX POWER EXPO,https://www.properati.com.pe/detalle/14032-32-3909-14cb2fbfe009-14e63763-8877-4050</t>
  </si>
  <si>
    <t>Apartamento en alquiler en Ur. Trinidad,"Ur. Trinidad, Lima, Lima, Lima ","S/.3,500",5 dormitorios,3 baÃ±os,190 mÂ²,1980,S/.1,Apartamento,Alquiler,29 nov. 2022 - Publicado por GABRIEL PAREJA Agente Inmobiliario,https://www.properati.com.pe/detalle/14032-32-6faf-202d13dd690e-5c97ac1f-b2bf-4061</t>
  </si>
  <si>
    <t>Apartamento en alquiler en Ur. Jacaranda,"Ur. Jacaranda, San Borja, Lima, Lima ",USD800,2 dormitorios,2 baÃ±os,90 mÂ²,2012,S/.120,Apartamento,Alquiler,17 ene. 2023 - Publicado por AUGUSTO GREGORIO NOVOA CHAVEZ,https://www.properati.com.pe/detalle/14032-32-7d78-e5d79af79987-f2930fb7-9ab3-4d3b</t>
  </si>
  <si>
    <t>Apartamento en alquiler en Ur. Mayorazgo Etapa Iv,"Ur. Mayorazgo Etapa Iv, Ate, Lima, Lima ","S/.1,600",2 dormitorios,1 baÃ±o,54 mÂ²,2022,S/.100,Apartamento,Alquiler,18 nov. 2022 - Publicado por Astupropiedad,https://www.properati.com.pe/detalle/14032-32-255f-bbdd52ffd2b2-31c65255-a222-4f6d</t>
  </si>
  <si>
    <t>Casa en alquiler en Sol De La Molina 2 Etapa,"Sol De La Molina 2 Etapa, Provincia de Lima, Provincia de Lima ","USD2,000",3 dormitorios,2 baÃ±os,306 mÂ²,2014,S/.700,Casa,Alquiler,5 jul. 2022 - Publicado por Lucy Mier y Teran,https://www.properati.com.pe/detalle/14032-32-fbaa-69602d3128df-c23fdab-a379-4611</t>
  </si>
  <si>
    <t>Casa en alquiler en Centro Urbano de Pucallpa,"Centro Urbano de Pucallpa, Coronel Portillo, Ucayali ","S/.2,500",5 dormitorios,4 baÃ±os,300 mÂ²,2007,,Casa,Alquiler,17 ago. 2022 - Publicado por JR Bienes RaÃ­ces,https://www.properati.com.pe/detalle/14032-32-47f3-e754fc64f1be-9ddc1cc6-b551-32bb</t>
  </si>
  <si>
    <t>Apartamento en alquiler en Ur. Armendariz,"Ur. Armendariz, Miraflores, Lima, Lima ","USD1,999",4 dormitorios,3 baÃ±os,230 mÂ²,1997,S/.700,Apartamento,Alquiler,15 ene. 2023 - Publicado por PERU LUXURY PROPERTIES,https://www.properati.com.pe/detalle/14032-32-6fdb-254b93d8d400-5d1422f-88f7-470b</t>
  </si>
  <si>
    <t>Apartamento en alquiler en Cerros de Camacho,"Cerros de Camacho, Provincia de Lima, Provincia de Lima ","USD1,800",3 dormitorios,4 baÃ±os,215 mÂ²,2005,S/.960,Apartamento,Alquiler,16 may. 2022 - Publicado por Luis Cano-Alva Vidal,https://www.properati.com.pe/detalle/14032-32-d544-8d9be08415b1-91e1dc60-97f1-120c</t>
  </si>
  <si>
    <t>Apartamento en alquiler en Hu. Cercado De Miraflores,"Hu. Cercado De Miraflores, Miraflores, Lima, Lima ","USD4,999",3 dormitorios,3 baÃ±os,170 mÂ²,2014,S/.200,Apartamento,Alquiler,14 ene. 2023 - Publicado por PERU LUXURY PROPERTIES,https://www.properati.com.pe/detalle/14032-32-6c19-8ea83ce5a6ab-aba10068-8153-4f45</t>
  </si>
  <si>
    <t>Apartamento en alquiler en Ur. San Gabriel,"Ur. San Gabriel, San Isidro, Lima, Lima ","USD9,999",4 dormitorios,4 baÃ±os,650 mÂ²,2022,"S/.1,500",Apartamento,Alquiler,14 ene. 2023 - Publicado por PERU LUXURY PROPERTIES,https://www.properati.com.pe/detalle/14032-32-fdf0-d272ae4c8636-6a6db7c8-b377-41d1</t>
  </si>
  <si>
    <t>Apartamento en alquiler en Ur. Santa Cruz,"Ur. Santa Cruz, Miraflores, Lima, Lima ","USD6,500",5 dormitorios,5 baÃ±os,500 mÂ²,2015,"S/.1,300",Apartamento,Alquiler,14 ene. 2023 - Publicado por PERU LUXURY PROPERTIES,https://www.properati.com.pe/detalle/14032-32-8f28-24c41263cce6-9ea03c1f-944b-4764</t>
  </si>
  <si>
    <t>Apartamento en alquiler en Ur. Corpac,"Ur. Corpac, San Isidro, Lima, Lima ","S/.2,000",1 dormitorio,1 baÃ±o,65 mÂ²,2000,S/.200,Apartamento,Alquiler,11 ene. 2023 - Publicado por SOCIOS INMOBILIARIOS,https://www.properati.com.pe/detalle/14032-32-918d-417bbd6bb24a-5ef85850-a3dc-120d</t>
  </si>
  <si>
    <t>Apartamento en alquiler en Ur. Leuro,"Ur. Leuro, Miraflores, Lima, Lima ",USD750,1 dormitorio,1 baÃ±o,48 mÂ²,,S/.210,Apartamento,Alquiler,14 ene. 2023 - Publicado por PERU LUXURY PROPERTIES,https://www.properati.com.pe/detalle/14032-32-3c7d-11ede081c755-6729cdac-b046-49b3</t>
  </si>
  <si>
    <t>Apartamento en alquiler en Cerro Azul,"Cerro Azul, CaÃ±ete, Lima ","Consultar</t>
  </si>
  <si>
    <t xml:space="preserve">                        ",3 dormitorios,2 baÃ±os,110 mÂ²,2010,,Apartamento,Alquiler,14 ene. 2023 - Publicado por EMILIA ROSARIO COURREJOLLES REAÃ‘O,https://www.properati.com.pe/detalle/14032-32-9448-8f3d659cfc44-d9353940-ab07-120d</t>
  </si>
  <si>
    <t>Apartamento en alquiler en Ur. America,"Ur. America, San Isidro, Lima, Lima ",USD570,1 dormitorio,1 baÃ±o,60 mÂ²,1983,,Apartamento,Alquiler,13 ene. 2023 - Publicado por RE/MAX Magnus,https://www.properati.com.pe/detalle/14032-32-901d-7fa2ba72ef70-6dd83432-b4bd-4ce5</t>
  </si>
  <si>
    <t>Apartamento en alquiler en Ur. Las Magnolias,"Ur. Las Magnolias, San Borja, Lima, Lima ",USD990,3 dormitorios,4 baÃ±os,220 mÂ²,2004,S/.200,Apartamento,Alquiler,29 nov. 2022 - Publicado por DCITY Inmobiliaria   -  Denisse Soto &amp; Asociados,https://www.properati.com.pe/detalle/14032-32-3be5-dc7126f4147b-2abb4f27-b4dc-40bb</t>
  </si>
  <si>
    <t>Apartamento en alquiler en Provincia de Lima,"Provincia de Lima, Provincia de Lima ",USD750,2 dormitorios,1 baÃ±o,110 mÂ²,,,Apartamento,Alquiler,3 set. 2022 - Publicado por RE/MAX POWER EXPO,https://www.properati.com.pe/detalle/14032-32-9eb1-152591c74bad-70851b14-88c1-4482</t>
  </si>
  <si>
    <t>Apartamento en alquiler en Ur. Punta Hermosa Sur,"Ur. Punta Hermosa Sur, Punta Hermosa, Lima, Lima ","USD10,000",5 dormitorios,5 baÃ±os,350 mÂ²,2020,"S/.1,000",Apartamento,Alquiler,14 ene. 2023 - Publicado por PERU LUXURY PROPERTIES,https://www.properati.com.pe/detalle/14032-32-55da-346ff8ea3606-b40c96db-bb15-4c1e</t>
  </si>
  <si>
    <t>Apartamento en alquiler en San Bartolo,"San Bartolo, Lima, Lima ","USD1,800",3 dormitorios,3 baÃ±os,88 mÂ²,2018,S/.400,Apartamento,Alquiler,15 nov. 2022 - Publicado por RE/MAX Excellence,https://www.properati.com.pe/detalle/14032-32-5d81-1deb18ad2b3a-69b429a5-9e2b-4e95</t>
  </si>
  <si>
    <t>Apartamento en alquiler en Ur. Santa Cruz,"Ur. Santa Cruz, Miraflores, Lima, Lima ","USD1,700",2 dormitorios,2 baÃ±os,172 mÂ²,2019,,Apartamento,Alquiler,9 ene. 2023 - Publicado por setagroup.pe,https://www.properati.com.pe/detalle/14032-32-b4e2-68f325837e5c-cffee4a9-a983-37c6</t>
  </si>
  <si>
    <t>Casa en alquiler en Ur. Punta Hermosa Sur,"Ur. Punta Hermosa Sur, Punta Hermosa, Lima, Lima ","USD7,000",4 dormitorios,4 baÃ±os,263 mÂ²,,,Casa,Alquiler,20 dic. 2022 - Publicado por Century 21 Ambassador,https://www.properati.com.pe/detalle/14032-32-3488-30d3dcd17b8a-5d075364-871d-3520</t>
  </si>
  <si>
    <t>Apartamento en alquiler en Ur. Armendariz,"Ur. Armendariz, Miraflores, Lima, Lima ","USD1,050",1 dormitorio,15 baÃ±os,90 mÂ²,2016,,Apartamento,Alquiler,11 ene. 2023 - Publicado por setagroup.pe,https://www.properati.com.pe/detalle/14032-32-6f28-9553055e6f47-c0da0a63-a28b-318a</t>
  </si>
  <si>
    <t>Apartamento en alquiler en Valle Hermoso Oeste,"Valle Hermoso Oeste, Provincia de Lima, Provincia de Lima ","USD2,584",4 dormitorios,4 baÃ±os,428 mÂ²,2010,,Apartamento,Alquiler,21 set. 2022 - Publicado por Remax VisiÃ³n Miraflores Lima,https://www.properati.com.pe/detalle/14032-32-a42d-8b6adbb06021-c7b5f21e-9ff8-419f</t>
  </si>
  <si>
    <t>Apartamento en alquiler en Ur. Santa Cruz,"Ur. Santa Cruz, Miraflores, Lima, Lima ","USD1,350",2 dormitorios,2 baÃ±os,105 mÂ²,2021,S/.200,Apartamento,Alquiler,12 ene. 2023 - Publicado por NG Inmobiliaria,https://www.properati.com.pe/detalle/14032-32-99d1-536917d3ed6a-1c366c76-81c9-4917</t>
  </si>
  <si>
    <t>Apartamento en alquiler en San Miguel de Miraflores,"San Miguel de Miraflores, Urb Cercado de Miraflores, Provincia de Lima, Provincia de Lima ",USD780,2 dormitorios,1 baÃ±o,86 mÂ²,,S/.58,Apartamento,Alquiler,3 jun. 2022 - Publicado por Elizabeth Vivanco,https://www.properati.com.pe/detalle/14032-32-c641-ad77ee4cc5f9-4ffb54f0-bbde-5010</t>
  </si>
  <si>
    <t>Apartamento en alquiler en Ur. Armendariz,"Ur. Armendariz, Miraflores, Lima, Lima ",USD950,2 dormitorios,3 baÃ±os,100 mÂ²,2014,S/.300,Apartamento,Alquiler,27 dic. 2022 - Publicado por Tu Nuevo Hogar Inmobiliaria,https://www.properati.com.pe/detalle/14032-32-92f9-ffe5a462261b-a479d461-850b-4962</t>
  </si>
  <si>
    <t>Apartamento en alquiler en Ur. Las Gardenias,"Ur. Las Gardenias, Santiago de Surco, Lima, Lima ",USD950,1 dormitorio,1 baÃ±o,67 mÂ²,2022,,Apartamento,Alquiler,12 ene. 2023 - Publicado por Asesoria Inmobiliaria Alkon,https://www.properati.com.pe/detalle/14032-32-b654-f966d258bcc-e07aa39d-b29f-46f8</t>
  </si>
  <si>
    <t>Casa en alquiler en Casuarinas,"Casuarinas, Provincia de Lima, Provincia de Lima ","USD4,000",5 dormitorios,5 baÃ±os,"1,500 mÂ²",1986,S/.600,Casa,Alquiler,24 set. 2021 - Publicado por Bienes Raices Marisol,https://www.properati.com.pe/detalle/14032-32-1a81-47834cd2dcd7-62615668-be06-45d6</t>
  </si>
  <si>
    <t>Apartamento en alquiler en Ur. Confraternidad,"Ur. Confraternidad, Barranco, Lima, Lima ",USD700,1 dormitorio,1 baÃ±o,50 mÂ²,2021,,Apartamento,Alquiler,13 dic. 2022 - Publicado por Remax Diamond,https://www.properati.com.pe/detalle/14032-32-f87d-4fdcc6b9125c-14a27ed3-8fe7-4963</t>
  </si>
  <si>
    <t>Casa en alquiler en Lima,"Lima, Lima, Lima ","USD1,200",4 dormitorios,3 baÃ±os,1 Medio baÃ±o,850 mÂ²,,Casa,Alquiler,15 nov. 2022 - Publicado por MarÃ­a Ximena Velarde Jara,https://www.properati.com.pe/detalle/14032-32-950a-82212aaacea4-b67b88fc-935e-3aea</t>
  </si>
  <si>
    <t>Apartamento en alquiler en Ur. Santa Cruz,"Ur. Santa Cruz, Miraflores, Lima, Lima ",USD930,2 dormitorios,2 baÃ±os,77 mÂ²,,,Apartamento,Alquiler,10 dic. 2022 - Publicado por Lien Hub Inmobiliario,https://www.properati.com.pe/detalle/14032-32-6eee-cd8d8d8eeecc-8122f51e-bf8e-414b</t>
  </si>
  <si>
    <t>Casa en alquiler en Ur. El SeÃ±orial,"Ur. El SeÃ±orial, Cayma, Arequipa, Arequipa ","S/.8,000",5 dormitorios,4 baÃ±os,320 mÂ²,,,Casa,Alquiler,8 dic. 2022 - Publicado por Century 21 Soluciones Inmobiliarias,https://www.properati.com.pe/detalle/14032-32-4566-a93165eeaab5-12b0c406-8769-3d7b</t>
  </si>
  <si>
    <t>Apartamento en alquiler en As. Residencial Virgen Del Carmen,"As. Residencial Virgen Del Carmen, San MartÃ­n de Porres, Lima, Lima ","S/.1,000",3 dormitorios,1 baÃ±o,97 mÂ²,2020,,Apartamento,Alquiler,10 ene. 2023 - Publicado por JESUS ALTAMIRANO CONDEMARIN,https://www.properati.com.pe/detalle/14032-32-a00d-f16fa88af372-74b77a69-a7fe-4f0e</t>
  </si>
  <si>
    <t>Apartamento en alquiler en Hu. Cercado De Miraflores,"Hu. Cercado De Miraflores, Miraflores, Lima, Lima ","USD1,600",2 dormitorios,2 baÃ±os,211 mÂ²,2020,,Apartamento,Alquiler,11 ene. 2023 - Publicado por setagroup.pe,https://www.properati.com.pe/detalle/14032-32-6cc6-40ee337896aa-f416a95b-8d7c-341f</t>
  </si>
  <si>
    <t>Apartamento en alquiler en Ur. America,"Ur. America, Miraflores, Lima, Lima ",USD600,1 dormitorio,2 baÃ±os,64 mÂ²,1996,,Apartamento,Alquiler,29 dic. 2022 - Publicado por Hito Inmobiliario,https://www.properati.com.pe/detalle/14032-32-be2-e730d34e318e-8ab3b973-b30f-4357</t>
  </si>
  <si>
    <t>Apartamento en alquiler en Orrantia del Mar,"Orrantia del Mar, Urb Campo de Polo, Provincia de Lima, Provincia de Lima ","USD1,100",3 dormitorios,2 baÃ±os,125 mÂ²,2022,S/.470,Apartamento,Alquiler,23 set. 2022 - Publicado por MONHOUSE E.I.R.L.,https://www.properati.com.pe/detalle/14032-32-9f3e-5f6d7032dcc0-104f7b6b-8291-446e</t>
  </si>
  <si>
    <t>Casa en alquiler en Urb Cercado de Lima,"Urb Cercado de Lima, Provincia de Lima, Provincia de Lima ","USD2,000",3 dormitorios,3 baÃ±os,,2011,,Casa,Alquiler,29 ago. 2022 - Publicado por MarÃ­a Ximena Velarde Jara,https://www.properati.com.pe/detalle/14032-32-2254-bf5a171aef32-a9c80e18-a319-3de5</t>
  </si>
  <si>
    <t>Apartamento en alquiler en San Eugenio,"San Eugenio, Provincia de Lima, Provincia de Lima ",USD550,1 dormitorio,1 baÃ±o,,2022,,Apartamento,Alquiler,29 ago. 2022 - Publicado por MarÃ­a Ximena Velarde Jara,https://www.properati.com.pe/detalle/14032-32-338e-f1d399578a4b-38af5c0f-88a7-3d23</t>
  </si>
  <si>
    <t>Casa en alquiler en La Campestre La Laguna,"La Campestre La Laguna, La Planicie, Provincia de Lima, Provincia de Lima ","USD1,450",3 dormitorios,3 baÃ±os,300 mÂ²,2005,S/.450,Casa,Alquiler,8 nov. 2022 - Publicado por Maria Angelica Suarez,https://www.properati.com.pe/detalle/14032-32-5fc7-c7e96bcef440-830196f0-a2e1-120d</t>
  </si>
  <si>
    <t>Casa de playa en alquiler en Asia,"Asia, CaÃ±ete, Lima ","S/.4,000",2 dormitorios,2 baÃ±os,75 mÂ²,2018,S/.350,Casa de playa,Alquiler,13 nov. 2022 - Publicado por Sheriel Herrera,https://www.properati.com.pe/detalle/14032-32-89e8-f4bdca84de9c-94564bb2-93fa-41fc</t>
  </si>
  <si>
    <t>Casa en alquiler en La Campestre La Laguna,"La Campestre La Laguna, La Molina, Provincia de Lima, Provincia de Lima ","USD1,450",3 dormitorios,3 baÃ±os,300 mÂ²,2005,S/.450,Casa,Alquiler,30 set. 2022 - Publicado por Maria Angelica Suarez,https://www.properati.com.pe/detalle/14032-32-f545-19620aa36439-288ebd28-b938-4ba0</t>
  </si>
  <si>
    <t>Casa en alquiler en La Campestre La Laguna,"La Campestre La Laguna, La Molina, Provincia de Lima, Provincia de Lima ","USD1,450",3 dormitorios,3 baÃ±os,300 mÂ²,2005,S/.450,Casa,Alquiler,30 set. 2022 - Publicado por Maria Angelica Suarez,https://www.properati.com.pe/detalle/14032-32-3052-1a4584fa877e-63025631-ae43-4298</t>
  </si>
  <si>
    <t>Curso: Procesamiento de Datos en Excel</t>
  </si>
  <si>
    <t>Alumno: Eder Eduardo Villantoy Bustamante</t>
  </si>
  <si>
    <t>1.- ReadMe</t>
  </si>
  <si>
    <t>2.- Dasaset</t>
  </si>
  <si>
    <t>3.- DataBase</t>
  </si>
  <si>
    <t>4.- Preguntas y Respuestas</t>
  </si>
  <si>
    <t>5.- Dashboard</t>
  </si>
  <si>
    <t>INTRODUCCIÓN</t>
  </si>
  <si>
    <t xml:space="preserve">El proyecto tiene como base de datos original las características de los distintos inmuebles en alquiler </t>
  </si>
  <si>
    <t>de la ciudad de lima. Donde se podrá indagar los datos relevantes y comprender de un mejor modo por medio de</t>
  </si>
  <si>
    <t>las funciones y gráficos, la dinámica de este sector en nuestra ciudad.</t>
  </si>
  <si>
    <t>OBJETIVOS DEL PRESENTE TRABAJO</t>
  </si>
  <si>
    <t xml:space="preserve">a) Poder graficar y representar los datos del sectos de inmuebles en alquiler de nuestra ciudad, para poder </t>
  </si>
  <si>
    <t xml:space="preserve">    comprender sus acpectos importantes y caracteristicas esenciales.</t>
  </si>
  <si>
    <t>b) Aplicar la mayor cantidad de conceptos aprendidos en clase, de forma impecable desde lo visual y operativo</t>
  </si>
  <si>
    <t>INFORMACIÓN SOBRE PROCESOS Y FÓRMULAS UTILIZADAS</t>
  </si>
  <si>
    <t>Aplicar un diseño tabla personalizado al DATASET.</t>
  </si>
  <si>
    <t>Apartamento en alquiler en Ur. Santa Cruz</t>
  </si>
  <si>
    <t>Apartamento</t>
  </si>
  <si>
    <t>Alquiler</t>
  </si>
  <si>
    <t>https://www.properati.com.pe/detalle/14032-32-d823-cfb2289def34-6e71b2e0-9ba2-120d</t>
  </si>
  <si>
    <t>Apartamento en alquiler en Cercado</t>
  </si>
  <si>
    <t>https://www.properati.com.pe/detalle/14032-32-7f7c-b5e0b5e8c66c-846e2c62-9f6e-341f</t>
  </si>
  <si>
    <t>Apartamento en alquiler en Ur. San Luis</t>
  </si>
  <si>
    <t>https://www.properati.com.pe/detalle/14032-32-d929-423094f1e665-e35d2a8d-ba23-4949</t>
  </si>
  <si>
    <t>Apartamento en alquiler en Ur. Risso</t>
  </si>
  <si>
    <t>https://www.properati.com.pe/detalle/14032-32-18f5-9866cb5c4148-4615cdf5-9a34-4656</t>
  </si>
  <si>
    <t>Apartamento en alquiler en Ur. Chacarilla Del Estanque</t>
  </si>
  <si>
    <t>https://www.properati.com.pe/detalle/14032-32-d0c8-57679cfca873-81eb0680-a810-120d</t>
  </si>
  <si>
    <t>Casa en alquiler en Chorrillos</t>
  </si>
  <si>
    <t>Casa</t>
  </si>
  <si>
    <t>https://www.properati.com.pe/detalle/14032-32-98ae-591ec1d4ea75-d376fe09-8de7-489c</t>
  </si>
  <si>
    <t>HabitaciÃ³n</t>
  </si>
  <si>
    <t>Apartamento en alquiler en Ba. S/N</t>
  </si>
  <si>
    <t>https://www.properati.com.pe/detalle/14032-32-e243-fa558c79236d-1d09f077-a2ae-49d1</t>
  </si>
  <si>
    <t>Apartamento en alquiler en Ur. Balta</t>
  </si>
  <si>
    <t>https://www.properati.com.pe/detalle/14032-32-395e-7fe825129747-57da5cd2-9bd3-4737</t>
  </si>
  <si>
    <t>Apartamento en alquiler en Ur. Santa Rosa</t>
  </si>
  <si>
    <t>https://www.properati.com.pe/detalle/14032-32-354b-6d5017ed3a54-800f052b-bfd2-4e1d</t>
  </si>
  <si>
    <t>Apartamento en alquiler en Surquillo</t>
  </si>
  <si>
    <t>https://www.properati.com.pe/detalle/14032-32-bfb2-578e8a9e4d4b-a7c96ee0-b74f-120d</t>
  </si>
  <si>
    <t>https://www.properati.com.pe/detalle/14032-32-de19-59e83e2b10db-bceeb890-a46f-120d</t>
  </si>
  <si>
    <t>https://www.properati.com.pe/detalle/14032-32-b131-dcf648d5175e-8a70a8d9-ad23-443a</t>
  </si>
  <si>
    <t>Apartamento en alquiler en Sd. Aeropuerto De Collique</t>
  </si>
  <si>
    <t>https://www.properati.com.pe/detalle/14032-32-5d53-f4ee2212b4a9-253d030d-b7e7-42cb</t>
  </si>
  <si>
    <t>Apartamento en alquiler en Ur. Santa Beatriz</t>
  </si>
  <si>
    <t>https://www.properati.com.pe/detalle/14032-32-49a0-30bd2c863788-b3875756-a152-4c8d</t>
  </si>
  <si>
    <t>Apartamento en alquiler en Ur. Jorge Chavez</t>
  </si>
  <si>
    <t>https://www.properati.com.pe/detalle/14032-32-a193-d0793ffe4a08-361818ac-b031-4ab9</t>
  </si>
  <si>
    <t>https://www.properati.com.pe/detalle/14032-32-4f01-631d281a2f33-b0955520-8b2d-4540</t>
  </si>
  <si>
    <t>Apartamento en alquiler en Ur. Aurora</t>
  </si>
  <si>
    <t>https://www.properati.com.pe/detalle/14032-32-c073-1d4275824b2e-f1992ee0-83dc-120d</t>
  </si>
  <si>
    <t>Apartamento en alquiler en Ur. Orrantia Del Mar</t>
  </si>
  <si>
    <t>https://www.properati.com.pe/detalle/14032-32-b78b-3f221c6da128-d1c75a60-b00f-120d</t>
  </si>
  <si>
    <t>https://www.properati.com.pe/detalle/14032-32-19fd-d2114f867c49-9bf1a34c-8c32-4ee8</t>
  </si>
  <si>
    <t>https://www.properati.com.pe/detalle/14032-32-1a6c-43ab4139a731-5d99686-86d8-49e4</t>
  </si>
  <si>
    <t>Apartamento en alquiler en Re. San Felipe</t>
  </si>
  <si>
    <t>https://www.properati.com.pe/detalle/14032-32-45b8-b39d12e83d8-ff065b3f-8703-4114</t>
  </si>
  <si>
    <t>Apartamento en alquiler en Ur. Ampliacion San Isidro</t>
  </si>
  <si>
    <t>https://www.properati.com.pe/detalle/14032-32-6890-f865769e59e5-33a70a7-b900-4596</t>
  </si>
  <si>
    <t>Apartamento en alquiler en Ur. Orrantia</t>
  </si>
  <si>
    <t>https://www.properati.com.pe/detalle/14032-32-461c-73902c68c930-8798efc6-a195-4eba</t>
  </si>
  <si>
    <t>Apartamento en alquiler en Ur. Valle Hermoso Este</t>
  </si>
  <si>
    <t>https://www.properati.com.pe/detalle/14032-32-3c93-c38c986cab18-224bf99-b7d7-4b26</t>
  </si>
  <si>
    <t>https://www.properati.com.pe/detalle/14032-32-f0b5-21943876338e-91bdb965-a2b7-4933</t>
  </si>
  <si>
    <t>Apartamento en alquiler en Ur. Las Begonias</t>
  </si>
  <si>
    <t>https://www.properati.com.pe/detalle/14032-32-b58-bd0c2e7f329e-6be1ebf1-b59f-4ab3</t>
  </si>
  <si>
    <t>Apartamento en alquiler en Ur. San Antonio</t>
  </si>
  <si>
    <t>https://www.properati.com.pe/detalle/14032-32-9ff3-ce5e76c79581-1ee20465-af64-48cc</t>
  </si>
  <si>
    <t>Apartamento en alquiler en Sector 3</t>
  </si>
  <si>
    <t>https://www.properati.com.pe/detalle/14032-32-f8ce-92dc956c6c7f-998fb3c8-849a-429b</t>
  </si>
  <si>
    <t>Apartamento en alquiler en Ur. San Felipe</t>
  </si>
  <si>
    <t>Apartamento en alquiler en Ur. La Encantada</t>
  </si>
  <si>
    <t>https://www.properati.com.pe/detalle/14032-32-c124-219a0c9f65f9-65612a70-80f5-120d</t>
  </si>
  <si>
    <t>https://www.properati.com.pe/detalle/14032-32-2701-8bf41ef7ca67-31b6f77e-a5e5-4b75</t>
  </si>
  <si>
    <t>https://www.properati.com.pe/detalle/14032-32-c786-71a3c2c8981d-78ecb3d-9017-4e0f</t>
  </si>
  <si>
    <t>Apartamento en alquiler en Urb los Patricios</t>
  </si>
  <si>
    <t>https://www.properati.com.pe/detalle/14032-32-e8f2-98b3113213ea-e23f945f-8ef1-4653</t>
  </si>
  <si>
    <t>Apartamento en alquiler en Ur. Udima</t>
  </si>
  <si>
    <t>https://www.properati.com.pe/detalle/14032-32-987-ee9d97c9b305-5f3d171b-9bd6-4c89</t>
  </si>
  <si>
    <t>https://www.properati.com.pe/detalle/14032-32-738-76e177df3cdd-bcc72e08-9b9e-4210</t>
  </si>
  <si>
    <t>Oficina</t>
  </si>
  <si>
    <t>Apartamento en alquiler en San Isidro</t>
  </si>
  <si>
    <t>https://www.properati.com.pe/detalle/14032-32-ff26-f74353bf1430-96944880-9d1e-42cd</t>
  </si>
  <si>
    <t>Apartamento en alquiler en Ur. La ViÃ±ita</t>
  </si>
  <si>
    <t>https://www.properati.com.pe/detalle/14032-32-c5a2-ded6f74dff7-1ad4ac11-a46b-4a80</t>
  </si>
  <si>
    <t>Apartamento en alquiler en Ur. Leuro</t>
  </si>
  <si>
    <t>https://www.properati.com.pe/detalle/14032-32-213d-44b81e94700a-c8470f57-a4af-42e5</t>
  </si>
  <si>
    <t>https://www.properati.com.pe/detalle/14032-32-45eb-df600df2dd08-b438f19f-8b1c-4f9a</t>
  </si>
  <si>
    <t>https://www.properati.com.pe/detalle/14032-32-31e5-f56cb44a69f3-1354c567-8e16-4287</t>
  </si>
  <si>
    <t>https://www.properati.com.pe/detalle/14032-32-3f3d-f2bebcd48f92-c0a2bb8-9d92-4487</t>
  </si>
  <si>
    <t>Apartamento en alquiler en Surco</t>
  </si>
  <si>
    <t>https://www.properati.com.pe/detalle/14032-32-a6d5-20c6b8a2ce1e-f66195c6-9159-4417</t>
  </si>
  <si>
    <t>Apartamento en alquiler en Ur. San Juan Sector D</t>
  </si>
  <si>
    <t>https://www.properati.com.pe/detalle/14032-32-a476-79b47ed1304e-c52f3e0c-83b0-4973</t>
  </si>
  <si>
    <t>Apartamento en alquiler en Ah. Moron</t>
  </si>
  <si>
    <t>https://www.properati.com.pe/detalle/14032-32-bf6-4f67af066e6e-38077caa-bf4e-4ed5</t>
  </si>
  <si>
    <t>Casa en alquiler en Cieneguilla</t>
  </si>
  <si>
    <t>https://www.properati.com.pe/detalle/14032-32-b1d1-78ea9176119c-6f6e8d5e-a803-4590</t>
  </si>
  <si>
    <t>https://www.properati.com.pe/detalle/14032-32-2533-df88700c81f6-b4d70ba3-ba7a-40c7</t>
  </si>
  <si>
    <t>https://www.properati.com.pe/detalle/14032-32-3972-d3764fd50aef-18593f76-9b9c-4b00</t>
  </si>
  <si>
    <t>https://www.properati.com.pe/detalle/14032-32-fb0c-a754f883812a-3094fa58-8746-4ecb</t>
  </si>
  <si>
    <t>Casa en alquiler en Ur. San Miguel</t>
  </si>
  <si>
    <t>https://www.properati.com.pe/detalle/14032-32-d843-5774a2f2c8a6-65852c0-88c0-120d</t>
  </si>
  <si>
    <t>Apartamento en alquiler en Ur. Barboncito</t>
  </si>
  <si>
    <t>https://www.properati.com.pe/detalle/14032-32-c45f-7b18758e5ce1-b24cba50-ba78-120d</t>
  </si>
  <si>
    <t>Apartamento en alquiler en Ur. Confraternidad</t>
  </si>
  <si>
    <t>https://www.properati.com.pe/detalle/14032-32-2e3e-91e3606e26b0-7b204094-a499-4655</t>
  </si>
  <si>
    <t>Apartamento en alquiler en Ur. America</t>
  </si>
  <si>
    <t>https://www.properati.com.pe/detalle/14032-32-c688-a2c18253d867-ed0b3a68-81f6-4631</t>
  </si>
  <si>
    <t>Casa en alquiler en Ur. Los Halcones</t>
  </si>
  <si>
    <t>https://www.properati.com.pe/detalle/14032-32-d3d9-cb66a168a494-76986cc-a2b3-40f9</t>
  </si>
  <si>
    <t>Apartamento en alquiler en Ur. Chacarilla Santa Cruz</t>
  </si>
  <si>
    <t>https://www.properati.com.pe/detalle/14032-32-3519-7da18e9db76c-950dc6a6-96bb-4320</t>
  </si>
  <si>
    <t>Apartamento en alquiler en Ur. Libertad</t>
  </si>
  <si>
    <t>https://www.properati.com.pe/detalle/14032-32-e1dd-c79ca082f8be-4dbb2e9-a1b2-4f1f</t>
  </si>
  <si>
    <t>Apartamento en alquiler en Cayma</t>
  </si>
  <si>
    <t>https://www.properati.com.pe/detalle/14032-32-a2df-45c2a4a73015-f66a53b3-8bdb-4551</t>
  </si>
  <si>
    <t>Apartamento en alquiler en Lince</t>
  </si>
  <si>
    <t>https://www.properati.com.pe/detalle/14032-32-f9a1-59304cbc4abd-2ea29ec4-ae54-4bf1</t>
  </si>
  <si>
    <t>Oficina en alquiler en Ur. San Antonio</t>
  </si>
  <si>
    <t>https://www.properati.com.pe/detalle/14032-32-b1f5-b591e09c80c1-b0cdbdb4-9434-3279</t>
  </si>
  <si>
    <t>Apartamento en alquiler en Ur. Chiclin</t>
  </si>
  <si>
    <t>https://www.properati.com.pe/detalle/14032-32-ad1d-785898301fed-9ac796d5-971b-4ce2</t>
  </si>
  <si>
    <t>https://www.properati.com.pe/detalle/14032-32-1992-b9cf4f7511fa-5cf73bb8-a1f2-4f14</t>
  </si>
  <si>
    <t>Apartamento en alquiler en Ur. Valle Hermoso Oeste</t>
  </si>
  <si>
    <t>https://www.properati.com.pe/detalle/14032-32-fa13-113ebd37d42e-86027943-8493-461b</t>
  </si>
  <si>
    <t>Apartamento en alquiler en Ur. Armendariz</t>
  </si>
  <si>
    <t>https://www.properati.com.pe/detalle/14032-32-ae0a-93af099556a3-5340ad5b-b68c-4891</t>
  </si>
  <si>
    <t>Apartamento en alquiler en Ur. Los Recaudadores</t>
  </si>
  <si>
    <t>https://www.properati.com.pe/detalle/14032-32-14f5-3be8dde1af74-4894436e-b031-46c2</t>
  </si>
  <si>
    <t>https://www.properati.com.pe/detalle/14032-32-9c51-923a5e9a2bb0-572d30e1-bb48-4b6d</t>
  </si>
  <si>
    <t>https://www.properati.com.pe/detalle/14032-32-814e-be153ea6d77d-8672b741-bb51-4706</t>
  </si>
  <si>
    <t>Apartamento en alquiler en Ur. San Miguel</t>
  </si>
  <si>
    <t>https://www.properati.com.pe/detalle/14032-32-d3a8-d15c0189ad19-51f02900-856d-120d</t>
  </si>
  <si>
    <t>https://www.properati.com.pe/detalle/14032-32-ba63-65b75289d07c-bef2657c-8d03-451e</t>
  </si>
  <si>
    <t>https://www.properati.com.pe/detalle/14032-32-7592-7fe74a33ee99-5efee4c3-8250-4710</t>
  </si>
  <si>
    <t>Apartamento en alquiler en Sd. S/N</t>
  </si>
  <si>
    <t>https://www.properati.com.pe/detalle/14032-32-d784-16ff3d6e0202-f98c46d1-a952-470c</t>
  </si>
  <si>
    <t>Apartamento en alquiler en Ur. La Capullana</t>
  </si>
  <si>
    <t>https://www.properati.com.pe/detalle/14032-32-8226-3dcf54ae8f6d-2a12a6f1-9b74-4086</t>
  </si>
  <si>
    <t>Apartamento en alquiler en Ur. Cabo Gc Juan Ingunza Valdivia (Vipol)</t>
  </si>
  <si>
    <t>https://www.properati.com.pe/detalle/14032-32-8b13-c8d1568ed13a-b4743bea-9fd1-40bb</t>
  </si>
  <si>
    <t>Casa en alquiler en Ur. Javier Prado (Cahuache)</t>
  </si>
  <si>
    <t>https://www.properati.com.pe/detalle/14032-32-a911-bc122769111c-fae4a93-b6c7-435b</t>
  </si>
  <si>
    <t>https://www.properati.com.pe/detalle/14032-32-3c73-f9543b28a5e6-68c79545-8a3d-4af5</t>
  </si>
  <si>
    <t>Apartamento en alquiler en Ur. Santa Raquel Sector B Zona Este</t>
  </si>
  <si>
    <t>https://www.properati.com.pe/detalle/14032-32-daa7-fdc83baf802a-4275bf41-979a-4c26</t>
  </si>
  <si>
    <t>Apartamento en alquiler en Ur. Orbea</t>
  </si>
  <si>
    <t>https://www.properati.com.pe/detalle/14032-32-aee6-fbf15e94e774-6a45cd40-9b35-47b7</t>
  </si>
  <si>
    <t>https://www.properati.com.pe/detalle/14032-32-a038-e74750861e5b-55284d58-a53d-4823</t>
  </si>
  <si>
    <t>https://www.properati.com.pe/detalle/14032-32-e4f7-26888481416e-f7f9f3f6-ba2c-4ee6</t>
  </si>
  <si>
    <t>Apartamento en alquiler en Ur. La Capilla (U-2)</t>
  </si>
  <si>
    <t>https://www.properati.com.pe/detalle/14032-32-842d-97e7e40efa38-c00eff7e-bede-4c07</t>
  </si>
  <si>
    <t>Apartamento en alquiler en Santiago de Surco</t>
  </si>
  <si>
    <t>https://www.properati.com.pe/detalle/14032-32-d310-5da6e15e3d6a-2c461db0-be98-120d</t>
  </si>
  <si>
    <t>https://www.properati.com.pe/detalle/14032-32-9ddc-ac7b1f7a91ca-5d83b5ad-a980-4047</t>
  </si>
  <si>
    <t>https://www.properati.com.pe/detalle/14032-32-241c-f37fde555b4a-35b2a613-a935-413e</t>
  </si>
  <si>
    <t>https://www.properati.com.pe/detalle/14032-32-7044-b49c5278691f-3c61c488-a656-334d</t>
  </si>
  <si>
    <t>Apartamento en alquiler en Ur. Lobaton</t>
  </si>
  <si>
    <t>https://www.properati.com.pe/detalle/14032-32-ded4-812e45001395-1d06eb1d-9054-4b6a</t>
  </si>
  <si>
    <t>Casa en alquiler en San Isidro</t>
  </si>
  <si>
    <t>https://www.properati.com.pe/detalle/14032-32-cbc1-f4b284b35cce-3d76b6a5-b6a5-4ddb</t>
  </si>
  <si>
    <t>https://www.properati.com.pe/detalle/14032-32-e369-1bd90cad45c2-dca51e45-b277-48fc</t>
  </si>
  <si>
    <t>https://www.properati.com.pe/detalle/14032-32-6cf9-310b98421e59-547f52f5-8e38-44aa</t>
  </si>
  <si>
    <t>Apartamento en alquiler en Ur. Pedregal De Higuereta(San Atanacio De Pedregal)</t>
  </si>
  <si>
    <t>https://www.properati.com.pe/detalle/14032-32-b1e6-e1507a79f0ab-cd6e419d-8758-4fe3</t>
  </si>
  <si>
    <t>https://www.properati.com.pe/detalle/14032-32-e6ee-4225b9ae8a1f-79b3f829-a374-4771</t>
  </si>
  <si>
    <t>Casa en alquiler en Carabayllo</t>
  </si>
  <si>
    <t>https://www.properati.com.pe/detalle/14032-32-57d1-916628e3d571-830b42fb-8f05-4b20</t>
  </si>
  <si>
    <t>https://www.properati.com.pe/detalle/14032-32-d829-d127d4d2b90f-6250c860-b026-120d</t>
  </si>
  <si>
    <t>https://www.properati.com.pe/detalle/14032-32-af85-94e239b955bb-b0521e17-880f-4f47</t>
  </si>
  <si>
    <t>Apartamento en alquiler en Ur. Las Gardenias</t>
  </si>
  <si>
    <t>https://www.properati.com.pe/detalle/14032-32-dcab-63cb2fb9d93c-4fbec2c0-b78f-120d</t>
  </si>
  <si>
    <t>https://www.properati.com.pe/detalle/14032-32-461b-194a62f80c76-6da9ac19-aeed-4db0</t>
  </si>
  <si>
    <t>https://www.properati.com.pe/detalle/14032-32-70b5-7a05466b7a0d-6cf6709-8f1b-3aac</t>
  </si>
  <si>
    <t>https://www.properati.com.pe/detalle/14032-32-69dd-e410df5be883-3612c089-8bfd-4130</t>
  </si>
  <si>
    <t>Apartamento en alquiler en Ur. Jardin</t>
  </si>
  <si>
    <t>https://www.properati.com.pe/detalle/14032-32-37d7-8d3662c87b8-418dc763-abf3-4a60</t>
  </si>
  <si>
    <t>Apartamento en alquiler en Ur. Jacaranda</t>
  </si>
  <si>
    <t>https://www.properati.com.pe/detalle/14032-32-2095-4915e395f2bf-f52b4ebc-b074-4a17</t>
  </si>
  <si>
    <t>Oficina en alquiler en Ur. San Luis</t>
  </si>
  <si>
    <t>https://www.properati.com.pe/detalle/14032-32-bfaa-5bdc4423ee73-4c1011d6-b910-362e</t>
  </si>
  <si>
    <t>Apartamento en alquiler en Propietarios De Parque Industrial El Asesor</t>
  </si>
  <si>
    <t>https://www.properati.com.pe/detalle/14032-32-e845-45da689f959d-d985de95-a4a4-310f</t>
  </si>
  <si>
    <t>Apartamento en alquiler en Up. Tahuantinsuyo Etapa I</t>
  </si>
  <si>
    <t>https://www.properati.com.pe/detalle/14032-32-77b-790838d9985b-e272103d-a2ad-42b1</t>
  </si>
  <si>
    <t>https://www.properati.com.pe/detalle/14032-32-3c19-3ffa57b915c3-7c465bf6-a08e-32fc</t>
  </si>
  <si>
    <t>Casa en alquiler en Ur. La Planicie</t>
  </si>
  <si>
    <t>https://www.properati.com.pe/detalle/14032-32-9ac3-986b39f1fb07-d95948a7-8e02-49f7</t>
  </si>
  <si>
    <t>Apartamento en alquiler en Ur. Colmenares</t>
  </si>
  <si>
    <t>https://www.properati.com.pe/detalle/14032-32-baee-68901d85bce1-4ad731e0-ab48-45de</t>
  </si>
  <si>
    <t>Casa en alquiler en Ur. Huertos De San Antonio</t>
  </si>
  <si>
    <t>https://www.properati.com.pe/detalle/14032-32-47ee-63a19ce7ac76-a03d9e14-ad8c-4bde</t>
  </si>
  <si>
    <t>Apartamento en alquiler en Ur. Prolongacion Benavides</t>
  </si>
  <si>
    <t>https://www.properati.com.pe/detalle/14032-32-ce85-c1b39d260e3f-bec8362f-84a9-4185</t>
  </si>
  <si>
    <t>https://www.properati.com.pe/detalle/14032-32-1a25-4f6cbbb4f88-713b911c-880d-4e3a</t>
  </si>
  <si>
    <t>Apartamento en alquiler en Punta Hermosa</t>
  </si>
  <si>
    <t>https://www.properati.com.pe/detalle/14032-32-42ea-a0ee8cec8c54-f430dab7-8a5b-4918</t>
  </si>
  <si>
    <t>Apartamento en alquiler en Ur. Balconcillo</t>
  </si>
  <si>
    <t>https://www.properati.com.pe/detalle/14032-32-e3b5-9a203a30add5-7dad7ce7-b882-4c54</t>
  </si>
  <si>
    <t>https://www.properati.com.pe/detalle/14032-32-a720-97f4e354d103-12e891a9-a560-4a09</t>
  </si>
  <si>
    <t>https://www.properati.com.pe/detalle/14032-32-8bb6-57c5c47b3bf7-ed96281f-9688-4e4b</t>
  </si>
  <si>
    <t>https://www.properati.com.pe/detalle/14032-32-d717-b76ceb51d798-a2a56d70-a23d-120d</t>
  </si>
  <si>
    <t>Casa en alquiler en Ur. Los Jazmines</t>
  </si>
  <si>
    <t>https://www.properati.com.pe/detalle/14032-32-aaae-648a26904306-a55b51ba-9efa-3107</t>
  </si>
  <si>
    <t>Apartamento en alquiler en Ur. Alicia</t>
  </si>
  <si>
    <t>https://www.properati.com.pe/detalle/14032-32-d90a-afbdc1f2fb6f-ea9ae520-b078-120d</t>
  </si>
  <si>
    <t>https://www.properati.com.pe/detalle/14032-32-2d83-3ddfaaa89dff-88275968-839b-4238</t>
  </si>
  <si>
    <t>Apartamento en alquiler en Ur. Residencial Higuereta</t>
  </si>
  <si>
    <t>https://www.properati.com.pe/detalle/14032-32-a290-692dede237bf-757917ea-8ac5-48f6</t>
  </si>
  <si>
    <t>Apartamento en alquiler en Ur. Residencial La Libertad</t>
  </si>
  <si>
    <t>https://www.properati.com.pe/detalle/14032-32-5ad9-433987741078-f51b46e7-b06c-4e9c</t>
  </si>
  <si>
    <t>https://www.properati.com.pe/detalle/14032-32-61c7-42ce6cc85d92-b9b63c3e-af7c-4ecb</t>
  </si>
  <si>
    <t>https://www.properati.com.pe/detalle/14032-32-8206-b65be670c0a6-a13a71bb-a6e4-4cca</t>
  </si>
  <si>
    <t>Apartamento en alquiler en Ur. San Borja</t>
  </si>
  <si>
    <t>https://www.properati.com.pe/detalle/14032-32-6e96-6b8cc4981401-90c7611a-974f-4435</t>
  </si>
  <si>
    <t>Apartamento en alquiler en Ur. Casuarinas Sur</t>
  </si>
  <si>
    <t>https://www.properati.com.pe/detalle/14032-32-b801-d759b502146-716e9310-a9fa-120d</t>
  </si>
  <si>
    <t>https://www.properati.com.pe/detalle/14032-32-7e95-45689f895be5-94fdb2f9-aa1a-417e</t>
  </si>
  <si>
    <t>https://www.properati.com.pe/detalle/14032-32-a008-dc332b3b709d-c1400d1e-919d-4243</t>
  </si>
  <si>
    <t>Apartamento en alquiler en Co. Santa Rosa De Quives</t>
  </si>
  <si>
    <t>https://www.properati.com.pe/detalle/14032-32-ec8f-7bb6ee593747-8b948000-a520-447e</t>
  </si>
  <si>
    <t>Apartamento en alquiler en Ah. Totorita</t>
  </si>
  <si>
    <t>https://www.properati.com.pe/detalle/14032-32-6281-e5c1c15661d4-ac32805e-b3b2-4490</t>
  </si>
  <si>
    <t>Apartamento en alquiler en Ur. El Vivero</t>
  </si>
  <si>
    <t>https://www.properati.com.pe/detalle/14032-32-2857-fad090d91150-d5274f07-a500-343a</t>
  </si>
  <si>
    <t>https://www.properati.com.pe/detalle/14032-32-95e4-74c150b2117e-793b56ff-9d00-46d9</t>
  </si>
  <si>
    <t>https://www.properati.com.pe/detalle/14032-32-ca3c-df38bf886abb-8ee7b945-a415-480d</t>
  </si>
  <si>
    <t>https://www.properati.com.pe/detalle/14032-32-fd7d-d835fe5437ad-27d8bfe-a2e7-4444</t>
  </si>
  <si>
    <t>https://www.properati.com.pe/detalle/14032-32-9f24-26f469ea761b-25a290cf-ad7e-4a0d</t>
  </si>
  <si>
    <t>https://www.properati.com.pe/detalle/14032-32-fd22-647bbc82daad-449a5824-bef7-45a5</t>
  </si>
  <si>
    <t>Apartamento en alquiler en Ur. La Calera De La Merced</t>
  </si>
  <si>
    <t>https://www.properati.com.pe/detalle/14032-32-3f7e-c5d6ab5e3884-f2382ad6-9e80-4c36</t>
  </si>
  <si>
    <t>https://www.properati.com.pe/detalle/14032-32-d5fa-45fb7d5f4e4f-756c4a8e-9d89-4be5</t>
  </si>
  <si>
    <t>https://www.properati.com.pe/detalle/14032-32-a8d6-7b429a332f52-de4dea4e-a638-44f5</t>
  </si>
  <si>
    <t>Apartamento en alquiler en Ur. Residencial Salamanca</t>
  </si>
  <si>
    <t>https://www.properati.com.pe/detalle/14032-32-f91-227f95c1a249-f2156d3e-8ba4-461b</t>
  </si>
  <si>
    <t>Casa en alquiler en Ur. Los Portales Del Naranjal</t>
  </si>
  <si>
    <t>https://www.properati.com.pe/detalle/14032-32-4d32-cafe545b1eda-f0a325ac-a319-4754</t>
  </si>
  <si>
    <t>Apartamento en alquiler en Ur. San Eugenio</t>
  </si>
  <si>
    <t>https://www.properati.com.pe/detalle/14032-32-f610-be4870f99d59-cc626831-9512-459d</t>
  </si>
  <si>
    <t>https://www.properati.com.pe/detalle/14032-32-7a6-e65427b53c33-63909916-95c5-492d</t>
  </si>
  <si>
    <t>Apartamento en alquiler en Ur. Monterrico Norte</t>
  </si>
  <si>
    <t>https://www.properati.com.pe/detalle/14032-32-bb0-83c8bd20077a-97f9a96-8602-49e4</t>
  </si>
  <si>
    <t>Apartamento en alquiler en La Calera De La Merced</t>
  </si>
  <si>
    <t>https://www.properati.com.pe/detalle/14032-32-cf40-70836258a541-dd6c931e-adff-46cf</t>
  </si>
  <si>
    <t>https://www.properati.com.pe/detalle/14032-32-ba18-1f1b781b8aa7-2bf0c240-b8a0-120d</t>
  </si>
  <si>
    <t>https://www.properati.com.pe/detalle/14032-32-638f-9bf057c7d1ea-a3e93e6b-9dc5-4928</t>
  </si>
  <si>
    <t>https://www.properati.com.pe/detalle/14032-32-f6e8-93d18bbfcf6e-57b71e0e-af03-4a71</t>
  </si>
  <si>
    <t>Apartamento en alquiler en Comas</t>
  </si>
  <si>
    <t>https://www.properati.com.pe/detalle/14032-32-8b1a-a8a802700cc0-e402a7aa-8510-49eb</t>
  </si>
  <si>
    <t>Apartamento en alquiler en Carabayllo</t>
  </si>
  <si>
    <t>https://www.properati.com.pe/detalle/14032-32-ce59-4f3523acbfcf-88d601b1-ab03-4e81</t>
  </si>
  <si>
    <t>Apartamento en alquiler en Ur. Ciudad De Papel Iii Etapa</t>
  </si>
  <si>
    <t>https://www.properati.com.pe/detalle/14032-32-70e-d1a27d2483ca-83bae3b7-bf07-40cb</t>
  </si>
  <si>
    <t>Apartamento en alquiler en Ur. Santa Raquel Sector A Zona Este</t>
  </si>
  <si>
    <t>https://www.properati.com.pe/detalle/14032-32-e6b9-7b2c1b43099d-2fbc4440-a453-4b3c</t>
  </si>
  <si>
    <t>Apartamento en alquiler en UrbanizaciÃ³n La Floresta</t>
  </si>
  <si>
    <t>https://www.properati.com.pe/detalle/14032-32-d536-2feda0ed05e9-e00776f3-9f00-43d7</t>
  </si>
  <si>
    <t>Apartamento en alquiler en Co. Vipol El Alamo</t>
  </si>
  <si>
    <t>https://www.properati.com.pe/detalle/14032-32-5352-f26a72186595-99024ab6-8b08-4ad7</t>
  </si>
  <si>
    <t>https://www.properati.com.pe/detalle/14032-32-e07-bf3271812c72-a2f5fcd2-9a14-4c6e</t>
  </si>
  <si>
    <t>Apartamento en alquiler en Pachacamac</t>
  </si>
  <si>
    <t>https://www.properati.com.pe/detalle/14032-32-b00-8bdf116291cf-f6fe9a9e-a118-40be</t>
  </si>
  <si>
    <t>https://www.properati.com.pe/detalle/14032-32-1f79-a6690fe2f538-4715c793-bd51-4f08</t>
  </si>
  <si>
    <t>https://www.properati.com.pe/detalle/14032-32-daf7-a61ccfc9fddd-bbd3af13-a20f-4159</t>
  </si>
  <si>
    <t>Apartamento en alquiler en Ate</t>
  </si>
  <si>
    <t>https://www.properati.com.pe/detalle/14032-32-3187-2f45d67fa70d-cd9c3e1-b299-44eb</t>
  </si>
  <si>
    <t>https://www.properati.com.pe/detalle/14032-32-290f-6b616d72b45f-c144a006-be81-4440</t>
  </si>
  <si>
    <t>Casa en alquiler en Ur. Tungasuca</t>
  </si>
  <si>
    <t>https://www.properati.com.pe/detalle/14032-32-49a-7679ea5ac1b2-ccb0f80c-ab8e-4842</t>
  </si>
  <si>
    <t>https://www.properati.com.pe/detalle/14032-32-41bf-8de70edff6ef-3aa320d8-8807-4d16</t>
  </si>
  <si>
    <t>https://www.properati.com.pe/detalle/14032-32-7494-2cf5d25bb12a-b01b9fe7-aad6-4468</t>
  </si>
  <si>
    <t>HabitaciÃ³n en alquiler en Ur. Pando V Etapa</t>
  </si>
  <si>
    <t>https://www.properati.com.pe/detalle/14032-32-c4a3-f0cc8376ba2a-93d1bf47-a875-41dd</t>
  </si>
  <si>
    <t>https://www.properati.com.pe/detalle/14032-32-f4c1-d3fec18c18c6-8612b3a9-b846-465c</t>
  </si>
  <si>
    <t>https://www.properati.com.pe/detalle/14032-32-d9d8-9a88ea2c512b-e09d9e81-a58f-48a2</t>
  </si>
  <si>
    <t>Apartamento en alquiler en Ur. La Planicie</t>
  </si>
  <si>
    <t>https://www.properati.com.pe/detalle/14032-32-6156-5459dc0f56bf-15ca7353-b85a-4894</t>
  </si>
  <si>
    <t>Apartamento en alquiler en Co. El Pacifico</t>
  </si>
  <si>
    <t>https://www.properati.com.pe/detalle/14032-32-dffe-9baff6b3dae1-5258bc6-bc63-4816</t>
  </si>
  <si>
    <t>https://www.properati.com.pe/detalle/14032-32-ce2-68463b3b3849-3026fc79-b49f-4bd2</t>
  </si>
  <si>
    <t>https://www.properati.com.pe/detalle/14032-32-977f-7a4ada1c9871-93d946dc-bce0-4a27</t>
  </si>
  <si>
    <t>https://www.properati.com.pe/detalle/14032-32-2b9e-2ac0bbb905a0-6873cf5d-bde9-45f3</t>
  </si>
  <si>
    <t>https://www.properati.com.pe/detalle/14032-32-cc9-a45707ecf165-607af432-8794-4191</t>
  </si>
  <si>
    <t>https://www.properati.com.pe/detalle/14032-32-7323-7128994db1bf-bf56fdef-8afa-4dfb</t>
  </si>
  <si>
    <t>Casa en alquiler en Ur. Risso</t>
  </si>
  <si>
    <t>https://www.properati.com.pe/detalle/14032-32-bdc2-b1a21ca9c90c-bed2c5a6-ac0c-417e</t>
  </si>
  <si>
    <t>Apartamento en alquiler en Ur. La Alborada Ii Etapa</t>
  </si>
  <si>
    <t>https://www.properati.com.pe/detalle/14032-32-bcfa-10c33d2eac9e-8e755e25-97f1-490c</t>
  </si>
  <si>
    <t>Apartamento en alquiler en Ur. Ingenieria</t>
  </si>
  <si>
    <t>https://www.properati.com.pe/detalle/14032-32-2544-cb5dc039adc3-fdf2bdae-a917-4326</t>
  </si>
  <si>
    <t>https://www.properati.com.pe/detalle/14032-32-effb-668b90a486c6-1088c5eb-8c03-4afe</t>
  </si>
  <si>
    <t>Casa en alquiler en Ur. Jacaranda</t>
  </si>
  <si>
    <t>https://www.properati.com.pe/detalle/14032-32-80ac-4eb48396460d-83674852-92aa-425a</t>
  </si>
  <si>
    <t>https://www.properati.com.pe/detalle/14032-32-c59e-6af57e34eca1-18053513-8ad0-4d02</t>
  </si>
  <si>
    <t>https://www.properati.com.pe/detalle/14032-32-85a7-b3c861d3a2b7-927fe6c4-bf75-4f73</t>
  </si>
  <si>
    <t>Apartamento en alquiler en Ur. San Isidro</t>
  </si>
  <si>
    <t>https://www.properati.com.pe/detalle/14032-32-eaa9-823454b5b116-af290f4c-bd52-417a</t>
  </si>
  <si>
    <t>Casa en alquiler en Sachaca</t>
  </si>
  <si>
    <t>https://www.properati.com.pe/detalle/14032-32-6ce4-77955d857a53-b473c850-a9e9-120d</t>
  </si>
  <si>
    <t>Casa en alquiler en Ur. Valle Hermoso Este</t>
  </si>
  <si>
    <t>https://www.properati.com.pe/detalle/14032-32-646a-7cf8e73d21d3-87a59781-af76-4e28</t>
  </si>
  <si>
    <t>https://www.properati.com.pe/detalle/14032-32-ba40-e43e7527e994-decba1fd-9a35-456b</t>
  </si>
  <si>
    <t>https://www.properati.com.pe/detalle/14032-32-1abc-d574af44a7b-471bcff5-ae70-4ef2</t>
  </si>
  <si>
    <t>https://www.properati.com.pe/detalle/14032-32-5f34-2cb9cb9de99-94233060-b7d5-4099</t>
  </si>
  <si>
    <t>https://www.properati.com.pe/detalle/14032-32-dc8e-bd09dfbec13e-9117ab38-b075-46cd</t>
  </si>
  <si>
    <t>Apartamento en alquiler en Punta Negra</t>
  </si>
  <si>
    <t>https://www.properati.com.pe/detalle/14032-32-5d84-d91f4423ebfc-a989bf0f-9fd2-4253</t>
  </si>
  <si>
    <t>Apartamento en alquiler en Ur. Santa Ines</t>
  </si>
  <si>
    <t>https://www.properati.com.pe/detalle/14032-32-b545-bde684e638e9-6c4ce74a-a458-4739</t>
  </si>
  <si>
    <t>Apartamento en alquiler en Ur. San Cesar Etapa I</t>
  </si>
  <si>
    <t>https://www.properati.com.pe/detalle/14032-32-2be3-e5d8b3e62770-4f45264-b50c-4b0d</t>
  </si>
  <si>
    <t>https://www.properati.com.pe/detalle/14032-32-8a7c-1c11ba48cc18-81dd7f90-89f5-44fe</t>
  </si>
  <si>
    <t>Casa de playa en alquiler en Hu. Rivera Norte</t>
  </si>
  <si>
    <t>Casa de playa</t>
  </si>
  <si>
    <t>https://www.properati.com.pe/detalle/14032-32-8b71-27fc0d1436f-51e09056-8231-455d</t>
  </si>
  <si>
    <t>Apartamento en alquiler en Ur. Maranga Etapa Iv</t>
  </si>
  <si>
    <t>https://www.properati.com.pe/detalle/14032-32-fec7-9bcda504b860-944b4897-bcae-5003</t>
  </si>
  <si>
    <t>https://www.properati.com.pe/detalle/14032-32-50b6-4e78439653be-f09d925c-af70-4691</t>
  </si>
  <si>
    <t>Apartamento en alquiler en Rimac</t>
  </si>
  <si>
    <t>https://www.properati.com.pe/detalle/14032-32-fb76-a9840a852a2a-d1910a47-b5b1-49b1</t>
  </si>
  <si>
    <t>Apartamento en alquiler en Ur. El Derby</t>
  </si>
  <si>
    <t>https://www.properati.com.pe/detalle/14032-32-b0df-4e5bf22aefba-328c3f30-a1bc-4482</t>
  </si>
  <si>
    <t>Casa en alquiler en Ur. San Joaquin</t>
  </si>
  <si>
    <t>https://www.properati.com.pe/detalle/14032-32-9913-ebc519e8200c-42b07e14-b5a0-4855</t>
  </si>
  <si>
    <t>https://www.properati.com.pe/detalle/14032-32-2732-1baec3acc30a-4a16d6cb-a582-4075</t>
  </si>
  <si>
    <t>https://www.properati.com.pe/detalle/14032-32-5e28-996bb85253b2-886857fc-8eac-4d5c</t>
  </si>
  <si>
    <t>Apartamento en alquiler en La Victoria</t>
  </si>
  <si>
    <t>https://www.properati.com.pe/detalle/14032-32-6931-53ad62bdd577-a65639bd-bd32-3c00</t>
  </si>
  <si>
    <t>https://www.properati.com.pe/detalle/14032-32-c05b-ea14df1cbf88-fa28c150-a74f-3b1c</t>
  </si>
  <si>
    <t>https://www.properati.com.pe/detalle/14032-32-662b-cc5836dea45b-43710f55-b421-3aa3</t>
  </si>
  <si>
    <t>Apartamento en alquiler en Cerro Colorado</t>
  </si>
  <si>
    <t>https://www.properati.com.pe/detalle/14032-32-83dc-3eff7823112-b283b2eb-b102-3838</t>
  </si>
  <si>
    <t>Apartamento en alquiler en Ur. Oyague</t>
  </si>
  <si>
    <t>https://www.properati.com.pe/detalle/14032-32-c90c-655c1dbb7f80-b7bb4464-8f82-3e82</t>
  </si>
  <si>
    <t>https://www.properati.com.pe/detalle/14032-32-3f2b-e6bcc73bc11b-333b93b-bddb-3f78</t>
  </si>
  <si>
    <t>https://www.properati.com.pe/detalle/14032-32-1cbe-bc6010987191-2cfde5d3-83da-4d65</t>
  </si>
  <si>
    <t>https://www.properati.com.pe/detalle/14032-32-6e07-f27f9f70a6ed-1eb11940-926c-40a6</t>
  </si>
  <si>
    <t>Apartamento en alquiler en Santa Cruz</t>
  </si>
  <si>
    <t>https://www.properati.com.pe/detalle/14032-32-3291-5153393fa53c-87c1d546-badf-43d6</t>
  </si>
  <si>
    <t>Apartamento en alquiler en Ur. Maranga Etapa Iii</t>
  </si>
  <si>
    <t>https://www.properati.com.pe/detalle/14032-32-7b7d-dad5ccf57619-761be31b-bc96-501e</t>
  </si>
  <si>
    <t>https://www.properati.com.pe/detalle/14032-32-94e4-7400017644e-fc22b402-9a0f-45d8</t>
  </si>
  <si>
    <t>Casa en alquiler en Santa Cruz de Flores</t>
  </si>
  <si>
    <t>https://www.properati.com.pe/detalle/14032-32-d998-c7bcf6ab6cda-ea662900-b0f7-120d</t>
  </si>
  <si>
    <t>https://www.properati.com.pe/detalle/14032-32-13bc-c9853a53d7e2-d25f18e2-88e3-459f</t>
  </si>
  <si>
    <t>https://www.properati.com.pe/detalle/14032-32-6962-21062d9166b3-8e1616a-8086-4dfa</t>
  </si>
  <si>
    <t>Apartamento en alquiler en Ur. S/N</t>
  </si>
  <si>
    <t>https://www.properati.com.pe/detalle/14032-32-551b-37dc49682ef8-778e8f6c-aace-4125</t>
  </si>
  <si>
    <t>https://www.properati.com.pe/detalle/14032-32-fb6d-6bed5cfd8b41-643a90cd-b846-4cf9</t>
  </si>
  <si>
    <t>Apartamento en alquiler en San Felipe</t>
  </si>
  <si>
    <t>https://www.properati.com.pe/detalle/14032-32-63fa-d75a9032dfc7-a172e92c-aaf7-4bf0</t>
  </si>
  <si>
    <t>https://www.properati.com.pe/detalle/14032-32-6042-bc6cca06fe11-593f02bc-9a61-4aaa</t>
  </si>
  <si>
    <t>https://www.properati.com.pe/detalle/14032-32-878b-543a5f2e66a8-e680c195-9e6d-4d2e</t>
  </si>
  <si>
    <t>Casa en alquiler en Ur. Primavera</t>
  </si>
  <si>
    <t>https://www.properati.com.pe/detalle/14032-32-e988-671b51ad0d05-9a46bf51-869a-43ec</t>
  </si>
  <si>
    <t>https://www.properati.com.pe/detalle/14032-32-e8aa-767e44a2b490-46e93fcf-8ac2-40a5</t>
  </si>
  <si>
    <t>https://www.properati.com.pe/detalle/14032-32-962d-5e2b343e7355-c47abfb6-8d82-48f2</t>
  </si>
  <si>
    <t>Apartamento en alquiler en Ag. La Paz</t>
  </si>
  <si>
    <t>https://www.properati.com.pe/detalle/14032-32-9b78-4d8496242ca6-238a58f0-91c6-120d</t>
  </si>
  <si>
    <t>Apartamento en alquiler en Ur. Santa Felicia</t>
  </si>
  <si>
    <t>https://www.properati.com.pe/detalle/14032-32-efa4-529b60903d51-866e4439-89b1-47e1</t>
  </si>
  <si>
    <t>Apartamento en alquiler en Ur. Country Club</t>
  </si>
  <si>
    <t>https://www.properati.com.pe/detalle/14032-32-26e2-9685fe1d507-50c99715-8f45-4a3a</t>
  </si>
  <si>
    <t>https://www.properati.com.pe/detalle/14032-32-4e2c-857814eee6df-7636074d-a6c9-4c25</t>
  </si>
  <si>
    <t>https://www.properati.com.pe/detalle/14032-32-270c-6dc4531ddd70-9a3f5ddd-9c03-4911</t>
  </si>
  <si>
    <t>https://www.properati.com.pe/detalle/14032-32-d8c9-2d992ccedc6d-5b23d140-9325-120d</t>
  </si>
  <si>
    <t>https://www.properati.com.pe/detalle/14032-32-c51f-a36b6aa39cd0-71b734f0-8268-120d</t>
  </si>
  <si>
    <t>https://www.properati.com.pe/detalle/14032-32-cff4-f8a8bcb1496-eaa27506-997f-4779</t>
  </si>
  <si>
    <t>https://www.properati.com.pe/detalle/14032-32-d876-956870f986d-749b1140-b7c6-120d</t>
  </si>
  <si>
    <t>https://www.properati.com.pe/detalle/14032-32-92eb-f4b5e4678034-462f0435-9df1-4991</t>
  </si>
  <si>
    <t>https://www.properati.com.pe/detalle/14032-32-6e35-199e778ba6e5-f8389640-a96f-120d</t>
  </si>
  <si>
    <t>Apartamento en alquiler en Ah. Los Jazmines Del Naranjal</t>
  </si>
  <si>
    <t>https://www.properati.com.pe/detalle/14032-32-76e9-7951952c197e-33cf760b-b051-4f61</t>
  </si>
  <si>
    <t>Apartamento en alquiler en Ur. Parque Internacional De Industria Y Comercio</t>
  </si>
  <si>
    <t>https://www.properati.com.pe/detalle/14032-32-f0f0-8ef8e7028479-7b4822ab-aa60-4ca3</t>
  </si>
  <si>
    <t>Casa en alquiler en Ur. Rinconada Del Lago Etapa Ii</t>
  </si>
  <si>
    <t>https://www.properati.com.pe/detalle/14032-32-bfc6-5b3df02cb5a7-78d12914-8d1d-4f96</t>
  </si>
  <si>
    <t>Apartamento en alquiler en Ur. Cahuache</t>
  </si>
  <si>
    <t>https://www.properati.com.pe/detalle/14032-32-a1b5-12c4a40e664e-3218e785-9bee-4200</t>
  </si>
  <si>
    <t>https://www.properati.com.pe/detalle/14032-32-6a3a-4fcbd024845f-93c5c692-8ab1-42b9</t>
  </si>
  <si>
    <t>Apartamento en alquiler en Ur. Los Cedros De Villa Etapa Viii</t>
  </si>
  <si>
    <t>https://www.properati.com.pe/detalle/14032-32-cdcc-87e6a8297e90-f2c2e020-b445-120d</t>
  </si>
  <si>
    <t>Apartamento en alquiler en Urb Residencial Valle Hermoso</t>
  </si>
  <si>
    <t>https://www.properati.com.pe/detalle/14032-32-f4f7-f3e6e8f8e37d-6e4e10e7-9cc2-4705</t>
  </si>
  <si>
    <t>https://www.properati.com.pe/detalle/14032-32-3bb6-7a09abeac4ff-88a1c0b7-8a42-4879</t>
  </si>
  <si>
    <t>https://www.properati.com.pe/detalle/14032-32-27a2-5ef3eb2766e9-c9c23a68-a285-4e75</t>
  </si>
  <si>
    <t>https://www.properati.com.pe/detalle/14032-32-d55-7a7b6caaf43f-5fa1f3-b072-3f99</t>
  </si>
  <si>
    <t>https://www.properati.com.pe/detalle/14032-32-3e0-f282faf7e3e6-a827f502-a0bc-47ed</t>
  </si>
  <si>
    <t>Apartamento en alquiler en Urb la Calera de Monterrico</t>
  </si>
  <si>
    <t>https://www.properati.com.pe/detalle/14032-32-4781-5d297dd7c76b-9f3b4f46-bef8-40d0</t>
  </si>
  <si>
    <t>Apartamento en alquiler en Ur. Las Magnolias</t>
  </si>
  <si>
    <t>https://www.properati.com.pe/detalle/14032-32-5ac9-df17a65a74dd-a1659662-81d1-45ce</t>
  </si>
  <si>
    <t>https://www.properati.com.pe/detalle/14032-32-464e-3071bca72ba0-87c879a6-bbb1-4765</t>
  </si>
  <si>
    <t>https://www.properati.com.pe/detalle/14032-32-c93c-917e2b394e7a-21bb31e3-8195-4a40</t>
  </si>
  <si>
    <t>https://www.properati.com.pe/detalle/14032-32-a84e-e69a3681355c-ae4ac21f-9cdf-402c</t>
  </si>
  <si>
    <t>https://www.properati.com.pe/detalle/14032-32-3e86-e94212b918fe-f7459d85-b549-4d36</t>
  </si>
  <si>
    <t>https://www.properati.com.pe/detalle/14032-32-861e-51ebd3d4560e-8d3e0474-b66d-4ee1</t>
  </si>
  <si>
    <t>Apartamento en alquiler en Ah. Nuevo Lurin Iv Etapa</t>
  </si>
  <si>
    <t>https://www.properati.com.pe/detalle/14032-32-6767-e5e67f175a22-96e2af59-9b32-4b79</t>
  </si>
  <si>
    <t>Casa en alquiler en Ur. Nuevo Chorrillos</t>
  </si>
  <si>
    <t>https://www.properati.com.pe/detalle/14032-32-9f2a-bfa8a1182dfe-fab2e7c5-b787-4456</t>
  </si>
  <si>
    <t>Apartamento en alquiler en Ah. Nuevo Lurin I Etapa</t>
  </si>
  <si>
    <t>https://www.properati.com.pe/detalle/14032-32-f0dc-8eaf1cb4d43c-e0c06e61-a0b0-45c5</t>
  </si>
  <si>
    <t>Apartamento en alquiler en Ur. Valle Hermoso Residencial (San Demetrio De Monterrico)</t>
  </si>
  <si>
    <t>https://www.properati.com.pe/detalle/14032-32-c7ad-b92d111f57b6-86d567db-ba6b-4469</t>
  </si>
  <si>
    <t>https://www.properati.com.pe/detalle/14032-32-982a-5446ecb84376-9ad63248-8fae-413b</t>
  </si>
  <si>
    <t>https://www.properati.com.pe/detalle/14032-32-d42a-33cfa9e4777b-e68216a0-9712-120d</t>
  </si>
  <si>
    <t>Apartamento en alquiler en Ur. La Capilla (U-3)</t>
  </si>
  <si>
    <t>https://www.properati.com.pe/detalle/14032-32-8aed-86338fe224e1-1cbf6b5f-b767-429f</t>
  </si>
  <si>
    <t>https://www.properati.com.pe/detalle/14032-32-f27e-4836530bc66d-1f639ca3-a015-4ba6</t>
  </si>
  <si>
    <t>Apartamento en alquiler en Urb la ViÃ±ita</t>
  </si>
  <si>
    <t>https://www.properati.com.pe/detalle/14032-32-5809-6a4dc00e2f75-5912a42f-bab1-44c4</t>
  </si>
  <si>
    <t>https://www.properati.com.pe/detalle/14032-32-4df8-ddec11b0518c-45d904af-b781-4971</t>
  </si>
  <si>
    <t>Casa en alquiler en Ur. America</t>
  </si>
  <si>
    <t>https://www.properati.com.pe/detalle/14032-32-4fe0-f7d0d0c988b4-50c08739-a685-47f1</t>
  </si>
  <si>
    <t>Apartamento en alquiler en As. Apu</t>
  </si>
  <si>
    <t>https://www.properati.com.pe/detalle/14032-32-1133-1b646ba89264-a1ad34db-81f6-43da</t>
  </si>
  <si>
    <t>Apartamento en alquiler en Ur. Mariscal Castilla</t>
  </si>
  <si>
    <t>https://www.properati.com.pe/detalle/14032-32-8af7-1cdb06d9c0f3-b3b3d36-af41-42b8</t>
  </si>
  <si>
    <t>https://www.properati.com.pe/detalle/14032-32-87a2-4e50213a8b02-5466f069-84ea-4f8a</t>
  </si>
  <si>
    <t>Apartamento en alquiler en Ur. Villa Jardin</t>
  </si>
  <si>
    <t>https://www.properati.com.pe/detalle/14032-32-7610-879441525815-991b6bb0-b39c-4c43</t>
  </si>
  <si>
    <t>https://www.properati.com.pe/detalle/14032-32-a797-f9bd39e02be4-bace4340-98a9-120d</t>
  </si>
  <si>
    <t>https://www.properati.com.pe/detalle/14032-32-99ef-15950a9156f9-dd4b40b7-be45-4356</t>
  </si>
  <si>
    <t>https://www.properati.com.pe/detalle/14032-32-63b8-83193a53f23d-cfc11f56-b09a-4599</t>
  </si>
  <si>
    <t>Apartamento en alquiler en Bellavista</t>
  </si>
  <si>
    <t>https://www.properati.com.pe/detalle/14032-32-e3ff-4f3da0620725-770adc6b-b9e7-4e00</t>
  </si>
  <si>
    <t>Casa en alquiler en Ah. Los Perales</t>
  </si>
  <si>
    <t>https://www.properati.com.pe/detalle/14032-32-9dc1-9277ce03e2f7-357138d8-af3d-4084</t>
  </si>
  <si>
    <t>Casa de playa en alquiler en Lurin</t>
  </si>
  <si>
    <t>https://www.properati.com.pe/detalle/14032-32-fad6-1b3e1bbd6de6-6ecb41a1-b67d-43bd</t>
  </si>
  <si>
    <t>Apartamento en alquiler en Pj. Tomasa Tito Condemayta</t>
  </si>
  <si>
    <t>https://www.properati.com.pe/detalle/14032-32-d450-675226aa0892-2b3166f0-a35d-120d</t>
  </si>
  <si>
    <t>https://www.properati.com.pe/detalle/14032-32-14e9-cafb0bf6f567-95e32e30-b236-4ca6</t>
  </si>
  <si>
    <t>https://www.properati.com.pe/detalle/14032-32-23a8-8a7646cd4d2a-a804ec2c-a774-4dba</t>
  </si>
  <si>
    <t>https://www.properati.com.pe/detalle/14032-32-aa31-a4c4f016ec7d-97ceb562-863a-48b1</t>
  </si>
  <si>
    <t>https://www.properati.com.pe/detalle/14032-32-5916-d8c55f663eae-17eabd7e-81f7-4bf6</t>
  </si>
  <si>
    <t>https://www.properati.com.pe/detalle/14032-32-6316-2cd24a1f1f6f-223f1ab-88df-4da6</t>
  </si>
  <si>
    <t>https://www.properati.com.pe/detalle/14032-32-2ff-af96e6125dc7-acbb3d09-95d9-419d</t>
  </si>
  <si>
    <t>https://www.properati.com.pe/detalle/14032-32-2d6b-e4496cf1cfb0-fa8e6a23-b436-4c70</t>
  </si>
  <si>
    <t>https://www.properati.com.pe/detalle/14032-32-ef00-eb2bc763034e-f11679a9-abab-4248</t>
  </si>
  <si>
    <t>https://www.properati.com.pe/detalle/14032-32-5c1c-8e19b1cba6be-f1049f36-84db-420b</t>
  </si>
  <si>
    <t>Apartamento en alquiler en As. Los Rosales</t>
  </si>
  <si>
    <t>https://www.properati.com.pe/detalle/14032-32-b2dc-5d463da1e347-bd44e712-a320-420e</t>
  </si>
  <si>
    <t>https://www.properati.com.pe/detalle/14032-32-d5c4-7d4880c48aa7-86651e20-854b-120d</t>
  </si>
  <si>
    <t>https://www.properati.com.pe/detalle/14032-32-d329-d2bbf9c8f8a1-8f28ff42-b27a-458b</t>
  </si>
  <si>
    <t>https://www.properati.com.pe/detalle/14032-32-4e83-9c6105d70f23-c445dd71-8442-4449</t>
  </si>
  <si>
    <t>Apartamento en alquiler en Ur. Maranga Etapa V</t>
  </si>
  <si>
    <t>https://www.properati.com.pe/detalle/14032-32-4d9c-1a33d8ba03e6-c27e9f19-831b-42d7</t>
  </si>
  <si>
    <t>https://www.properati.com.pe/detalle/14032-32-6b9e-6d907aca1971-dde10f21-a2d4-4ab5</t>
  </si>
  <si>
    <t>https://www.properati.com.pe/detalle/14032-32-3659-cdabd5a73b16-aa1645e4-b6be-42d4</t>
  </si>
  <si>
    <t>https://www.properati.com.pe/detalle/14032-32-d913-94ae49df9d8a-30b10197-8a9b-498f</t>
  </si>
  <si>
    <t>https://www.properati.com.pe/detalle/14032-32-5fba-1ed6e7cb31f5-4c9a32a1-9c51-4215</t>
  </si>
  <si>
    <t>Apartamento en alquiler en Ur. Javier Prado (Cahuache)</t>
  </si>
  <si>
    <t>https://www.properati.com.pe/detalle/14032-32-75b-7adb20ef03e9-137e3cd3-8ad9-46a0</t>
  </si>
  <si>
    <t>https://www.properati.com.pe/detalle/14032-32-c2ac-e0970ba1a14-259df03a-bea4-4bf6</t>
  </si>
  <si>
    <t>Casa en alquiler en San Bartolo</t>
  </si>
  <si>
    <t>https://www.properati.com.pe/detalle/14032-32-346a-49a2c279b599-1278fedf-a6b5-4147</t>
  </si>
  <si>
    <t>https://www.properati.com.pe/detalle/14032-32-5a3c-28ce484939ca-5053660d-a709-4fce</t>
  </si>
  <si>
    <t>https://www.properati.com.pe/detalle/14032-32-32f9-7565c00a91f5-a8d9545c-8157-38a8</t>
  </si>
  <si>
    <t>https://www.properati.com.pe/detalle/14032-32-3e30-3a2831e7de31-6a2242a7-a6e0-4b38</t>
  </si>
  <si>
    <t>Apartamento en alquiler en Ba. Del Medico</t>
  </si>
  <si>
    <t>https://www.properati.com.pe/detalle/14032-32-36b0-635bd058d5d-71a43e0d-bd4d-46eb</t>
  </si>
  <si>
    <t>https://www.properati.com.pe/detalle/14032-32-986b-c268aadca15b-8b54110b-8645-44b0</t>
  </si>
  <si>
    <t>https://www.properati.com.pe/detalle/14032-32-5610-84a3ea723047-cd8c1d58-ac42-4d7a</t>
  </si>
  <si>
    <t>https://www.properati.com.pe/detalle/14032-32-e38-edf848e8f79f-2df19a7-a1eb-4303</t>
  </si>
  <si>
    <t>Casa en alquiler en San Borja</t>
  </si>
  <si>
    <t>https://www.properati.com.pe/detalle/14032-32-9dd0-ba9e04e28cb4-c6c644b8-ab9b-4f45</t>
  </si>
  <si>
    <t>https://www.properati.com.pe/detalle/14032-32-6d1a-4f2a631e9425-ebd247d9-bbc3-408a</t>
  </si>
  <si>
    <t>Casa en alquiler en Punta Hermosa</t>
  </si>
  <si>
    <t>https://www.properati.com.pe/detalle/14032-32-d59d-a75386f29790-53c17b92-a69a-4173</t>
  </si>
  <si>
    <t>Apartamento en alquiler en Ur. El Rosal</t>
  </si>
  <si>
    <t>https://www.properati.com.pe/detalle/14032-32-a40b-8be85815d288-986a51c0-9e22-120d</t>
  </si>
  <si>
    <t>https://www.properati.com.pe/detalle/14032-32-d4f0-15ecaaf9dade-9e3605c0-aa0e-120d</t>
  </si>
  <si>
    <t>https://www.properati.com.pe/detalle/14032-32-509d-191e0ca9c86f-83438c79-bc63-4ffc</t>
  </si>
  <si>
    <t>https://www.properati.com.pe/detalle/14032-32-195a-5e02d83a21b-989fca48-9fa2-47d9</t>
  </si>
  <si>
    <t>https://www.properati.com.pe/detalle/14032-32-155-c4a4df80c6f7-c9633850-a6ef-4800</t>
  </si>
  <si>
    <t>Apartamento en alquiler en Ur. San Juan Sector A</t>
  </si>
  <si>
    <t>https://www.properati.com.pe/detalle/14032-32-d4cd-4b2e66054c72-b4183750-a599-120d</t>
  </si>
  <si>
    <t>https://www.properati.com.pe/detalle/14032-32-d4c3-9fea81837217-a51de150-99e7-120d</t>
  </si>
  <si>
    <t>https://www.properati.com.pe/detalle/14032-32-1c87-391426fddf66-e9c9d2ce-af70-4c3e</t>
  </si>
  <si>
    <t>https://www.properati.com.pe/detalle/14032-32-fc6f-65a3aade433-608d0dca-8d68-4482</t>
  </si>
  <si>
    <t>Apartamento en alquiler en Zona 7-B</t>
  </si>
  <si>
    <t>https://www.properati.com.pe/detalle/14032-32-85b4-a0b1767245a2-14132992-b702-3cec</t>
  </si>
  <si>
    <t>Apartamento en alquiler en Ur. Tambo De Monterrico</t>
  </si>
  <si>
    <t>https://www.properati.com.pe/detalle/14032-32-641a-fba22f787c53-69bad766-baf1-3c3f</t>
  </si>
  <si>
    <t>Apartamento en alquiler en El Palomar</t>
  </si>
  <si>
    <t>https://www.properati.com.pe/detalle/14032-32-f7c2-a57c99e2d64e-622ca061-9c0b-42a7</t>
  </si>
  <si>
    <t>Apartamento en alquiler en Chacra Rios Sur</t>
  </si>
  <si>
    <t>https://www.properati.com.pe/detalle/14032-32-b444-8eca2654c3ff-d9f25185-84d4-4de1</t>
  </si>
  <si>
    <t>HabitaciÃ³n en alquiler en Ur. Los Cedros De Villa Etapa I</t>
  </si>
  <si>
    <t>https://www.properati.com.pe/detalle/14032-32-5336-67e32e639926-5a384685-aabc-434b</t>
  </si>
  <si>
    <t>https://www.properati.com.pe/detalle/14032-32-58e8-8cc1e1f50e9d-d125f49d-bb7b-408f</t>
  </si>
  <si>
    <t>https://www.properati.com.pe/detalle/14032-32-51b1-f3e266034274-af578030-9357-4bf3</t>
  </si>
  <si>
    <t>https://www.properati.com.pe/detalle/14032-32-f196-96855865fc61-4020a42-bfab-4e6a</t>
  </si>
  <si>
    <t>https://www.properati.com.pe/detalle/14032-32-731-5f35de0e2628-80c49181-bf59-4340</t>
  </si>
  <si>
    <t>Apartamento en alquiler en Ur. Linda Vista De Monterrico</t>
  </si>
  <si>
    <t>https://www.properati.com.pe/detalle/14032-32-7bc6-406b3624b095-145738c6-8a69-4734</t>
  </si>
  <si>
    <t>Apartamento en alquiler en Ur. Miramar</t>
  </si>
  <si>
    <t>https://www.properati.com.pe/detalle/14032-32-b3f7-675b2c763b9c-54315af8-bbf7-4a61</t>
  </si>
  <si>
    <t>https://www.properati.com.pe/detalle/14032-32-d249-7a1a26a0ce25-241e1fc8-9492-454b</t>
  </si>
  <si>
    <t>https://www.properati.com.pe/detalle/14032-32-e719-ee35f6e1123b-d2e68ab7-a24e-4a1e</t>
  </si>
  <si>
    <t>https://www.properati.com.pe/detalle/14032-32-3a25-cef39a06585d-9fa08e1-b59b-4c01</t>
  </si>
  <si>
    <t>Apartamento en alquiler en Petit Jean OcharÃ¡n</t>
  </si>
  <si>
    <t>https://www.properati.com.pe/detalle/14032-32-62f1-a3c63539229c-b372b85e-be6e-417c</t>
  </si>
  <si>
    <t>https://www.properati.com.pe/detalle/14032-32-e72e-2607a9c3e82e-4d9ce001-ab48-441c</t>
  </si>
  <si>
    <t>https://www.properati.com.pe/detalle/14032-32-2a7f-9bc5c87ff5fe-e01662f0-b74a-4715</t>
  </si>
  <si>
    <t>https://www.properati.com.pe/detalle/14032-32-e251-9d220862bd7c-fc68db45-a772-3df6</t>
  </si>
  <si>
    <t>Apartamento en alquiler en Lurigancho</t>
  </si>
  <si>
    <t>https://www.properati.com.pe/detalle/14032-32-d3cf-8f9aff4ff713-4601f7bf-a69a-4508</t>
  </si>
  <si>
    <t>https://www.properati.com.pe/detalle/14032-32-21a-266fd34a1a6b-988b1322-b798-47a5</t>
  </si>
  <si>
    <t>Apartamento en alquiler en Ur. Avitentel (Entel Peru)</t>
  </si>
  <si>
    <t>https://www.properati.com.pe/detalle/14032-32-f68b-e147f5ba34b5-f8dc033-9ac9-44a5</t>
  </si>
  <si>
    <t>https://www.properati.com.pe/detalle/14032-32-d538-7ac0f7c8d12e-6c09cebd-bd50-42ee</t>
  </si>
  <si>
    <t>https://www.properati.com.pe/detalle/14032-32-56fa-ce620b302ade-f87722fc-8f54-43a3</t>
  </si>
  <si>
    <t>Apartamento en alquiler en El Bosque</t>
  </si>
  <si>
    <t>https://www.properati.com.pe/detalle/14032-32-d329-9720269d9d1b-c44647c0-a480-120d</t>
  </si>
  <si>
    <t>https://www.properati.com.pe/detalle/14032-32-b2f7-d3c31cf124d9-5b16b160-9cde-120d</t>
  </si>
  <si>
    <t>https://www.properati.com.pe/detalle/14032-32-68b5-dbadf2d5bda6-f35fda06-b7c6-4ef5</t>
  </si>
  <si>
    <t>https://www.properati.com.pe/detalle/14032-32-ce43-57dcdd91750c-da29dae9-8d0f-4bb2</t>
  </si>
  <si>
    <t>https://www.properati.com.pe/detalle/14032-32-44b4-3da1faf56803-7a60d7e3-b7f0-4ed4</t>
  </si>
  <si>
    <t>https://www.properati.com.pe/detalle/14032-32-57c0-c9eb6ea28ffc-f9ab3854-8274-4b26</t>
  </si>
  <si>
    <t>https://www.properati.com.pe/detalle/14032-32-2bc6-fc3f3e5d3608-c891cf7e-be22-46fd</t>
  </si>
  <si>
    <t>https://www.properati.com.pe/detalle/14032-32-d24c-577331d3d019-5765b10-b702-120d</t>
  </si>
  <si>
    <t>https://www.properati.com.pe/detalle/14032-32-ec2b-7226305eb72e-466af862-9d35-42eb</t>
  </si>
  <si>
    <t>https://www.properati.com.pe/detalle/14032-32-139c-2a2d5f092748-cab56c2-83db-4448</t>
  </si>
  <si>
    <t>https://www.properati.com.pe/detalle/14032-32-c7d0-8d134af667ba-b6392442-a7c0-49bb</t>
  </si>
  <si>
    <t>Apartamento en alquiler en Ur. Los Portales De Javier Prado Etapa Ii</t>
  </si>
  <si>
    <t>https://www.properati.com.pe/detalle/14032-32-8cfc-29688a9003d5-38481e03-83a9-467a</t>
  </si>
  <si>
    <t>https://www.properati.com.pe/detalle/14032-32-de63-da2e8f822c52-c0aa7dd-9b21-4493</t>
  </si>
  <si>
    <t>https://www.properati.com.pe/detalle/14032-32-ee91-335980a8e24-1fca9418-b493-4451</t>
  </si>
  <si>
    <t>Casa en alquiler en Cayma</t>
  </si>
  <si>
    <t>https://www.properati.com.pe/detalle/14032-32-ed26-1cfb47a90dbc-aafc5ac7-aaa5-4039</t>
  </si>
  <si>
    <t>Apartamento en alquiler en Ur. San Ignacio</t>
  </si>
  <si>
    <t>https://www.properati.com.pe/detalle/14032-32-8a56-2a3ee9d4f543-1623684-a8aa-483b</t>
  </si>
  <si>
    <t>https://www.properati.com.pe/detalle/14032-32-c793-fafebc9ce007-364d074d-bfb2-4771</t>
  </si>
  <si>
    <t>https://www.properati.com.pe/detalle/14032-32-ed82-251856ecc93f-bc9f57dc-b5fb-4bb6</t>
  </si>
  <si>
    <t>https://www.properati.com.pe/detalle/14032-32-1379-8cc36064c339-c803db59-afd9-4d66</t>
  </si>
  <si>
    <t>https://www.properati.com.pe/detalle/14032-32-d8b6-6c80332ca53b-2894374f-8b56-43c9</t>
  </si>
  <si>
    <t>https://www.properati.com.pe/detalle/14032-32-af28-75ef1c134d6a-a212bb75-ab02-482b</t>
  </si>
  <si>
    <t>https://www.properati.com.pe/detalle/14032-32-7f93-9f3fa2423513-b796518b-9c2e-4f57</t>
  </si>
  <si>
    <t>Casa de playa en alquiler en Punta Hermosa</t>
  </si>
  <si>
    <t>https://www.properati.com.pe/detalle/14032-32-474c-15f2b335e3af-cf7e02f0-84bf-43bf</t>
  </si>
  <si>
    <t>Apartamento en alquiler en Hu. Ex Fundo Monterrico Chico Parcela 2 (San Idelfonso Del Vivero)</t>
  </si>
  <si>
    <t>https://www.properati.com.pe/detalle/14032-32-d458-f5b9c85f260a-797bd2c7-a879-4f48</t>
  </si>
  <si>
    <t>https://www.properati.com.pe/detalle/14032-32-d295-c18bd8bc6275-ebcbc520-951d-120d</t>
  </si>
  <si>
    <t>https://www.properati.com.pe/detalle/14032-32-1952-58223c36a5cc-852c91d5-a1a1-46e3</t>
  </si>
  <si>
    <t>https://www.properati.com.pe/detalle/14032-32-ad4b-7e53f1ac5b00-b00abff-8829-40b4</t>
  </si>
  <si>
    <t>https://www.properati.com.pe/detalle/14032-32-c44b-815467a519b3-785d63be-8457-40ce</t>
  </si>
  <si>
    <t>https://www.properati.com.pe/detalle/14032-32-cdde-691d178457ed-57fb2310-8768-120d</t>
  </si>
  <si>
    <t>https://www.properati.com.pe/detalle/14032-32-da3a-b792384f7649-b778adf0-a3e1-4c1e</t>
  </si>
  <si>
    <t>Apartamento en alquiler en Ur. Corpac</t>
  </si>
  <si>
    <t>https://www.properati.com.pe/detalle/14032-32-4849-32aa1e4190c7-32bda875-9ab9-4e4b</t>
  </si>
  <si>
    <t>https://www.properati.com.pe/detalle/14032-32-b843-af9eb64aaff0-fe810b82-8c8c-4c81</t>
  </si>
  <si>
    <t>Apartamento en alquiler en Urb SeÃ±orial</t>
  </si>
  <si>
    <t>https://www.properati.com.pe/detalle/14032-32-b2c0-9b6984ee2e40-36e9b35d-b153-489e</t>
  </si>
  <si>
    <t>Casa en alquiler en Ur. El Palomar</t>
  </si>
  <si>
    <t>https://www.properati.com.pe/detalle/14032-32-9430-c786f9b5843e-f3a8a0b8-bab0-48b7</t>
  </si>
  <si>
    <t>https://www.properati.com.pe/detalle/14032-32-d888-54606aac676f-72bdbc14-80f1-4b15</t>
  </si>
  <si>
    <t>https://www.properati.com.pe/detalle/14032-32-68d0-384e2e5eb19e-33b6ee76-8387-4057</t>
  </si>
  <si>
    <t>https://www.properati.com.pe/detalle/14032-32-3a64-1e7b4763a5e9-bd8c307f-9378-4956</t>
  </si>
  <si>
    <t>Apartamento en alquiler en Magdalena del Mar</t>
  </si>
  <si>
    <t>https://www.properati.com.pe/detalle/14032-32-d11f-d79deca05055-5c3e0660-b6d7-120d</t>
  </si>
  <si>
    <t>Apartamento en alquiler en Ur. Aurora Este</t>
  </si>
  <si>
    <t>https://www.properati.com.pe/detalle/14032-32-5850-34c14bf9f410-493c716b-8eb2-44eb</t>
  </si>
  <si>
    <t>https://www.properati.com.pe/detalle/14032-32-c4e3-b9f848e679e8-943cc210-b912-120d</t>
  </si>
  <si>
    <t>Apartamento en alquiler en Ur. La Huaca</t>
  </si>
  <si>
    <t>https://www.properati.com.pe/detalle/14032-32-6bcf-93d99a37b746-63d1e045-9b01-45ed</t>
  </si>
  <si>
    <t>https://www.properati.com.pe/detalle/14032-32-6fa7-ed0c1bbf0376-af106a10-a579-120d</t>
  </si>
  <si>
    <t>Apartamento en alquiler en Ur. La Calera De Monterrico</t>
  </si>
  <si>
    <t>https://www.properati.com.pe/detalle/14032-32-220f-d57c5144bc45-764adc8c-9b53-4dd0</t>
  </si>
  <si>
    <t>https://www.properati.com.pe/detalle/14032-32-74e1-e57052d8a79a-5a150a61-96b9-3c01</t>
  </si>
  <si>
    <t>Casa en alquiler en Sd. Aeropuerto De Collique</t>
  </si>
  <si>
    <t>https://www.properati.com.pe/detalle/14032-32-bbd9-7db7ccf0d756-b533fb40-941e-120d</t>
  </si>
  <si>
    <t>https://www.properati.com.pe/detalle/14032-32-cdd5-4fb23686def2-fd3fe0d0-bb17-120d</t>
  </si>
  <si>
    <t>Apartamento en alquiler en Ur. Los Chasquis Iii Etapa</t>
  </si>
  <si>
    <t>https://www.properati.com.pe/detalle/14032-32-7ab1-35fb8553b994-a30add15-b8f7-40d3</t>
  </si>
  <si>
    <t>https://www.properati.com.pe/detalle/14032-32-482c-61d40690ab70-372523ee-bcc3-42de</t>
  </si>
  <si>
    <t>Apartamento en alquiler en Los Frutales</t>
  </si>
  <si>
    <t>https://www.properati.com.pe/detalle/14032-32-afa8-d7c0410c0881-a50679bc-a31f-4403</t>
  </si>
  <si>
    <t>Apartamento en alquiler en Ur. Manuel Prado</t>
  </si>
  <si>
    <t>https://www.properati.com.pe/detalle/14032-32-9d4c-47ec898eec23-59d19284-8800-42ff</t>
  </si>
  <si>
    <t>Apartamento en alquiler en Ur. Los Andenes</t>
  </si>
  <si>
    <t>https://www.properati.com.pe/detalle/14032-32-7a4f-75bd795e32d2-42110830-b90f-4c5a</t>
  </si>
  <si>
    <t>Casa en alquiler en As. Virgen Del Rosario</t>
  </si>
  <si>
    <t>https://www.properati.com.pe/detalle/14032-32-c644-72f6b45370bc-c7507dd0-b036-42c9</t>
  </si>
  <si>
    <t>Apartamento en alquiler en Yanahuara</t>
  </si>
  <si>
    <t>https://www.properati.com.pe/detalle/14032-32-6a79-ec94133f3a2d-f1c4b8d0-9cdf-4f2e</t>
  </si>
  <si>
    <t>https://www.properati.com.pe/detalle/14032-32-673d-29ef2b237fc7-27af2291-bb07-4bcb</t>
  </si>
  <si>
    <t>https://www.properati.com.pe/detalle/14032-32-964f-d43312e9a836-7810266-be93-4e8b</t>
  </si>
  <si>
    <t>https://www.properati.com.pe/detalle/14032-32-da0a-e81c3582dd8c-108951d9-87b8-4123</t>
  </si>
  <si>
    <t>Casa en alquiler en Ur. El Cortijo Etapa I</t>
  </si>
  <si>
    <t>https://www.properati.com.pe/detalle/14032-32-e39a-710893f34df5-331267f8-831b-4e5c</t>
  </si>
  <si>
    <t>https://www.properati.com.pe/detalle/14032-32-5a9a-c9bfc6fe70d0-7c77f93e-91a9-3a21</t>
  </si>
  <si>
    <t>https://www.properati.com.pe/detalle/14032-32-cc07-818aa7b9af2c-55dcc8f0-a622-120d</t>
  </si>
  <si>
    <t>https://www.properati.com.pe/detalle/14032-32-9427-47a008ff101e-85e541a9-8ff4-3e7b</t>
  </si>
  <si>
    <t>Casa en alquiler en Ur. Santa Cruz</t>
  </si>
  <si>
    <t>https://www.properati.com.pe/detalle/14032-32-9c4d-bf30d76558ca-81c9abfc-a229-4eaf</t>
  </si>
  <si>
    <t>Apartamento en alquiler en As. La Era</t>
  </si>
  <si>
    <t>https://www.properati.com.pe/detalle/14032-32-9ba2-84143ec721dd-3f5e760b-8e96-4a77</t>
  </si>
  <si>
    <t>Apartamento en alquiler en Ur. El Totoral</t>
  </si>
  <si>
    <t>https://www.properati.com.pe/detalle/14032-32-8b2-d2675ed7ad79-846eee7-8da8-4ad6</t>
  </si>
  <si>
    <t>Apartamento en alquiler en Ur. Parque San Martin</t>
  </si>
  <si>
    <t>https://www.properati.com.pe/detalle/14032-32-ea6-9ee0d71f8266-64caaaa1-9e8b-4690</t>
  </si>
  <si>
    <t>Apartamento en alquiler en Ur. Humboldt</t>
  </si>
  <si>
    <t>https://www.properati.com.pe/detalle/14032-32-34ed-ca047eaa1fe1-f799dd67-a269-4814</t>
  </si>
  <si>
    <t>Apartamento en alquiler en Ur. San Jose (Santa Cecilia)</t>
  </si>
  <si>
    <t>https://www.properati.com.pe/detalle/14032-32-1685-34ead0ebeb30-d4fba299-bc45-4275</t>
  </si>
  <si>
    <t>https://www.properati.com.pe/detalle/14032-32-591d-5efdfabb070b-a84d82b0-b8f8-49e5</t>
  </si>
  <si>
    <t>https://www.properati.com.pe/detalle/14032-32-6433-61314a5b0d9a-f851fa3e-aaf6-4d4f</t>
  </si>
  <si>
    <t>https://www.properati.com.pe/detalle/14032-32-1b45-9d2baf50cb5e-aaefd41a-8c6a-4738</t>
  </si>
  <si>
    <t>Apartamento en alquiler en Ur. Santa Rosa De Surco</t>
  </si>
  <si>
    <t>https://www.properati.com.pe/detalle/14032-32-4f9d-f85d858cf382-7ff74700-96bf-4ed0</t>
  </si>
  <si>
    <t>Casa en alquiler en Ur. Country Club</t>
  </si>
  <si>
    <t>https://www.properati.com.pe/detalle/14032-32-8be4-cfcff68ca856-51bb9f0f-a408-4687</t>
  </si>
  <si>
    <t>https://www.properati.com.pe/detalle/14032-32-7982-1bc73fa8cbee-eaab3740-b652-45ed</t>
  </si>
  <si>
    <t>Apartamento en alquiler en Ur. Los Rosales Ampliacion Etapa Ii</t>
  </si>
  <si>
    <t>https://www.properati.com.pe/detalle/14032-32-87ad-16c6cc206928-bb9b2616-87a3-4489</t>
  </si>
  <si>
    <t>Apartamento en alquiler en Urb San Luis</t>
  </si>
  <si>
    <t>https://www.properati.com.pe/detalle/14032-32-1cf5-21f342a30809-df8b8d50-abe3-120d</t>
  </si>
  <si>
    <t>https://www.properati.com.pe/detalle/14032-32-2cc0-a6cd72a7f1b4-363717f6-8c0e-4ae7</t>
  </si>
  <si>
    <t>Apartamento en alquiler en Ur. 28 De Julio</t>
  </si>
  <si>
    <t>https://www.properati.com.pe/detalle/14032-32-3f89-79f7c8368796-81a12db3-961a-4b21</t>
  </si>
  <si>
    <t>https://www.properati.com.pe/detalle/14032-32-5843-a3a6501b453f-23f7ed01-bbcc-416a</t>
  </si>
  <si>
    <t>https://www.properati.com.pe/detalle/14032-32-c854-e7a158890b4f-cb5dcc70-87cd-120d</t>
  </si>
  <si>
    <t>https://www.properati.com.pe/detalle/14032-32-19e7-373cf3c72a6-217bde68-abe6-4c16</t>
  </si>
  <si>
    <t>https://www.properati.com.pe/detalle/14032-32-1f6e-ed183900e498-f0de90ce-8bf2-4f6e</t>
  </si>
  <si>
    <t>Casa en alquiler en Los Alamos</t>
  </si>
  <si>
    <t>https://www.properati.com.pe/detalle/14032-32-eab4-332a2d4f61d2-cef9498c-8eea-446c</t>
  </si>
  <si>
    <t>Apartamento en alquiler en Ur. Chacarilla Santa Cruz Zona Santa Isabel B</t>
  </si>
  <si>
    <t>https://www.properati.com.pe/detalle/14032-32-a1c3-f7987295299e-d725da53-8601-4876</t>
  </si>
  <si>
    <t>Apartamento en alquiler en Urb Confraternidad</t>
  </si>
  <si>
    <t>https://www.properati.com.pe/detalle/14032-32-24f9-653e4f6756f8-9c2135e6-9344-4327</t>
  </si>
  <si>
    <t>https://www.properati.com.pe/detalle/14032-32-66b4-c35c8486432d-3030e0e2-9250-42e4</t>
  </si>
  <si>
    <t>https://www.properati.com.pe/detalle/14032-32-b92f-cd70232acc41-7574c539-87d0-3310</t>
  </si>
  <si>
    <t>https://www.properati.com.pe/detalle/14032-32-d80-4fa3595821ea-82aaf161-b1d6-4df5</t>
  </si>
  <si>
    <t>https://www.properati.com.pe/detalle/14032-32-ca1e-cb690b357e8e-b3172cd0-b33c-120d</t>
  </si>
  <si>
    <t>Apartamento en alquiler en Pj. Mirones Bajo</t>
  </si>
  <si>
    <t>https://www.properati.com.pe/detalle/14032-32-3337-7d86ec72983b-4d504795-9829-4d42</t>
  </si>
  <si>
    <t>https://www.properati.com.pe/detalle/14032-32-4023-18256b0daffc-25464ac9-9672-4893</t>
  </si>
  <si>
    <t>https://www.properati.com.pe/detalle/14032-32-d3bd-9b54828cd073-d9348758-8442-4bb2</t>
  </si>
  <si>
    <t>https://www.properati.com.pe/detalle/14032-32-7be3-2593e5e2c0f4-aa2fc254-9191-468d</t>
  </si>
  <si>
    <t>https://www.properati.com.pe/detalle/14032-32-6728-9ae20305443a-efd967ef-bd8f-47ac</t>
  </si>
  <si>
    <t>https://www.properati.com.pe/detalle/14032-32-f36c-c7d962cf0c38-c5de7593-a00e-496a</t>
  </si>
  <si>
    <t>https://www.properati.com.pe/detalle/14032-32-72e9-c4ee70afb7ae-7fb22879-911d-4856</t>
  </si>
  <si>
    <t>https://www.properati.com.pe/detalle/14032-32-7f32-71eb309b456e-388a0e68-8b66-4383</t>
  </si>
  <si>
    <t>Apartamento en alquiler en As. Huertizacion Progreso La Estrella</t>
  </si>
  <si>
    <t>https://www.properati.com.pe/detalle/14032-32-8301-bbda6b705cc7-fe699b23-a8dd-4a23</t>
  </si>
  <si>
    <t>Casa en alquiler en Ur. Los Granados</t>
  </si>
  <si>
    <t>https://www.properati.com.pe/detalle/14032-32-b1b9-bef066921586-e368ac1-aba5-4827</t>
  </si>
  <si>
    <t>https://www.properati.com.pe/detalle/14032-32-dd35-d7aabe331d4c-5e89e593-96b9-434e</t>
  </si>
  <si>
    <t>https://www.properati.com.pe/detalle/14032-32-92af-4304eb64280b-62602adb-a5e4-40aa</t>
  </si>
  <si>
    <t>https://www.properati.com.pe/detalle/14032-32-6bed-1ced6beac1dc-2e491d15-9bb4-4b64</t>
  </si>
  <si>
    <t>https://www.properati.com.pe/detalle/14032-32-e1c4-b2d83d055111-faeea735-a9d6-500e</t>
  </si>
  <si>
    <t>Apartamento en alquiler en As. Santa Cruz De Nuevo Vitarte</t>
  </si>
  <si>
    <t>https://www.properati.com.pe/detalle/14032-32-aff3-97216e9a127d-860b68af-b783-4144</t>
  </si>
  <si>
    <t>https://www.properati.com.pe/detalle/14032-32-3858-f5d3600d7e23-3ad0315-94e9-49f2</t>
  </si>
  <si>
    <t>https://www.properati.com.pe/detalle/14032-32-8834-b43eeacf96f0-7fee4bab-a35c-4cf6</t>
  </si>
  <si>
    <t>https://www.properati.com.pe/detalle/14032-32-d9ac-ca35e2861277-41990eb6-a55c-4352</t>
  </si>
  <si>
    <t>https://www.properati.com.pe/detalle/14032-32-a57e-275d8ec4dcd7-1378276a-8256-4197</t>
  </si>
  <si>
    <t>Apartamento en alquiler en Ur. El Rosario</t>
  </si>
  <si>
    <t>https://www.properati.com.pe/detalle/14032-32-cae8-d2d4cdcdd48c-f467d042-b7c8-471e</t>
  </si>
  <si>
    <t>https://www.properati.com.pe/detalle/14032-32-6923-ae5c857336af-85c4792b-91f2-4396</t>
  </si>
  <si>
    <t>Casa en alquiler en Ur. Aurora</t>
  </si>
  <si>
    <t>https://www.properati.com.pe/detalle/14032-32-c520-cc99e52df87a-7e3b9d3b-a403-4826</t>
  </si>
  <si>
    <t>Apartamento en alquiler en Sector 1</t>
  </si>
  <si>
    <t>https://www.properati.com.pe/detalle/14032-32-8b10-9f20b3f7acb8-a5a9485d-9701-4b73</t>
  </si>
  <si>
    <t>Apartamento en alquiler en Chorrillos</t>
  </si>
  <si>
    <t>https://www.properati.com.pe/detalle/14032-32-ccc1-3681eb9418e9-1adcae39-baa7-309b</t>
  </si>
  <si>
    <t>Apartamento en alquiler en Ur. Rosario De Villa</t>
  </si>
  <si>
    <t>https://www.properati.com.pe/detalle/14032-32-69a8-d1c01a1596ff-66396271-af93-4d3c</t>
  </si>
  <si>
    <t>https://www.properati.com.pe/detalle/14032-32-923d-839d0497658d-6bf06a1e-9ecd-4a74</t>
  </si>
  <si>
    <t>https://www.properati.com.pe/detalle/14032-32-8b4f-b5eb7c5d3c61-fd23e806-a569-4304</t>
  </si>
  <si>
    <t>https://www.properati.com.pe/detalle/14032-32-8481-15ac85b3e13d-12b9d1a5-9157-44c1</t>
  </si>
  <si>
    <t>https://www.properati.com.pe/detalle/14032-32-c81f-55a286ca5677-97757aa0-8391-120d</t>
  </si>
  <si>
    <t>Apartamento en alquiler en Ur. San Idelfonso Del Vivero</t>
  </si>
  <si>
    <t>https://www.properati.com.pe/detalle/14032-32-553e-817f41e9ed86-a212aceb-bc48-435c</t>
  </si>
  <si>
    <t>https://www.properati.com.pe/detalle/14032-32-bdb7-ecdd49f33496-9baebb64-8a91-4e80</t>
  </si>
  <si>
    <t>Casa en alquiler en Ur. Lobaton</t>
  </si>
  <si>
    <t>https://www.properati.com.pe/detalle/14032-32-7418-675bfbff8f95-38baadec-bc92-44df</t>
  </si>
  <si>
    <t>Apartamento en alquiler en Re. Monterrico Sur Ampliacion</t>
  </si>
  <si>
    <t>https://www.properati.com.pe/detalle/14032-32-7bd7-360ed67628bf-4eac03aa-aa2e-498d</t>
  </si>
  <si>
    <t>https://www.properati.com.pe/detalle/14032-32-9e7-fa8dba76edc2-e1c9de04-85b4-485c</t>
  </si>
  <si>
    <t>https://www.properati.com.pe/detalle/14032-32-16aa-d48ba4ac7a24-84b3b7c0-944d-4727</t>
  </si>
  <si>
    <t>Casa en alquiler en Ur. El Sol De La Molina Etapa Iii</t>
  </si>
  <si>
    <t>https://www.properati.com.pe/detalle/14032-32-73b6-440818f2ab3a-d0f07808-acd7-4652</t>
  </si>
  <si>
    <t>https://www.properati.com.pe/detalle/14032-32-fac2-33d4d499732c-f2e46e77-9d0e-47fa</t>
  </si>
  <si>
    <t>Apartamento en alquiler en Ur. Zarate</t>
  </si>
  <si>
    <t>https://www.properati.com.pe/detalle/14032-32-daac-72dffcc75c06-9fcaf28c-b842-48b6</t>
  </si>
  <si>
    <t>https://www.properati.com.pe/detalle/14032-32-eb1b-96fdf533a75c-2701ef6-900a-4899</t>
  </si>
  <si>
    <t>https://www.properati.com.pe/detalle/14032-32-43db-20573448b184-b471a63e-bbdd-4c40</t>
  </si>
  <si>
    <t>https://www.properati.com.pe/detalle/14032-32-c80c-1d0e178491b8-cec268f0-8659-120d</t>
  </si>
  <si>
    <t>https://www.properati.com.pe/detalle/14032-32-a37d-3d80590c4383-90a06704-bba9-4516</t>
  </si>
  <si>
    <t>Apartamento en alquiler en Ur. San Juan Bautista De Chorrillos</t>
  </si>
  <si>
    <t>Apartamento en alquiler en Ur. Cerros De Camacho</t>
  </si>
  <si>
    <t>https://www.properati.com.pe/detalle/14032-32-29c-6b5cd9882b35-c5a54cfa-a8ae-4cf0</t>
  </si>
  <si>
    <t>https://www.properati.com.pe/detalle/14032-32-d88c-557bcf407478-aaf9246f-8048-4e57</t>
  </si>
  <si>
    <t>https://www.properati.com.pe/detalle/14032-32-47a5-3ae3cea7aad9-26657a8a-9d15-4b9a</t>
  </si>
  <si>
    <t>https://www.properati.com.pe/detalle/14032-32-1e4b-a802b4ed3470-549cbddd-b7aa-4be1</t>
  </si>
  <si>
    <t>Apartamento en alquiler en Ur. Chacarilla Santa Cruz Zona Santa Maria</t>
  </si>
  <si>
    <t>https://www.properati.com.pe/detalle/14032-32-e8c1-657e72009120-41d041e5-8c00-4745</t>
  </si>
  <si>
    <t>Apartamento en alquiler en Ur. Textil Continental</t>
  </si>
  <si>
    <t>https://www.properati.com.pe/detalle/14032-32-66fa-35a36ac2367f-75a83b87-91d1-4134</t>
  </si>
  <si>
    <t>Apartamento en alquiler en Casuarinas Sur</t>
  </si>
  <si>
    <t>https://www.properati.com.pe/detalle/14032-32-d810-40dbaf3e8f4e-982c39a8-9332-484f</t>
  </si>
  <si>
    <t>https://www.properati.com.pe/detalle/14032-32-f060-8152b6f18d01-3649722a-a67f-4fef</t>
  </si>
  <si>
    <t>HabitaciÃ³n en alquiler en Ur. San Antonio</t>
  </si>
  <si>
    <t>https://www.properati.com.pe/detalle/14032-32-2731-3481bb9c5031-191b6863-b663-4db0</t>
  </si>
  <si>
    <t>Casa en alquiler en Ur. Humboldt</t>
  </si>
  <si>
    <t>https://www.properati.com.pe/detalle/14032-32-54bb-67c9508d0a28-5d3cc5c0-83c1-45d2</t>
  </si>
  <si>
    <t>https://www.properati.com.pe/detalle/14032-32-cc7f-ed02528e5eb6-e3fdc5e5-a258-4aac</t>
  </si>
  <si>
    <t>https://www.properati.com.pe/detalle/14032-32-54a8-5c778da00117-93355314-b152-4568</t>
  </si>
  <si>
    <t>https://www.properati.com.pe/detalle/14032-32-154c-f9149cb1f2fb-7a81aa8a-85e4-499d</t>
  </si>
  <si>
    <t>https://www.properati.com.pe/detalle/14032-32-543f-7a0ddb6e4e6f-a8c47ffa-889d-4745</t>
  </si>
  <si>
    <t>https://www.properati.com.pe/detalle/14032-32-bc2c-27fcb6cbac95-cbbf27b0-8027-4270</t>
  </si>
  <si>
    <t>Apartamento en alquiler en Ur. Juan Xxiii</t>
  </si>
  <si>
    <t>https://www.properati.com.pe/detalle/14032-32-d620-b4c86092404-eb9585f5-ad8c-4d1d</t>
  </si>
  <si>
    <t>Apartamento en alquiler en Ur. Portada Del Sol Etapa I (A.E.M.G)</t>
  </si>
  <si>
    <t>https://www.properati.com.pe/detalle/14032-32-4319-3c5254cf91e4-3d21f2e6-94d7-4f86</t>
  </si>
  <si>
    <t>https://www.properati.com.pe/detalle/14032-32-4a67-92ca0de06a88-1e696a84-9d17-4d9c</t>
  </si>
  <si>
    <t>Apartamento en alquiler en Re. Las Camelias</t>
  </si>
  <si>
    <t>https://www.properati.com.pe/detalle/14032-32-bee4-d38fa3002692-c6c39fb0-b39b-120d</t>
  </si>
  <si>
    <t>Apartamento en alquiler en Ur. Mariscal Caceres Sector Iii Etapa 6Ta Y 7Ma</t>
  </si>
  <si>
    <t>https://www.properati.com.pe/detalle/14032-32-3284-9f33d45a4822-63248f1f-bcfe-41ce</t>
  </si>
  <si>
    <t>https://www.properati.com.pe/detalle/14032-32-d112-23c6e3db1a68-c9e24ce1-8464-4756</t>
  </si>
  <si>
    <t>https://www.properati.com.pe/detalle/14032-32-ae10-4d5bf36f37dd-178ae965-9eef-47b2</t>
  </si>
  <si>
    <t>https://www.properati.com.pe/detalle/14032-32-38d6-470bb6fede32-3cef1e39-a843-42c3</t>
  </si>
  <si>
    <t>https://www.properati.com.pe/detalle/14032-32-44a8-2e43ee8957f2-d56d4b1d-a4b6-44c0</t>
  </si>
  <si>
    <t>Apartamento en alquiler en Ur. Mercurio Ii Etapa</t>
  </si>
  <si>
    <t>https://www.properati.com.pe/detalle/14032-32-8133-9693b9051a53-e60599c6-b8a1-4a22</t>
  </si>
  <si>
    <t>https://www.properati.com.pe/detalle/14032-32-b45a-9598883522b4-f3c0546-85d9-44ea</t>
  </si>
  <si>
    <t>Apartamento en alquiler en Ur. Los Jazmines</t>
  </si>
  <si>
    <t>https://www.properati.com.pe/detalle/14032-32-e617-264a4e17de5b-6a2b3402-ae31-4dbf</t>
  </si>
  <si>
    <t>https://www.properati.com.pe/detalle/14032-32-a32c-4a0ff11c1d7d-cea9bfb9-bc19-476b</t>
  </si>
  <si>
    <t>https://www.properati.com.pe/detalle/14032-32-6529-a169617618e7-e96a739a-a472-4bb2</t>
  </si>
  <si>
    <t>https://www.properati.com.pe/detalle/14032-32-1b0e-30882899e168-ee9a895e-a56c-4f1a</t>
  </si>
  <si>
    <t>https://www.properati.com.pe/detalle/14032-32-8659-8d3b4b5dc478-2ced8748-b482-4e20</t>
  </si>
  <si>
    <t>https://www.properati.com.pe/detalle/14032-32-d9be-442f701de947-48dc5abb-a264-4a0c</t>
  </si>
  <si>
    <t>Apartamento en alquiler en Ur. Santa Monica</t>
  </si>
  <si>
    <t>https://www.properati.com.pe/detalle/14032-32-11a4-d426ee3fbada-1f0153c1-ada5-3fcb</t>
  </si>
  <si>
    <t>Oficina en alquiler en San Felipe</t>
  </si>
  <si>
    <t>https://www.properati.com.pe/detalle/14032-32-16c8-ef2f1a2b5510-ca1aed4b-9a64-3d71</t>
  </si>
  <si>
    <t>Apartamento en alquiler en Chacarilla del Estanque</t>
  </si>
  <si>
    <t>https://www.properati.com.pe/detalle/14032-32-bf82-f63ba79adec3-44579346-bb36-4604</t>
  </si>
  <si>
    <t>Apartamento en alquiler en Uv. Matute</t>
  </si>
  <si>
    <t>https://www.properati.com.pe/detalle/14032-32-beee-51b42f6cc20e-8b9a9ec0-9ade-120d</t>
  </si>
  <si>
    <t>Casa en alquiler en Ur. Santo Tomas</t>
  </si>
  <si>
    <t>https://www.properati.com.pe/detalle/14032-32-65a3-e6fd33dd01bc-30df33c1-af01-479e</t>
  </si>
  <si>
    <t>Apartamento en alquiler en Ur. El Palomar</t>
  </si>
  <si>
    <t>https://www.properati.com.pe/detalle/14032-32-b9f9-91e8667efcbd-1173703-b83e-43d9</t>
  </si>
  <si>
    <t>Apartamento en alquiler en Ur. Victoria</t>
  </si>
  <si>
    <t>https://www.properati.com.pe/detalle/14032-32-cdf0-a0e4918951da-1ade6294-be9e-4f97</t>
  </si>
  <si>
    <t>https://www.properati.com.pe/detalle/14032-32-9770-70874f95b851-b218178b-a83d-49af</t>
  </si>
  <si>
    <t>Apartamento en alquiler en Chacarilla-Santa Cruz</t>
  </si>
  <si>
    <t>https://www.properati.com.pe/detalle/14032-32-63b5-c5fec6e411a4-91dccb10-8789-417a</t>
  </si>
  <si>
    <t>https://www.properati.com.pe/detalle/14032-32-bfe1-79853a3cb552-a7979f69-926b-42dc</t>
  </si>
  <si>
    <t>https://www.properati.com.pe/detalle/14032-32-96fd-112114279f5e-6f3795bd-be77-402e</t>
  </si>
  <si>
    <t>Apartamento en alquiler en Urb Jose Balta</t>
  </si>
  <si>
    <t>https://www.properati.com.pe/detalle/14032-32-a2a9-775d21f098b2-eb10827d-bfe8-3b40</t>
  </si>
  <si>
    <t>Casa en alquiler en Huaycani</t>
  </si>
  <si>
    <t>https://www.properati.com.pe/detalle/14032-32-9ca8-72663346bd54-348362b9-a5a4-4a16</t>
  </si>
  <si>
    <t>https://www.properati.com.pe/detalle/14032-32-1f6a-85a6bb7ae8f3-128f1e92-975e-4e85</t>
  </si>
  <si>
    <t>Casa en alquiler en Ur. 28 De Julio</t>
  </si>
  <si>
    <t>https://www.properati.com.pe/detalle/14032-32-daf3-40d661bff042-2553fce6-ab78-437c</t>
  </si>
  <si>
    <t>Casa en alquiler en Mariano Melgar</t>
  </si>
  <si>
    <t>https://www.properati.com.pe/detalle/14032-32-4cd6-7106b715107f-db4b573d-91ae-4130</t>
  </si>
  <si>
    <t>https://www.properati.com.pe/detalle/14032-32-c231-dc0be0a56fb0-b323855f-b98c-4248</t>
  </si>
  <si>
    <t>Apartamento en alquiler en Ur. Sagitario</t>
  </si>
  <si>
    <t>https://www.properati.com.pe/detalle/14032-32-8b3c-75b8c8108766-b5bdf8f4-af90-396c</t>
  </si>
  <si>
    <t>Apartamento en alquiler en Ur. Maranga Etapa Ii</t>
  </si>
  <si>
    <t>https://www.properati.com.pe/detalle/14032-32-6527-49826989f505-587fdca8-a3d8-3d9b</t>
  </si>
  <si>
    <t>Apartamento en alquiler en Ur. Benavides Etapa I</t>
  </si>
  <si>
    <t>https://www.properati.com.pe/detalle/14032-32-9c60-e574062f832e-78d082-b0e2-3bb3</t>
  </si>
  <si>
    <t>https://www.properati.com.pe/detalle/14032-32-6ad9-4f405726fb46-997a8022-b8d5-3b54</t>
  </si>
  <si>
    <t>Apartamento en alquiler en Ur. Valle De Sharon</t>
  </si>
  <si>
    <t>https://www.properati.com.pe/detalle/14032-32-5117-769ad7bae04b-859319cb-9f81-45c3</t>
  </si>
  <si>
    <t>Apartamento en alquiler en Ur. Las Lomas De La Molina Vieja Etapa I</t>
  </si>
  <si>
    <t>https://www.properati.com.pe/detalle/14032-32-65be-93a6b1588d4e-66bfe366-b8de-4d54</t>
  </si>
  <si>
    <t>https://www.properati.com.pe/detalle/14032-32-298a-ebe48e1a53d9-accbd92-9683-4193</t>
  </si>
  <si>
    <t>https://www.properati.com.pe/detalle/14032-32-a354-55d24f71a62b-a307fbe7-b196-4703</t>
  </si>
  <si>
    <t>https://www.properati.com.pe/detalle/14032-32-4818-78af0800564f-86633c39-b06f-4ccc</t>
  </si>
  <si>
    <t>Apartamento en alquiler en Callao</t>
  </si>
  <si>
    <t>https://www.properati.com.pe/detalle/14032-32-7c67-d5066ba53965-2abe84d0-9f2b-4fc2</t>
  </si>
  <si>
    <t>https://www.properati.com.pe/detalle/14032-32-80c7-5e080f64b972-f60e55aa-9332-46a5</t>
  </si>
  <si>
    <t>https://www.properati.com.pe/detalle/14032-32-3e73-50fcf85e60f4-a731f331-b892-4851</t>
  </si>
  <si>
    <t>https://www.properati.com.pe/detalle/14032-32-5ebe-61e524a9e13a-e90fec66-bbda-4db6</t>
  </si>
  <si>
    <t>https://www.properati.com.pe/detalle/14032-32-db71-376b3a4a66c7-3900e72c-9521-4daf</t>
  </si>
  <si>
    <t>Casa en alquiler en Rio Seco</t>
  </si>
  <si>
    <t>https://www.properati.com.pe/detalle/14032-32-37fb-2011a501c6ba-a343c185-8bca-4051</t>
  </si>
  <si>
    <t>Apartamento en alquiler en Hu. Colegio Particular Santa Maria Etapa Ii</t>
  </si>
  <si>
    <t>https://www.properati.com.pe/detalle/14032-32-8ae6-ff1736b8c0f3-c79a2ede-9f60-4293</t>
  </si>
  <si>
    <t>https://www.properati.com.pe/detalle/14032-32-1947-16e67d3ff413-c822b56c-9d34-4277</t>
  </si>
  <si>
    <t>https://www.properati.com.pe/detalle/14032-32-ad35-c14abebf1009-bce9e8b1-817e-4937</t>
  </si>
  <si>
    <t>Apartamento en alquiler en Ur. Lola Ferreyros</t>
  </si>
  <si>
    <t>https://www.properati.com.pe/detalle/14032-32-4e7d-c4eac7d31a1c-4ec02748-b297-4889</t>
  </si>
  <si>
    <t>Apartamento en alquiler en Ur. Bella Luz</t>
  </si>
  <si>
    <t>https://www.properati.com.pe/detalle/14032-32-b686-1d733af590b6-b7242cb8-a246-3de4</t>
  </si>
  <si>
    <t>Casa en alquiler en Yanahuara</t>
  </si>
  <si>
    <t>https://www.properati.com.pe/detalle/14032-32-c8e3-efec18b32a5a-784be0f0-b171-120d</t>
  </si>
  <si>
    <t>https://www.properati.com.pe/detalle/14032-32-c8e0-5fe03513bed1-3c6ce50-bec2-120d</t>
  </si>
  <si>
    <t>https://www.properati.com.pe/detalle/14032-32-6fc0-5b8a400549a1-541e04c-8adf-49cf</t>
  </si>
  <si>
    <t>Apartamento en alquiler en Country Club</t>
  </si>
  <si>
    <t>https://www.properati.com.pe/detalle/14032-32-35b7-4886105e712a-1cfed8ac-a829-41a2</t>
  </si>
  <si>
    <t>Apartamento en alquiler en Hu. Feria Internacional Del Pacifico</t>
  </si>
  <si>
    <t>https://www.properati.com.pe/detalle/14032-32-a18d-4cc1a04641b6-4324b713-a8c5-4472</t>
  </si>
  <si>
    <t>https://www.properati.com.pe/detalle/14032-32-c8dc-b37249fbba37-9598a870-ae6e-120d</t>
  </si>
  <si>
    <t>Apartamento en alquiler en Pj. San Francisco De La Tablada De Lurin Sector Segundo</t>
  </si>
  <si>
    <t>https://www.properati.com.pe/detalle/14032-32-4222-136e97c46e90-6b0f9f4-b6bb-4bf4</t>
  </si>
  <si>
    <t>https://www.properati.com.pe/detalle/14032-32-e352-2649a2997a4e-400d0dbf-9904-45be</t>
  </si>
  <si>
    <t>Apartamento en alquiler en Ur. Las Torres De San Miguelito Etapa I</t>
  </si>
  <si>
    <t>https://www.properati.com.pe/detalle/14032-32-6c0c-d50e16df8e41-b32ecdbc-bcb1-4f05</t>
  </si>
  <si>
    <t>https://www.properati.com.pe/detalle/14032-32-47ab-be979c042ae-2112430e-8f5b-452a</t>
  </si>
  <si>
    <t>https://www.properati.com.pe/detalle/14032-32-834-d2a3e04fd20d-fb042606-a795-4391</t>
  </si>
  <si>
    <t>https://www.properati.com.pe/detalle/14032-32-898a-625071f7fab9-17479999-a1bc-4a73</t>
  </si>
  <si>
    <t>Apartamento en alquiler en Ur. San Roque Fap</t>
  </si>
  <si>
    <t>https://www.properati.com.pe/detalle/14032-32-de06-5a79d1a3deac-3d3e94f5-a10e-4a7c</t>
  </si>
  <si>
    <t>https://www.properati.com.pe/detalle/14032-32-5933-1da5603a7652-81f553db-983b-4690</t>
  </si>
  <si>
    <t>Apartamento en alquiler en Valle Hermoso Oeste</t>
  </si>
  <si>
    <t>https://www.properati.com.pe/detalle/14032-32-a9dd-9558745f9757-4c2100b6-a0ee-4032</t>
  </si>
  <si>
    <t>https://www.properati.com.pe/detalle/14032-32-e30a-391f8a0d1bb9-c6e8a62-bcc0-4ae7</t>
  </si>
  <si>
    <t>https://www.properati.com.pe/detalle/14032-32-9361-2ed9e35ff85a-9d759203-9949-4e3b</t>
  </si>
  <si>
    <t>https://www.properati.com.pe/detalle/14032-32-4c84-9f22cc0ee3ec-60c0c686-9b5e-4931</t>
  </si>
  <si>
    <t>https://www.properati.com.pe/detalle/14032-32-448b-7aaf84024e31-13b91dc6-9b53-4ce6</t>
  </si>
  <si>
    <t>Apartamento en alquiler en Santiago De Surco</t>
  </si>
  <si>
    <t>https://www.properati.com.pe/detalle/14032-32-15a2-fcfa52fa4a21-a2d8fef-a5a1-4e8f</t>
  </si>
  <si>
    <t>https://www.properati.com.pe/detalle/14032-32-ffea-74720b4f32c8-935120a3-875a-4276</t>
  </si>
  <si>
    <t>Apartamento en alquiler en Ur. Santa Luzmila I Etapa</t>
  </si>
  <si>
    <t>https://www.properati.com.pe/detalle/14032-32-cafa-960cb1ad0b40-a1f68c56-8fdb-45c9</t>
  </si>
  <si>
    <t>Casa en alquiler en Retamas</t>
  </si>
  <si>
    <t>https://www.properati.com.pe/detalle/14032-32-c754-87aa140c53d3-1b0a9ac0-9db6-120d</t>
  </si>
  <si>
    <t>https://www.properati.com.pe/detalle/14032-32-e2d2-6f44fa7e639-e220733d-834e-4cf2</t>
  </si>
  <si>
    <t>https://www.properati.com.pe/detalle/14032-32-c88b-298d82c12174-2170e573-9357-3537</t>
  </si>
  <si>
    <t>Apartamento en alquiler en Ur. Los Pinares</t>
  </si>
  <si>
    <t>https://www.properati.com.pe/detalle/14032-32-63bc-e19d3b31ca01-b1fef632-a90a-484f</t>
  </si>
  <si>
    <t>https://www.properati.com.pe/detalle/14032-32-9a42-905bda75d781-8eebda60-910e-4f85</t>
  </si>
  <si>
    <t>https://www.properati.com.pe/detalle/14032-32-af7f-cfcf4e2c8eea-b838e8b8-9e90-4b25</t>
  </si>
  <si>
    <t>https://www.properati.com.pe/detalle/14032-32-f1e1-72401692d627-3f033eec-bec6-48fb</t>
  </si>
  <si>
    <t>https://www.properati.com.pe/detalle/14032-32-ec6-bf4cd79612cc-3dbb1fe6-8563-429c</t>
  </si>
  <si>
    <t>https://www.properati.com.pe/detalle/14032-32-e2d3-ed7bb6e6ad6e-e9669510-9f97-4704</t>
  </si>
  <si>
    <t>https://www.properati.com.pe/detalle/14032-32-918d-6282388ac92f-956d1871-96e0-4e4e</t>
  </si>
  <si>
    <t>https://www.properati.com.pe/detalle/14032-32-f90a-32d7c1aec14-4a0d4104-ac66-46b4</t>
  </si>
  <si>
    <t>https://www.properati.com.pe/detalle/14032-32-b465-a16ce3440e8c-e619f7ba-894e-46e5</t>
  </si>
  <si>
    <t>https://www.properati.com.pe/detalle/14032-32-c085-3bebdd2ffe8f-65afbfe0-a99f-120d</t>
  </si>
  <si>
    <t>Apartamento en alquiler en Ur. Paraiso El Dorado Iii Etapa</t>
  </si>
  <si>
    <t>https://www.properati.com.pe/detalle/14032-32-60f7-d9ff4712a1b5-c862bd6d-995a-4b7f</t>
  </si>
  <si>
    <t>https://www.properati.com.pe/detalle/14032-32-928b-fb03e0d84cad-321c029e-a903-4a1c</t>
  </si>
  <si>
    <t>https://www.properati.com.pe/detalle/14032-32-934b-affdf5000f6e-9fce44ac-b91d-3643</t>
  </si>
  <si>
    <t>https://www.properati.com.pe/detalle/14032-32-2fcc-dc5d12726f0d-9e75a2bb-8510-4194</t>
  </si>
  <si>
    <t>https://www.properati.com.pe/detalle/14032-32-620c-70897b43168-ac72eeeb-acfd-491d</t>
  </si>
  <si>
    <t>Apartamento en alquiler en Rio Seco</t>
  </si>
  <si>
    <t>https://www.properati.com.pe/detalle/14032-32-ff02-920cfaabb846-6a0fdb92-b5f0-4f34</t>
  </si>
  <si>
    <t>https://www.properati.com.pe/detalle/14032-32-871e-b98d691e7a69-6bd80df0-b90d-120d</t>
  </si>
  <si>
    <t>Casa en alquiler en Ur. Orrantia Del Mar Zona Iv</t>
  </si>
  <si>
    <t>https://www.properati.com.pe/detalle/14032-32-d9d9-d1070f73140b-2d956fb8-9fb5-4258</t>
  </si>
  <si>
    <t>https://www.properati.com.pe/detalle/14032-32-685f-6855933d8878-8d3added-89ba-485d</t>
  </si>
  <si>
    <t>Casa en alquiler en Surco</t>
  </si>
  <si>
    <t>https://www.properati.com.pe/detalle/14032-32-9c49-27fdfbcb8fc8-354b4190-a590-120d</t>
  </si>
  <si>
    <t>https://www.properati.com.pe/detalle/14032-32-39e8-d609091d9905-78d70d4c-941d-411a</t>
  </si>
  <si>
    <t>https://www.properati.com.pe/detalle/14032-32-5f87-e1ed5bd16c6d-3d680e1b-8b26-4140</t>
  </si>
  <si>
    <t>Apartamento en alquiler en Ur. Santa Justina</t>
  </si>
  <si>
    <t>https://www.properati.com.pe/detalle/14032-32-eaa7-6634980f601c-85e362d0-bf6b-474f</t>
  </si>
  <si>
    <t>https://www.properati.com.pe/detalle/14032-32-f3ac-3575f15566be-e9e0e613-9c39-42b6</t>
  </si>
  <si>
    <t>https://www.properati.com.pe/detalle/14032-32-857b-6f145cf6b42c-b6f5249-992f-46e1</t>
  </si>
  <si>
    <t>https://www.properati.com.pe/detalle/14032-32-9d53-7a478bf65677-da102e85-997b-4b96</t>
  </si>
  <si>
    <t>Apartamento en alquiler en Ur. Santa Laura</t>
  </si>
  <si>
    <t>https://www.properati.com.pe/detalle/14032-32-f587-a85c770d87db-d7e3eb0d-93f3-46ab</t>
  </si>
  <si>
    <t>https://www.properati.com.pe/detalle/14032-32-5184-7575224c3821-673a5e15-bbb4-4b8e</t>
  </si>
  <si>
    <t>https://www.properati.com.pe/detalle/14032-32-bf80-196c1463fb75-3efdb258-9735-4a86</t>
  </si>
  <si>
    <t>https://www.properati.com.pe/detalle/14032-32-7417-8205e8383e98-407c4c58-8f9d-4310</t>
  </si>
  <si>
    <t>Apartamento en alquiler en Ur. La Luz</t>
  </si>
  <si>
    <t>https://www.properati.com.pe/detalle/14032-32-5002-24d5984d7d82-946c548d-88ab-47af</t>
  </si>
  <si>
    <t>Casa en alquiler en Co. La Molina Real</t>
  </si>
  <si>
    <t>https://www.properati.com.pe/detalle/14032-32-41c4-83677a5d1ce-d414da19-b116-4233</t>
  </si>
  <si>
    <t>https://www.properati.com.pe/detalle/14032-32-b155-47d0decbe1ef-b1f9e409-9101-4406</t>
  </si>
  <si>
    <t>https://www.properati.com.pe/detalle/14032-32-412f-6faa21c748b4-d06bd7d1-90bc-4f83</t>
  </si>
  <si>
    <t>https://www.properati.com.pe/detalle/14032-32-dce3-580c3545c01f-e625f046-8f55-42bf</t>
  </si>
  <si>
    <t>Apartamento en alquiler en Ur. Monte Carmelo</t>
  </si>
  <si>
    <t>https://www.properati.com.pe/detalle/14032-32-84e2-a955dc6ba26a-ae1b8dbf-8c5f-423a</t>
  </si>
  <si>
    <t>Apartamento en alquiler en San Miguel</t>
  </si>
  <si>
    <t>https://www.properati.com.pe/detalle/14032-32-5d22-1e9f06d2052f-2a794539-b69e-4973</t>
  </si>
  <si>
    <t>Apartamento en alquiler en Ur. La Alameda</t>
  </si>
  <si>
    <t>https://www.properati.com.pe/detalle/14032-32-17dd-b7e951405128-121e9293-a7bf-4c77</t>
  </si>
  <si>
    <t>Casa en alquiler en Surquillo</t>
  </si>
  <si>
    <t>https://www.properati.com.pe/detalle/14032-32-614b-2c0d25173a8f-5199fd7e-ac1f-4ff7</t>
  </si>
  <si>
    <t>https://www.properati.com.pe/detalle/14032-32-1d85-28832ce6e429-90442f95-9b35-4802</t>
  </si>
  <si>
    <t>https://www.properati.com.pe/detalle/14032-32-d6d0-7125598771e2-f331943a-a214-4314</t>
  </si>
  <si>
    <t>https://www.properati.com.pe/detalle/14032-32-4721-eea91aa4db2a-4b0d048-8152-4313</t>
  </si>
  <si>
    <t>Apartamento en alquiler en Ah. San Hilarion</t>
  </si>
  <si>
    <t>https://www.properati.com.pe/detalle/14032-32-ac96-d8851f49fc7-91d20852-bce3-481f</t>
  </si>
  <si>
    <t>https://www.properati.com.pe/detalle/14032-32-9378-71d7bec9b9d1-22efe262-9846-4759</t>
  </si>
  <si>
    <t>https://www.properati.com.pe/detalle/14032-32-ab4-511d4621325f-b443310-9c30-4659</t>
  </si>
  <si>
    <t>https://www.properati.com.pe/detalle/14032-32-2aff-b1cef571a172-23d1c34f-9047-48d2</t>
  </si>
  <si>
    <t>https://www.properati.com.pe/detalle/14032-32-c7f7-d450ba199cbd-1c7a26e4-92a4-4802</t>
  </si>
  <si>
    <t>https://www.properati.com.pe/detalle/14032-32-2b70-ff10afbd4727-f97d71ef-ba37-45f7</t>
  </si>
  <si>
    <t>https://www.properati.com.pe/detalle/14032-32-7183-da85d5d91323-5718b7ce-8401-4b86</t>
  </si>
  <si>
    <t>Apartamento en alquiler en Urb las Gardenias Etapa 1</t>
  </si>
  <si>
    <t>https://www.properati.com.pe/detalle/14032-32-79bd-b4777c98be0d-2208e5d0-b62d-460d</t>
  </si>
  <si>
    <t>https://www.properati.com.pe/detalle/14032-32-205b-cd0ee430d35d-3ba16fcb-b37a-458a</t>
  </si>
  <si>
    <t>Apartamento en alquiler en El Callao</t>
  </si>
  <si>
    <t>https://www.properati.com.pe/detalle/14032-32-a64a-df499b8d54e3-c3a83094-8f4d-455d</t>
  </si>
  <si>
    <t>Casa en alquiler en Ag. Inmaculada</t>
  </si>
  <si>
    <t>https://www.properati.com.pe/detalle/14032-32-d7ec-91ab13feae57-ac3b05df-9484-4c75</t>
  </si>
  <si>
    <t>https://www.properati.com.pe/detalle/14032-32-6414-a24b7af24ab-d978f100-99d6-4119</t>
  </si>
  <si>
    <t>https://www.properati.com.pe/detalle/14032-32-e8c3-826540818b5-d9dbe371-8196-461e</t>
  </si>
  <si>
    <t>Casa en alquiler en Ur. La Encantada</t>
  </si>
  <si>
    <t>https://www.properati.com.pe/detalle/14032-32-b687-fcf325908c1c-ac5d114f-9910-42ab</t>
  </si>
  <si>
    <t>Apartamento en alquiler en Ur. Campo De Polo</t>
  </si>
  <si>
    <t>https://www.properati.com.pe/detalle/14032-32-67e-7961ec75091a-4f396479-8531-46a1</t>
  </si>
  <si>
    <t>Apartamento en alquiler en Asia</t>
  </si>
  <si>
    <t>https://www.properati.com.pe/detalle/14032-32-3f03-7be4c4e646f7-e4d02d79-a9b6-47d9</t>
  </si>
  <si>
    <t>https://www.properati.com.pe/detalle/14032-32-66f-1b9cb52d3179-be2b6645-9397-4944</t>
  </si>
  <si>
    <t>https://www.properati.com.pe/detalle/14032-32-2194-dfc2de2de1b0-e392cfaa-9c16-4b6a</t>
  </si>
  <si>
    <t>https://www.properati.com.pe/detalle/14032-32-1027-6e637ab2439a-f3786c9e-9874-44f3</t>
  </si>
  <si>
    <t>https://www.properati.com.pe/detalle/14032-32-45cb-b6a85f6aa66b-9502bad3-99f6-45a9</t>
  </si>
  <si>
    <t>https://www.properati.com.pe/detalle/14032-32-84c1-abdc53fec0e4-d798cd90-9e1b-120d</t>
  </si>
  <si>
    <t>https://www.properati.com.pe/detalle/14032-32-d9b7-2cf8649679c1-18551c74-a815-4a3c</t>
  </si>
  <si>
    <t>Apartamento en alquiler en Fundo Conde San Isidro</t>
  </si>
  <si>
    <t>https://www.properati.com.pe/detalle/14032-32-99c3-cfb7aa40f7e7-944e2982-8b7a-4b80</t>
  </si>
  <si>
    <t>https://www.properati.com.pe/detalle/14032-32-ea5f-bd724abdf0b0-620ff35d-8dfb-4c50</t>
  </si>
  <si>
    <t>Casa en alquiler en Ur. Monte Carmelo</t>
  </si>
  <si>
    <t>https://www.properati.com.pe/detalle/14032-32-8d6f-9d019a7c4ff3-6bd3681a-a10b-4812</t>
  </si>
  <si>
    <t>Apartamento en alquiler en Santa Rosa</t>
  </si>
  <si>
    <t>https://www.properati.com.pe/detalle/14032-32-c44c-cb19a3937e63-cba2504-a3bd-4a08</t>
  </si>
  <si>
    <t>Casa en alquiler en As. Miguel Grau</t>
  </si>
  <si>
    <t>https://www.properati.com.pe/detalle/14032-32-bc71-c73c661fb498-c94357a0-8d71-120d</t>
  </si>
  <si>
    <t>https://www.properati.com.pe/detalle/14032-32-7a8a-cf7d8448a11-eda963f-b1d9-443a</t>
  </si>
  <si>
    <t>https://www.properati.com.pe/detalle/14032-32-6233-d395937c0e17-42b066e9-a76c-4f91</t>
  </si>
  <si>
    <t>Apartamento en alquiler en Lo. Chacra Cerro</t>
  </si>
  <si>
    <t>https://www.properati.com.pe/detalle/14032-32-51af-bd59bf77d232-ed24aff0-8046-4397</t>
  </si>
  <si>
    <t>Apartamento en alquiler en Ur. Las Laderas De Melgarejo</t>
  </si>
  <si>
    <t>https://www.properati.com.pe/detalle/14032-32-5a50-fa71d36f18b8-ec2437fb-b653-5005</t>
  </si>
  <si>
    <t>https://www.properati.com.pe/detalle/14032-32-b329-3bcc8f6202ec-5f71e3ef-86e0-4d04</t>
  </si>
  <si>
    <t>Casa en alquiler en Asia</t>
  </si>
  <si>
    <t>https://www.properati.com.pe/detalle/14032-32-6c9f-6183348c61ed-dc4bbfdc-84ca-4801</t>
  </si>
  <si>
    <t>https://www.properati.com.pe/detalle/14032-32-c048-adde0b22dd60-d89176d0-b132-120d</t>
  </si>
  <si>
    <t>Apartamento en alquiler en Ur. Mayorazgo Etapa Iv</t>
  </si>
  <si>
    <t>https://www.properati.com.pe/detalle/14032-32-22e6-21be8ef1e441-b0fe8edc-947e-49b1</t>
  </si>
  <si>
    <t>https://www.properati.com.pe/detalle/14032-32-d8f0-6fc097f888a1-1d78eb10-8a77-4726</t>
  </si>
  <si>
    <t>https://www.properati.com.pe/detalle/14032-32-c06b-fb738b2ee363-26a151c0-aac3-120d</t>
  </si>
  <si>
    <t>https://www.properati.com.pe/detalle/14032-32-cd77-bc3bd68c89c5-ff43f21d-926c-43cc</t>
  </si>
  <si>
    <t>Apartamento en alquiler en Las Acacias</t>
  </si>
  <si>
    <t>https://www.properati.com.pe/detalle/14032-32-4294-b4743415b9db-59868097-bc98-3b13</t>
  </si>
  <si>
    <t>https://www.properati.com.pe/detalle/14032-32-c047-4d38b668e473-ada67c00-8a37-120d</t>
  </si>
  <si>
    <t>https://www.properati.com.pe/detalle/14032-32-ce00-a494b50ac00b-1b9db7fa-9ef1-4df4</t>
  </si>
  <si>
    <t>https://www.properati.com.pe/detalle/14032-32-fdca-6ff02bd0a6d3-cbac234b-96b9-312c</t>
  </si>
  <si>
    <t>https://www.properati.com.pe/detalle/14032-32-8519-cab47c4ff2fe-ad8574d5-a1f7-458d</t>
  </si>
  <si>
    <t>Apartamento en alquiler en Lo. Parcelacion - Ex Fundo La Estrella Sector 23</t>
  </si>
  <si>
    <t>https://www.properati.com.pe/detalle/14032-32-9fdc-cddfd1955206-c2575ccd-a329-4011</t>
  </si>
  <si>
    <t>https://www.properati.com.pe/detalle/14032-32-c20-9506af32f857-edbebebc-b920-438d</t>
  </si>
  <si>
    <t>https://www.properati.com.pe/detalle/14032-32-7153-ed48552947b7-6a2440e1-8d99-4c50</t>
  </si>
  <si>
    <t>https://www.properati.com.pe/detalle/14032-32-79fb-11bb5e125d9e-6db5099b-a907-468d</t>
  </si>
  <si>
    <t>https://www.properati.com.pe/detalle/14032-32-919b-b380b8c43666-d2723b18-9876-4c7e</t>
  </si>
  <si>
    <t>https://www.properati.com.pe/detalle/14032-32-8ede-2dc787348dec-f6829be-84fa-4516</t>
  </si>
  <si>
    <t>https://www.properati.com.pe/detalle/14032-32-1580-847661ec7f0c-42f9b076-b2fb-45c3</t>
  </si>
  <si>
    <t>Casa en alquiler en Ur. El Sol De La Molina Etapa I</t>
  </si>
  <si>
    <t>https://www.properati.com.pe/detalle/14032-32-7c27-9aef3ad01741-55e52c06-a397-4aca</t>
  </si>
  <si>
    <t>https://www.properati.com.pe/detalle/14032-32-42a3-ae85fc19d920-29002ad6-877d-4793</t>
  </si>
  <si>
    <t>https://www.properati.com.pe/detalle/14032-32-448b-c8a06f851ae-acb12818-bb46-4c4f</t>
  </si>
  <si>
    <t>https://www.properati.com.pe/detalle/14032-32-c949-d3d9505eef72-a80394cd-b458-4587</t>
  </si>
  <si>
    <t>Casa en alquiler en Ur. Las Palmas De Surco</t>
  </si>
  <si>
    <t>https://www.properati.com.pe/detalle/14032-32-ef33-f4f05270a1ed-9ac88a94-a804-3b5c</t>
  </si>
  <si>
    <t>https://www.properati.com.pe/detalle/14032-32-5be1-7ebf9d9b9bba-4cdaa40d-b5e7-4340</t>
  </si>
  <si>
    <t>https://www.properati.com.pe/detalle/14032-32-fc54-c0eba2c56200-a3e64ae1-8940-47cf</t>
  </si>
  <si>
    <t>Apartamento en alquiler en Ur. Santa Patricia Etapa Ii</t>
  </si>
  <si>
    <t>https://www.properati.com.pe/detalle/14032-32-bf1d-c1f7980a0236-74f4ffb0-bf16-120d</t>
  </si>
  <si>
    <t>Oficina en alquiler en El Palomar</t>
  </si>
  <si>
    <t>https://www.properati.com.pe/detalle/14032-32-1198-515142e11f93-59412bf5-8c2d-3463</t>
  </si>
  <si>
    <t>Apartamento en alquiler en Ur. San Rafael</t>
  </si>
  <si>
    <t>https://www.properati.com.pe/detalle/14032-32-a079-bb34ba02ec8c-b04aa9b0-96c5-120d</t>
  </si>
  <si>
    <t>https://www.properati.com.pe/detalle/14032-32-b90c-36539b145c1-983fe410-9f5e-120d</t>
  </si>
  <si>
    <t>Apartamento en alquiler en Ur. Santa Patricia Etapa Iii</t>
  </si>
  <si>
    <t>https://www.properati.com.pe/detalle/14032-32-a07d-43b463b85c32-b0be7d50-926f-120d</t>
  </si>
  <si>
    <t>Apartamento en alquiler en Ur. Tejada Alta</t>
  </si>
  <si>
    <t>https://www.properati.com.pe/detalle/14032-32-b5e4-cf88ec1247af-831d7ae5-b8e8-4ec2</t>
  </si>
  <si>
    <t>https://www.properati.com.pe/detalle/14032-32-2df7-5b619c1ec409-9bdb9e6b-a410-428d</t>
  </si>
  <si>
    <t>https://www.properati.com.pe/detalle/14032-32-4e15-75895301dc49-a57189c1-9bdc-4860</t>
  </si>
  <si>
    <t>https://www.properati.com.pe/detalle/14032-32-7349-8be320d6d96d-daa54281-8f66-3400</t>
  </si>
  <si>
    <t>https://www.properati.com.pe/detalle/14032-32-3051-b3e8812b96e6-24361292-ab56-3bcd</t>
  </si>
  <si>
    <t>https://www.properati.com.pe/detalle/14032-32-8127-f993a284f48c-db984799-ae36-4d89</t>
  </si>
  <si>
    <t>https://www.properati.com.pe/detalle/14032-32-82cd-57276ca491b1-c6075d56-a4d2-46d9</t>
  </si>
  <si>
    <t>https://www.properati.com.pe/detalle/14032-32-ce0c-96f8a62c821e-5e00420e-bd3e-4fc5</t>
  </si>
  <si>
    <t>https://www.properati.com.pe/detalle/14032-32-ace8-fc3916c3704f-8c744627-b9e2-428e</t>
  </si>
  <si>
    <t>https://www.properati.com.pe/detalle/14032-32-1ae8-2ef1cf1fab82-f77ad90f-9507-44e3</t>
  </si>
  <si>
    <t>Casa en alquiler en Leuro</t>
  </si>
  <si>
    <t>https://www.properati.com.pe/detalle/14032-32-8f96-c575a376318e-c16ca76b-ad45-4358</t>
  </si>
  <si>
    <t>https://www.properati.com.pe/detalle/14032-32-df3c-bce5496691b7-de446cdd-9587-4ff9</t>
  </si>
  <si>
    <t>https://www.properati.com.pe/detalle/14032-32-60d3-7477ef7b7d0b-e71ed7d8-b175-4f3c</t>
  </si>
  <si>
    <t>https://www.properati.com.pe/detalle/14032-32-951-68e3a4440cac-7a685b7c-9b11-4b75</t>
  </si>
  <si>
    <t>Apartamento en alquiler en Ur. Los Patricios (San Felipe)</t>
  </si>
  <si>
    <t>https://www.properati.com.pe/detalle/14032-32-998c-974062cc4d8a-2245523a-95d2-414d</t>
  </si>
  <si>
    <t>Apartamento en alquiler en Ur. Huacrachuco</t>
  </si>
  <si>
    <t>https://www.properati.com.pe/detalle/14032-32-3fc3-a457482f39f2-59b0fc53-a20b-48b3</t>
  </si>
  <si>
    <t>https://www.properati.com.pe/detalle/14032-32-d7ce-ddfcdf65657c-ce6ed8b-b846-4237</t>
  </si>
  <si>
    <t>https://www.properati.com.pe/detalle/14032-32-6686-d14e38a7960f-511d3214-b40d-48a8</t>
  </si>
  <si>
    <t>https://www.properati.com.pe/detalle/14032-32-f897-95a7ecda825d-2b8516c7-bb50-3ab1</t>
  </si>
  <si>
    <t>Apartamento en alquiler en Ur. German Astete</t>
  </si>
  <si>
    <t>https://www.properati.com.pe/detalle/14032-32-82fc-88ca67d6c349-f3e6d089-b3c0-3e5d</t>
  </si>
  <si>
    <t>https://www.properati.com.pe/detalle/14032-32-52e6-440e2a7f48e5-c01cc136-a13c-4eef</t>
  </si>
  <si>
    <t>Apartamento en alquiler en Fundo Monterrico Chico</t>
  </si>
  <si>
    <t>https://www.properati.com.pe/detalle/14032-32-371e-3ef3f5639118-a919ffa5-80d7-4b81</t>
  </si>
  <si>
    <t>https://www.properati.com.pe/detalle/14032-32-946-564c1a5a28df-994ccb3d-bb5e-4fe4</t>
  </si>
  <si>
    <t>https://www.properati.com.pe/detalle/14032-32-d479-e9ddef853b15-ad4a2249-9cc8-469c</t>
  </si>
  <si>
    <t>https://www.properati.com.pe/detalle/14032-32-cec6-2e0471f70181-6ff1747-a253-46d0</t>
  </si>
  <si>
    <t>Apartamento en alquiler en San Borja</t>
  </si>
  <si>
    <t>https://www.properati.com.pe/detalle/14032-32-c319-f2c2ca7db955-e17a629c-9920-409d</t>
  </si>
  <si>
    <t>https://www.properati.com.pe/detalle/14032-32-4a71-663fa8f57892-21a9862b-92fb-4f8d</t>
  </si>
  <si>
    <t>Casa en alquiler en Ur. Micaela Bastidas</t>
  </si>
  <si>
    <t>https://www.properati.com.pe/detalle/14032-32-c77b-a1c3e6fce978-bbb3fff3-a727-46ec</t>
  </si>
  <si>
    <t>Apartamento en alquiler en Ur. Vista Alegre</t>
  </si>
  <si>
    <t>https://www.properati.com.pe/detalle/14032-32-d3e7-943e2c1fef5e-fc217ab8-a99e-4080</t>
  </si>
  <si>
    <t>https://www.properati.com.pe/detalle/14032-32-3cdb-262ac65a8eac-9e9a34c7-894d-40b9</t>
  </si>
  <si>
    <t>Apartamento en alquiler en Ur. Valle Hermoso Residencial Etapa Ii</t>
  </si>
  <si>
    <t>https://www.properati.com.pe/detalle/14032-32-8a8a-37ccd979c701-c92c721d-83dc-4073</t>
  </si>
  <si>
    <t>https://www.properati.com.pe/detalle/14032-32-7444-44dd48a9da8f-af958a24-92e8-414d</t>
  </si>
  <si>
    <t>https://www.properati.com.pe/detalle/14032-32-972e-fb714669d198-9bf7fafe-990b-48da</t>
  </si>
  <si>
    <t>https://www.properati.com.pe/detalle/14032-32-6d61-cee736aea1bb-3818e47d-a30f-4dd1</t>
  </si>
  <si>
    <t>Apartamento en alquiler en UrbanizaciÃ³n ZÃ¡rate</t>
  </si>
  <si>
    <t>https://www.properati.com.pe/detalle/14032-32-ba51-53a5dddb3e53-56747550-a50a-120d</t>
  </si>
  <si>
    <t>Apartamento en alquiler en Ur. Nueva Castilla</t>
  </si>
  <si>
    <t>https://www.properati.com.pe/detalle/14032-32-a20e-8df9ef4bc2e4-66fe14db-b5f6-4e01</t>
  </si>
  <si>
    <t>https://www.properati.com.pe/detalle/14032-32-dbf9-138ed6ee263f-170e0d2-893c-4192</t>
  </si>
  <si>
    <t>https://www.properati.com.pe/detalle/14032-32-554b-98555dea96c9-2026c44a-bb98-4d18</t>
  </si>
  <si>
    <t>https://www.properati.com.pe/detalle/14032-32-798d-feeda2f11d87-b9d5c66c-b41a-4128</t>
  </si>
  <si>
    <t>https://www.properati.com.pe/detalle/14032-32-11ec-7377078ccf67-355c7069-b65d-5016</t>
  </si>
  <si>
    <t>https://www.properati.com.pe/detalle/14032-32-e1-70648799a85f-217000ee-ba69-4f43</t>
  </si>
  <si>
    <t>https://www.properati.com.pe/detalle/14032-32-aa29-e9f2a37908b5-24e1ae20-8b1c-447d</t>
  </si>
  <si>
    <t>https://www.properati.com.pe/detalle/14032-32-8bc1-c853fbbb192a-f1f878a9-8f59-40b1</t>
  </si>
  <si>
    <t>https://www.properati.com.pe/detalle/14032-32-30f2-2c7a63c4abc-58b92a4c-b5fb-4960</t>
  </si>
  <si>
    <t>https://www.properati.com.pe/detalle/14032-32-f3d4-6a7543e8e7e7-ce8dfe33-b397-4d4c</t>
  </si>
  <si>
    <t>https://www.properati.com.pe/detalle/14032-32-8572-4c3c43423cfd-3c8de3a5-82b8-4692</t>
  </si>
  <si>
    <t>https://www.properati.com.pe/detalle/14032-32-688b-1375a15a8fcd-ecd54b3a-bd38-403d</t>
  </si>
  <si>
    <t>Apartamento en alquiler en Urb Haras Tyber</t>
  </si>
  <si>
    <t>https://www.properati.com.pe/detalle/14032-32-61ea-302e3e59a505-6bb0871b-8f87-315a</t>
  </si>
  <si>
    <t>https://www.properati.com.pe/detalle/14032-32-e0ca-fa1410aff861-caeb33ac-8072-4c39</t>
  </si>
  <si>
    <t>https://www.properati.com.pe/detalle/14032-32-ae1c-a909eb3775d7-cff891cd-a943-4dba</t>
  </si>
  <si>
    <t>https://www.properati.com.pe/detalle/14032-32-6c7c-7f19d2f767d2-4dabc45b-a3a1-4c76</t>
  </si>
  <si>
    <t>https://www.properati.com.pe/detalle/14032-32-1618-5805e38df61b-6103048c-bae4-4e3c</t>
  </si>
  <si>
    <t>Apartamento en alquiler en Urb Costa Sur</t>
  </si>
  <si>
    <t>https://www.properati.com.pe/detalle/14032-32-b21f-316324697aa5-414bde3d-8767-483f</t>
  </si>
  <si>
    <t>Apartamento en alquiler en Urb Huertos de San Antonio</t>
  </si>
  <si>
    <t>https://www.properati.com.pe/detalle/14032-32-fbcb-f235e92e9a0-8c1a18c3-8895-4bc8</t>
  </si>
  <si>
    <t>Apartamento en alquiler en Leuro</t>
  </si>
  <si>
    <t>Apartamento en alquiler en Ur. Huertos De San Antonio</t>
  </si>
  <si>
    <t>https://www.properati.com.pe/detalle/14032-32-58bf-a75a26f50657-d3e8e44f-ab50-4c0f</t>
  </si>
  <si>
    <t>https://www.properati.com.pe/detalle/14032-32-fd2b-fa8e8374ef47-a9b776e9-aff2-4ab4</t>
  </si>
  <si>
    <t>https://www.properati.com.pe/detalle/14032-32-1bda-ae285943ffc4-70cdde0f-b5b5-428f</t>
  </si>
  <si>
    <t>Apartamento en alquiler en Ur. Los Tulipanes</t>
  </si>
  <si>
    <t>https://www.properati.com.pe/detalle/14032-32-33c9-f4ebbe9a4d85-26f10c68-b685-4b62</t>
  </si>
  <si>
    <t>https://www.properati.com.pe/detalle/14032-32-3ec1-6943670a3c82-b4c53102-b86e-4e0c</t>
  </si>
  <si>
    <t>https://www.properati.com.pe/detalle/14032-32-694a-fd96106fb6c6-323ecb67-949a-40a6</t>
  </si>
  <si>
    <t>https://www.properati.com.pe/detalle/14032-32-41d2-2a28d767d2a7-4257d844-8f1b-4c58</t>
  </si>
  <si>
    <t>Apartamento en alquiler en Ur. Chacarilla Santa Cruz Zona Santa Isabel</t>
  </si>
  <si>
    <t>https://www.properati.com.pe/detalle/14032-32-168a-e9b070553ad4-2ff1474c-8321-424a</t>
  </si>
  <si>
    <t>https://www.properati.com.pe/detalle/14032-32-b22b-9168decfdefe-9693e428-874f-4d1d</t>
  </si>
  <si>
    <t>https://www.properati.com.pe/detalle/14032-32-9eb2-72eff95e4d5f-de0fbff1-b96f-4d87</t>
  </si>
  <si>
    <t>Casa en alquiler en Lurin</t>
  </si>
  <si>
    <t>https://www.properati.com.pe/detalle/14032-32-c9dd-ed5ac183e59d-9ab7d56e-8150-4747</t>
  </si>
  <si>
    <t>Apartamento en alquiler en Barranco</t>
  </si>
  <si>
    <t>https://www.properati.com.pe/detalle/14032-32-e165-4f8a293979b3-b24648d4-b4aa-4e00</t>
  </si>
  <si>
    <t>https://www.properati.com.pe/detalle/14032-32-1250-4ee6de009722-f8af4558-a625-44e6</t>
  </si>
  <si>
    <t>https://www.properati.com.pe/detalle/14032-32-eb2c-9f47874d20c5-786aa543-8e3b-42c0</t>
  </si>
  <si>
    <t>https://www.properati.com.pe/detalle/14032-32-b5ae-e30b153f50d4-57f12ba0-8b95-120d</t>
  </si>
  <si>
    <t>https://www.properati.com.pe/detalle/14032-32-af7-6600f6a012c-212716d4-9760-40e3</t>
  </si>
  <si>
    <t>https://www.properati.com.pe/detalle/14032-32-2717-ce3f2fd0fc3d-ea1f31bd-acd1-4700</t>
  </si>
  <si>
    <t>Casa en alquiler en Ur. San Juan Sector A</t>
  </si>
  <si>
    <t>https://www.properati.com.pe/detalle/14032-32-3ed6-515c72162e41-263f2e17-b794-47ac</t>
  </si>
  <si>
    <t>https://www.properati.com.pe/detalle/14032-32-12b3-3941988bded1-423779e9-9ad3-4105</t>
  </si>
  <si>
    <t>https://www.properati.com.pe/detalle/14032-32-bedb-4b547115ceea-c190f7fc-a186-4d9b</t>
  </si>
  <si>
    <t>https://www.properati.com.pe/detalle/14032-32-e721-a461b49f40b-25f54c8a-858c-424b</t>
  </si>
  <si>
    <t>https://www.properati.com.pe/detalle/14032-32-ad5a-df72fccaf31d-79f1a330-97c2-4965</t>
  </si>
  <si>
    <t>https://www.properati.com.pe/detalle/14032-32-54d-b40441026a62-b112d261-98e2-42e9</t>
  </si>
  <si>
    <t>Apartamento en alquiler en Pj. Hacienda Pro</t>
  </si>
  <si>
    <t>https://www.properati.com.pe/detalle/14032-32-3f89-e32784bc99ae-1edd2db8-b4af-465e</t>
  </si>
  <si>
    <t>https://www.properati.com.pe/detalle/14032-32-f36a-68bd6ac1f73d-f38a3b79-8cf9-4a97</t>
  </si>
  <si>
    <t>https://www.properati.com.pe/detalle/14032-32-79a1-6276337f755b-90d06212-985f-473c</t>
  </si>
  <si>
    <t>Apartamento en alquiler en San Juan Zona B</t>
  </si>
  <si>
    <t>https://www.properati.com.pe/detalle/14032-32-4338-d28f4fdbaf4b-7f7e7ea5-84d5-4e7c</t>
  </si>
  <si>
    <t>Apartamento en alquiler en Ur. La Perla</t>
  </si>
  <si>
    <t>https://www.properati.com.pe/detalle/14032-32-a7ab-ebde941bf2e3-d8cd1876-a97c-4ac7</t>
  </si>
  <si>
    <t>https://www.properati.com.pe/detalle/14032-32-b573-1f86107fda0e-cba00bb0-9846-120d</t>
  </si>
  <si>
    <t>https://www.properati.com.pe/detalle/14032-32-59a9-b3f4765c2482-1dfc29b0-acac-120d</t>
  </si>
  <si>
    <t>https://www.properati.com.pe/detalle/14032-32-f0ad-3042b1ab8381-50d0f42e-a40a-45df</t>
  </si>
  <si>
    <t>https://www.properati.com.pe/detalle/14032-32-5371-c8a8421cb383-68c9bee-a69f-4566</t>
  </si>
  <si>
    <t>https://www.properati.com.pe/detalle/14032-32-7979-542d27934b01-9dab0932-a53c-4668</t>
  </si>
  <si>
    <t>Casa en alquiler en Ur. Los Cedros De Villa Etapa Xi</t>
  </si>
  <si>
    <t>https://www.properati.com.pe/detalle/14032-32-bb9f-e9b0866f2530-194e584-892b-4fb3</t>
  </si>
  <si>
    <t>Apartamento en alquiler en Uv. Mirones</t>
  </si>
  <si>
    <t>https://www.properati.com.pe/detalle/14032-32-5208-f57e72da4a0f-e5b8427a-a7fa-47f3</t>
  </si>
  <si>
    <t>https://www.properati.com.pe/detalle/14032-32-7278-d726b8b99692-56cd5903-8237-47e0</t>
  </si>
  <si>
    <t>https://www.properati.com.pe/detalle/14032-32-f940-364e7be96dd5-f4adc101-90d7-4b17</t>
  </si>
  <si>
    <t>https://www.properati.com.pe/detalle/14032-32-ade1-bd7dc48e66c9-995251bd-b6d8-45f8</t>
  </si>
  <si>
    <t>https://www.properati.com.pe/detalle/14032-32-c4ba-82e5b7b24078-5b49aa35-8144-44fb</t>
  </si>
  <si>
    <t>https://www.properati.com.pe/detalle/14032-32-ace-3805761c4b55-6df83312-9382-486f</t>
  </si>
  <si>
    <t>https://www.properati.com.pe/detalle/14032-32-e189-d378a83c99d7-a2d802db-a7e1-4650</t>
  </si>
  <si>
    <t>Apartamento en alquiler en Ur. San Jose</t>
  </si>
  <si>
    <t>https://www.properati.com.pe/detalle/14032-32-207f-541f529f156c-f163e947-ba3f-48b7</t>
  </si>
  <si>
    <t>https://www.properati.com.pe/detalle/14032-32-5573-8c503d6ac96a-2b34ffa4-a685-4a55</t>
  </si>
  <si>
    <t>Casa de playa en alquiler en Ur. Punta Negra</t>
  </si>
  <si>
    <t>https://www.properati.com.pe/detalle/14032-32-e704-c9ad113a8900-6d677976-a60e-4667</t>
  </si>
  <si>
    <t>Apartamento en alquiler en Urb Santa Cruz</t>
  </si>
  <si>
    <t>https://www.properati.com.pe/detalle/14032-32-624f-31f2361f6878-a2a57c33-b7d9-49d4</t>
  </si>
  <si>
    <t>Apartamento en alquiler en ArmendÃ¡riz</t>
  </si>
  <si>
    <t>https://www.properati.com.pe/detalle/14032-32-c052-3f617002477f-9b39fb89-9735-419f</t>
  </si>
  <si>
    <t>https://www.properati.com.pe/detalle/14032-32-3b49-cfb15daad0b6-3af69b61-b9e1-454b</t>
  </si>
  <si>
    <t>Casa en alquiler en As. Los Zorzales</t>
  </si>
  <si>
    <t>https://www.properati.com.pe/detalle/14032-32-daed-55e611929e4c-737b75cd-abe5-43d6</t>
  </si>
  <si>
    <t>Casa en alquiler en Chaclacayo</t>
  </si>
  <si>
    <t>https://www.properati.com.pe/detalle/14032-32-6707-571ed4f2c043-d3a93edc-81d8-45d6</t>
  </si>
  <si>
    <t>https://www.properati.com.pe/detalle/14032-32-b95b-1d6f7115c480-16e8b844-9eaf-4289</t>
  </si>
  <si>
    <t>https://www.properati.com.pe/detalle/14032-32-ef0a-8457bf39b305-8da1dbb0-8d8d-375b</t>
  </si>
  <si>
    <t>Casa en alquiler en Cv. C.I.P</t>
  </si>
  <si>
    <t>https://www.properati.com.pe/detalle/14032-32-71b3-2a22209cddbd-28ff3a60-9eae-4c86</t>
  </si>
  <si>
    <t>https://www.properati.com.pe/detalle/14032-32-ec4c-e1f3d0220fd1-d78d5ab5-8826-4b21</t>
  </si>
  <si>
    <t>Casa en alquiler en Ur. Santa Monica</t>
  </si>
  <si>
    <t>https://www.properati.com.pe/detalle/14032-32-b5a5-784e30091bc4-6d6b3761-be85-4176</t>
  </si>
  <si>
    <t>https://www.properati.com.pe/detalle/14032-32-d07a-3ceb6952319d-df8cff09-b332-4834</t>
  </si>
  <si>
    <t>https://www.properati.com.pe/detalle/14032-32-880f-cadbfdf6f736-8f5b0135-916d-41df</t>
  </si>
  <si>
    <t>https://www.properati.com.pe/detalle/14032-32-40ce-565106f135ca-9825c73d-ad33-473a</t>
  </si>
  <si>
    <t>Apartamento en alquiler en As. Las ViÃ±as De San Antonio Etapa I</t>
  </si>
  <si>
    <t>https://www.properati.com.pe/detalle/14032-32-18be-257e599e4be5-22fae440-a3bc-439b</t>
  </si>
  <si>
    <t>Apartamento en alquiler en Reducto</t>
  </si>
  <si>
    <t>https://www.properati.com.pe/detalle/14032-32-f00-b9b25b667c69-26d51ca9-b374-4994</t>
  </si>
  <si>
    <t>Apartamento en alquiler en As. Los Heraldos</t>
  </si>
  <si>
    <t>https://www.properati.com.pe/detalle/14032-32-5906-f6c3269ce632-19492f70-8603-42e1</t>
  </si>
  <si>
    <t>Apartamento en alquiler en Pj. El Carmen Alto</t>
  </si>
  <si>
    <t>https://www.properati.com.pe/detalle/14032-32-fefc-71d74dbfd06e-56da298c-99b9-4ad3</t>
  </si>
  <si>
    <t>https://www.properati.com.pe/detalle/14032-32-9d9f-2fcd8da0514a-e1c9faff-b307-4900</t>
  </si>
  <si>
    <t>https://www.properati.com.pe/detalle/14032-32-d83-a73504cea72b-1f0e3a25-b307-40ca</t>
  </si>
  <si>
    <t>Apartamento en alquiler en Ur. El Olivar</t>
  </si>
  <si>
    <t>https://www.properati.com.pe/detalle/14032-32-3f1e-3174905120b1-f050477e-baaa-433a</t>
  </si>
  <si>
    <t>https://www.properati.com.pe/detalle/14032-32-1218-7c5e24d59500-6e796f32-99d5-4854</t>
  </si>
  <si>
    <t>Apartamento en alquiler en Urb los Girasoles de Huampani</t>
  </si>
  <si>
    <t>https://www.properati.com.pe/detalle/14032-32-411c-bbe3883626fd-7e742256-8f3f-4f63</t>
  </si>
  <si>
    <t>https://www.properati.com.pe/detalle/14032-32-b834-7ba81460b0a6-68b1e781-bd64-4cab</t>
  </si>
  <si>
    <t>Apartamento en alquiler en Uv Del Rimac</t>
  </si>
  <si>
    <t>https://www.properati.com.pe/detalle/14032-32-2614-d2ab896c59dc-efc133b3-9220-474c</t>
  </si>
  <si>
    <t>https://www.properati.com.pe/detalle/14032-32-b956-ebb6494af1bd-191cc5c5-9dc7-40df</t>
  </si>
  <si>
    <t>https://www.properati.com.pe/detalle/14032-32-c334-145749678b62-1e08d7f9-bcd6-4d96</t>
  </si>
  <si>
    <t>Casa en alquiler en Ur. Collique</t>
  </si>
  <si>
    <t>https://www.properati.com.pe/detalle/14032-32-84ab-df5a350c0f4c-d8047e00-ac58-4db3</t>
  </si>
  <si>
    <t>Casa en alquiler en Los Manzanos</t>
  </si>
  <si>
    <t>https://www.properati.com.pe/detalle/14032-32-97de-b5155ed05b01-e8cedbf3-a4dd-31e8</t>
  </si>
  <si>
    <t>https://www.properati.com.pe/detalle/14032-32-3b71-97e0b0dbc454-c315f12b-8a46-34c7</t>
  </si>
  <si>
    <t>https://www.properati.com.pe/detalle/14032-32-4a4b-8fef0b8b8388-bbf93495-84ed-3835</t>
  </si>
  <si>
    <t>Apartamento en alquiler en Lo. Huertos Del Naranjal</t>
  </si>
  <si>
    <t>https://www.properati.com.pe/detalle/14032-32-f0a3-85b5011b425a-a9d1172c-ae32-40ac</t>
  </si>
  <si>
    <t>Apartamento en alquiler en Orrantia del Mar</t>
  </si>
  <si>
    <t>https://www.properati.com.pe/detalle/14032-32-4556-720d9237a0ef-a3340962-ae52-3e86</t>
  </si>
  <si>
    <t>Casa en alquiler en Sector 3</t>
  </si>
  <si>
    <t>https://www.properati.com.pe/detalle/14032-32-dd23-b83b5b9d111f-4329d4ed-bcb9-3155</t>
  </si>
  <si>
    <t>https://www.properati.com.pe/detalle/14032-32-5e27-11fd7c388e5d-127af30f-99c6-4cf5</t>
  </si>
  <si>
    <t>Apartamento en alquiler en Aurora</t>
  </si>
  <si>
    <t>https://www.properati.com.pe/detalle/14032-32-a9b2-a0ad50c0b380-1022e841-9cd7-48e4</t>
  </si>
  <si>
    <t>https://www.properati.com.pe/detalle/14032-32-95da-16df08c7b791-2eab4145-bc3a-4a2a</t>
  </si>
  <si>
    <t>https://www.properati.com.pe/detalle/14032-32-767c-a214d6e80fe4-1567cfe9-984f-4f9c</t>
  </si>
  <si>
    <t>https://www.properati.com.pe/detalle/14032-32-33d9-3f71c63b0549-4eb9a452-9e39-3521</t>
  </si>
  <si>
    <t>Casa en alquiler en Ah. Por La Union</t>
  </si>
  <si>
    <t>https://www.properati.com.pe/detalle/14032-32-fa4e-6572429bc4e0-f8d94993-b9c4-4fba</t>
  </si>
  <si>
    <t>https://www.properati.com.pe/detalle/14032-32-f0a7-f14e347a6b6a-efbff344-ad72-41a7</t>
  </si>
  <si>
    <t>https://www.properati.com.pe/detalle/14032-32-e07d-2ab1bf407f8f-6ec5878c-a759-4517</t>
  </si>
  <si>
    <t>https://www.properati.com.pe/detalle/14032-32-3bd8-96d63fb96430-4d4fff13-a681-4ef5</t>
  </si>
  <si>
    <t>https://www.properati.com.pe/detalle/14032-32-cf1-913f75cd2bda-1be72353-b9cc-41e2</t>
  </si>
  <si>
    <t>https://www.properati.com.pe/detalle/14032-32-9e37-da7472df6eb9-b1f840db-a3cd-4d52</t>
  </si>
  <si>
    <t>https://www.properati.com.pe/detalle/14032-32-8038-8db6ab952c33-a858f17c-a07a-4b36</t>
  </si>
  <si>
    <t>https://www.properati.com.pe/detalle/14032-32-586c-962f3028c518-cb67887a-998d-4641</t>
  </si>
  <si>
    <t>Apartamento en alquiler en Ur. El Cortijo Etapa I</t>
  </si>
  <si>
    <t>https://www.properati.com.pe/detalle/14032-32-2a12-919ff3f1a334-b6ecd00c-a9b1-4c4a</t>
  </si>
  <si>
    <t>https://www.properati.com.pe/detalle/14032-32-5009-89be9cb2209b-3fe53006-b20c-4807</t>
  </si>
  <si>
    <t>https://www.properati.com.pe/detalle/14032-32-80b1-a72b75b73954-7cf677c9-886d-4b0a</t>
  </si>
  <si>
    <t>https://www.properati.com.pe/detalle/14032-32-e8ca-fe09d7d3860-57443d7-b22e-4918</t>
  </si>
  <si>
    <t>Apartamento en alquiler en Res el Pinar</t>
  </si>
  <si>
    <t>https://www.properati.com.pe/detalle/14032-32-e99-5c20ca15a8a7-95de9a0f-9d91-4b74</t>
  </si>
  <si>
    <t>Apartamento en alquiler en Urb las Lomas de Monterrico</t>
  </si>
  <si>
    <t>https://www.properati.com.pe/detalle/14032-32-6e66-71a4ad924980-2c63f5f3-97d7-49d0</t>
  </si>
  <si>
    <t>https://www.properati.com.pe/detalle/14032-32-2cb-d7dd52313207-dfdacf61-8a16-4ddc</t>
  </si>
  <si>
    <t>https://www.properati.com.pe/detalle/14032-32-8e9e-54bae35cafb0-b9e9fef-b067-41d1</t>
  </si>
  <si>
    <t>Casa en alquiler en Bellavista</t>
  </si>
  <si>
    <t>https://www.properati.com.pe/detalle/14032-32-f12e-8479e8826f22-ea075fce-8eba-4c61</t>
  </si>
  <si>
    <t>https://www.properati.com.pe/detalle/14032-32-f4bb-105f7751e212-5dad729d-b73a-4e03</t>
  </si>
  <si>
    <t>Apartamento en alquiler en La Molina</t>
  </si>
  <si>
    <t>https://www.properati.com.pe/detalle/14032-32-837e-47b80445ae29-69139c5-8db3-40a5</t>
  </si>
  <si>
    <t>Apartamento en alquiler en Ur. San Fernando</t>
  </si>
  <si>
    <t>https://www.properati.com.pe/detalle/14032-32-1319-f7f118cecb16-98a1ba38-a301-4b9f</t>
  </si>
  <si>
    <t>https://www.properati.com.pe/detalle/14032-32-b5d1-d75e6823b173-36e301c5-a1b9-414d</t>
  </si>
  <si>
    <t>Apartamento en alquiler en Neptuno</t>
  </si>
  <si>
    <t>https://www.properati.com.pe/detalle/14032-32-f0e2-4ad86d50d89e-a825e22-b0a6-4121</t>
  </si>
  <si>
    <t>Apartamento en alquiler en Ur. Paulo Vi</t>
  </si>
  <si>
    <t>https://www.properati.com.pe/detalle/14032-32-e95c-11ca87ff99f4-b76d348d-aa60-40e3</t>
  </si>
  <si>
    <t>Casa en alquiler en Ur. Balta</t>
  </si>
  <si>
    <t>https://www.properati.com.pe/detalle/14032-32-49a2-c32420c17a80-df3d227c-b8ed-42ec</t>
  </si>
  <si>
    <t>https://www.properati.com.pe/detalle/14032-32-a5a9-79a85dfa7b50-9528940-b031-120d</t>
  </si>
  <si>
    <t>https://www.properati.com.pe/detalle/14032-32-c8f0-b351c9b5dcdb-11b4ddbd-945e-4fbe</t>
  </si>
  <si>
    <t>https://www.properati.com.pe/detalle/14032-32-8a4a-aea4db3fca4e-7269c3d2-b989-4b19</t>
  </si>
  <si>
    <t>Casa en alquiler en Ur. Las Magnolias</t>
  </si>
  <si>
    <t>https://www.properati.com.pe/detalle/14032-32-6af0-e506e174bb10-d1c7a548-b416-39f6</t>
  </si>
  <si>
    <t>Casa de playa en alquiler en Asia</t>
  </si>
  <si>
    <t>https://www.properati.com.pe/detalle/14032-32-86f4-edb85fcbc9e9-6b353050-8323-120d</t>
  </si>
  <si>
    <t>https://www.properati.com.pe/detalle/14032-32-a27b-41823ed29199-8f1a2553-97c8-4c99</t>
  </si>
  <si>
    <t>https://www.properati.com.pe/detalle/14032-32-87fc-3ace2e82e289-cbeef671-bc0b-3672</t>
  </si>
  <si>
    <t>https://www.properati.com.pe/detalle/14032-32-63a0-a84513f30005-a82056c6-bd92-4b2c</t>
  </si>
  <si>
    <t>Apartamento en alquiler en Ur. Chama</t>
  </si>
  <si>
    <t>https://www.properati.com.pe/detalle/14032-32-514b-71ebd02655f6-2f180b4c-a7c8-4eb1</t>
  </si>
  <si>
    <t>https://www.properati.com.pe/detalle/14032-32-be05-5833134dab6f-28ae16e7-bbcb-4e8f</t>
  </si>
  <si>
    <t>https://www.properati.com.pe/detalle/14032-32-8ee3-bba1de16b826-fe33ba3-899c-4bce</t>
  </si>
  <si>
    <t>https://www.properati.com.pe/detalle/14032-32-3b8d-7fa23aa21fea-b31a4094-a919-4348</t>
  </si>
  <si>
    <t>Apartamento en alquiler en A.h la Planicie</t>
  </si>
  <si>
    <t>https://www.properati.com.pe/detalle/14032-32-c1e2-f48dbc1bf604-e28d211-b899-48fa</t>
  </si>
  <si>
    <t>Apartamento en alquiler en Arenales</t>
  </si>
  <si>
    <t>https://www.properati.com.pe/detalle/14032-32-48ea-f3d1b8e62200-5246e7c7-8581-4766</t>
  </si>
  <si>
    <t>https://www.properati.com.pe/detalle/14032-32-ad0f-5578fe85719e-f9c8b6b6-9b19-4fc2</t>
  </si>
  <si>
    <t>Apartamento en alquiler en Ur. La Virreyna</t>
  </si>
  <si>
    <t>https://www.properati.com.pe/detalle/14032-32-3328-b6d4509e59c1-2a07ba79-8825-4346</t>
  </si>
  <si>
    <t>https://www.properati.com.pe/detalle/14032-32-5b61-6b5643cd1f61-cdc74c03-af8d-4b81</t>
  </si>
  <si>
    <t>https://www.properati.com.pe/detalle/14032-32-af2e-1d4f69ddb2cd-b3db4a2e-974d-4540</t>
  </si>
  <si>
    <t>Casa en alquiler en Ur. Los Bungalows</t>
  </si>
  <si>
    <t>https://www.properati.com.pe/detalle/14032-32-57da-39aaf6640713-ae27c9a5-b1a5-41cd</t>
  </si>
  <si>
    <t>https://www.properati.com.pe/detalle/14032-32-cd24-a8cf43a83f7c-a2baaacb-b1cd-427f</t>
  </si>
  <si>
    <t>https://www.properati.com.pe/detalle/14032-32-9d04-59507aea7342-2abc1860-8436-120d</t>
  </si>
  <si>
    <t>https://www.properati.com.pe/detalle/14032-32-e86d-d567db948f39-5844f515-8e8d-420d</t>
  </si>
  <si>
    <t>https://www.properati.com.pe/detalle/14032-32-dfda-e3c586049dfd-25a011bd-83ee-484a</t>
  </si>
  <si>
    <t>https://www.properati.com.pe/detalle/14032-32-8017-27092107870f-83e25030-8dc3-120d</t>
  </si>
  <si>
    <t>https://www.properati.com.pe/detalle/14032-32-2c1e-b7f94df21cd8-cf17992b-8a5c-4192</t>
  </si>
  <si>
    <t>https://www.properati.com.pe/detalle/14032-32-4840-f3e580f8b69c-884bb670-9398-120d</t>
  </si>
  <si>
    <t>https://www.properati.com.pe/detalle/14032-32-a4e3-5870872bcd9a-446d95a2-a850-45db</t>
  </si>
  <si>
    <t>https://www.properati.com.pe/detalle/14032-32-662b-5b1103224919-d6de7530-c006-120d</t>
  </si>
  <si>
    <t>Apartamento en alquiler en Urb San Borja</t>
  </si>
  <si>
    <t>https://www.properati.com.pe/detalle/14032-32-2a5-79bd0eef8c81-726d276e-827d-37bd</t>
  </si>
  <si>
    <t>https://www.properati.com.pe/detalle/14032-32-e9a3-8fe88f748431-f91c00c4-80d4-4985</t>
  </si>
  <si>
    <t>https://www.properati.com.pe/detalle/14032-32-1748-7d12aa7efc6e-dc11783f-b600-4bdd</t>
  </si>
  <si>
    <t>https://www.properati.com.pe/detalle/14032-32-7e79-5650437ac62d-b0554d91-9218-4d23</t>
  </si>
  <si>
    <t>https://www.properati.com.pe/detalle/14032-32-f264-281a655c73f9-e87fc94a-a125-42c5</t>
  </si>
  <si>
    <t>https://www.properati.com.pe/detalle/14032-32-6ca9-cb3dbfab8cbf-43532ceb-c000-45ba</t>
  </si>
  <si>
    <t>https://www.properati.com.pe/detalle/14032-32-243a-555b226273cd-94cc6629-8531-4e6a</t>
  </si>
  <si>
    <t>https://www.properati.com.pe/detalle/14032-32-5536-5ef3e309b62d-f47fb3db-b603-3dfd</t>
  </si>
  <si>
    <t>https://www.properati.com.pe/detalle/14032-32-81cf-c82dc4d2510-e96a3716-a9e6-4667</t>
  </si>
  <si>
    <t>Apartamento en alquiler en Ur. Las Lagunas De La Molina Etapa Iii</t>
  </si>
  <si>
    <t>https://www.properati.com.pe/detalle/14032-32-be99-248da778eb4d-d6d5373f-8020-4c01</t>
  </si>
  <si>
    <t>Apartamento en alquiler en Ur. Las Violetas</t>
  </si>
  <si>
    <t>https://www.properati.com.pe/detalle/14032-32-3e27-4db864529614-3900156e-bb89-459f</t>
  </si>
  <si>
    <t>https://www.properati.com.pe/detalle/14032-32-a811-1c129b81b993-dd6aac9f-a827-47e0</t>
  </si>
  <si>
    <t>https://www.properati.com.pe/detalle/14032-32-6c54-a8dc18b17bdf-ffbbc693-9f17-48f9</t>
  </si>
  <si>
    <t>https://www.properati.com.pe/detalle/14032-32-fad7-676124854889-f0f53906-8cdd-4ea9</t>
  </si>
  <si>
    <t>https://www.properati.com.pe/detalle/14032-32-939b-30d09cc2095b-cc755c94-b97f-3b80</t>
  </si>
  <si>
    <t>https://www.properati.com.pe/detalle/14032-32-f4ca-dc4f85d5c1fd-7d94464-8d76-3e30</t>
  </si>
  <si>
    <t>Casa en alquiler en Ur. San Ignacio De Monterrico (San Ignacio De Loyola)</t>
  </si>
  <si>
    <t>https://www.properati.com.pe/detalle/14032-32-6ae4-cb3dd84a0e03-b8008730-8bc2-120d</t>
  </si>
  <si>
    <t>Apartamento en alquiler en JardÃ­n</t>
  </si>
  <si>
    <t>https://www.properati.com.pe/detalle/14032-32-c088-2d80df17293-b2260f25-95bd-4f35</t>
  </si>
  <si>
    <t>Apartamento en alquiler en Hu. Club Arabe</t>
  </si>
  <si>
    <t>https://www.properati.com.pe/detalle/14032-32-185b-e1afbf14c631-f883f770-b93b-4a3a</t>
  </si>
  <si>
    <t>https://www.properati.com.pe/detalle/14032-32-7aa5-4cd6320d116-96bf4bd8-9106-4df6</t>
  </si>
  <si>
    <t>https://www.properati.com.pe/detalle/14032-32-d84d-c5962133aaa2-703720f9-aa87-4cad</t>
  </si>
  <si>
    <t>https://www.properati.com.pe/detalle/14032-32-dc7d-6bc26fe62837-2e5a1e27-b231-45a3</t>
  </si>
  <si>
    <t>Apartamento en alquiler en Ur. Covima</t>
  </si>
  <si>
    <t>https://www.properati.com.pe/detalle/14032-32-e68f-3f5f6bbc9506-8669d610-a3c8-4878</t>
  </si>
  <si>
    <t>https://www.properati.com.pe/detalle/14032-32-9cab-5054790b7a50-cee02294-9cba-488d</t>
  </si>
  <si>
    <t>https://www.properati.com.pe/detalle/14032-32-37c9-fc023d78accc-6e0560a1-b98a-4d5b</t>
  </si>
  <si>
    <t>https://www.properati.com.pe/detalle/14032-32-6a4a-db1692748e5c-e2b8cd10-865f-4166</t>
  </si>
  <si>
    <t>https://www.properati.com.pe/detalle/14032-32-e7f6-2c3e2e5a1b39-d59c0f41-bded-4a9e</t>
  </si>
  <si>
    <t>https://www.properati.com.pe/detalle/14032-32-f882-5a9e2053539c-6d4c4fca-8f1c-458a</t>
  </si>
  <si>
    <t>https://www.properati.com.pe/detalle/14032-32-f64-442a5f375c03-ef20059b-939e-437c</t>
  </si>
  <si>
    <t>https://www.properati.com.pe/detalle/14032-32-7152-dd0ef55c0c1d-b237e4f7-92d3-46d3</t>
  </si>
  <si>
    <t>https://www.properati.com.pe/detalle/14032-32-8133-7676e76761a2-7f4f3cb8-bf42-49e9</t>
  </si>
  <si>
    <t>https://www.properati.com.pe/detalle/14032-32-5923-31175a594e6f-a26fcd2b-a7bd-4ecb</t>
  </si>
  <si>
    <t>https://www.properati.com.pe/detalle/14032-32-6565-fdce91d00398-39cc62c1-b42a-4cbb</t>
  </si>
  <si>
    <t>Oficina en alquiler en Progreso</t>
  </si>
  <si>
    <t>https://www.properati.com.pe/detalle/14032-32-30a6-8ba40beef3a8-a6ceeaf2-9e99-307a</t>
  </si>
  <si>
    <t>https://www.properati.com.pe/detalle/14032-32-f089-734598d40780-44cac91c-9a73-4b60</t>
  </si>
  <si>
    <t>https://www.properati.com.pe/detalle/14032-32-4908-a3e2d3668f7-bc669089-9d53-356b</t>
  </si>
  <si>
    <t>Apartamento en alquiler en Santa Anita</t>
  </si>
  <si>
    <t>https://www.properati.com.pe/detalle/14032-32-f9c0-8c859cdde60c-fd44e356-b72b-4440</t>
  </si>
  <si>
    <t>https://www.properati.com.pe/detalle/14032-32-2ddc-2d8fbfc13b92-412dab8b-b7ef-479b</t>
  </si>
  <si>
    <t>https://www.properati.com.pe/detalle/14032-32-f808-dd1139175a95-141c8ada-b5bc-35c7</t>
  </si>
  <si>
    <t>https://www.properati.com.pe/detalle/14032-32-3909-14cb2fbfe009-14e63763-8877-4050</t>
  </si>
  <si>
    <t>Apartamento en alquiler en Ur. Trinidad</t>
  </si>
  <si>
    <t>https://www.properati.com.pe/detalle/14032-32-6faf-202d13dd690e-5c97ac1f-b2bf-4061</t>
  </si>
  <si>
    <t>https://www.properati.com.pe/detalle/14032-32-7d78-e5d79af79987-f2930fb7-9ab3-4d3b</t>
  </si>
  <si>
    <t>https://www.properati.com.pe/detalle/14032-32-255f-bbdd52ffd2b2-31c65255-a222-4f6d</t>
  </si>
  <si>
    <t>Casa en alquiler en Sol De La Molina 2 Etapa</t>
  </si>
  <si>
    <t>https://www.properati.com.pe/detalle/14032-32-fbaa-69602d3128df-c23fdab-a379-4611</t>
  </si>
  <si>
    <t>https://www.properati.com.pe/detalle/14032-32-6fdb-254b93d8d400-5d1422f-88f7-470b</t>
  </si>
  <si>
    <t>Apartamento en alquiler en Cerros de Camacho</t>
  </si>
  <si>
    <t>https://www.properati.com.pe/detalle/14032-32-d544-8d9be08415b1-91e1dc60-97f1-120c</t>
  </si>
  <si>
    <t>https://www.properati.com.pe/detalle/14032-32-6c19-8ea83ce5a6ab-aba10068-8153-4f45</t>
  </si>
  <si>
    <t>Apartamento en alquiler en Ur. San Gabriel</t>
  </si>
  <si>
    <t>https://www.properati.com.pe/detalle/14032-32-fdf0-d272ae4c8636-6a6db7c8-b377-41d1</t>
  </si>
  <si>
    <t>https://www.properati.com.pe/detalle/14032-32-8f28-24c41263cce6-9ea03c1f-944b-4764</t>
  </si>
  <si>
    <t>https://www.properati.com.pe/detalle/14032-32-918d-417bbd6bb24a-5ef85850-a3dc-120d</t>
  </si>
  <si>
    <t>https://www.properati.com.pe/detalle/14032-32-3c7d-11ede081c755-6729cdac-b046-49b3</t>
  </si>
  <si>
    <t>https://www.properati.com.pe/detalle/14032-32-901d-7fa2ba72ef70-6dd83432-b4bd-4ce5</t>
  </si>
  <si>
    <t>https://www.properati.com.pe/detalle/14032-32-3be5-dc7126f4147b-2abb4f27-b4dc-40bb</t>
  </si>
  <si>
    <t>https://www.properati.com.pe/detalle/14032-32-9eb1-152591c74bad-70851b14-88c1-4482</t>
  </si>
  <si>
    <t>Apartamento en alquiler en Ur. Punta Hermosa Sur</t>
  </si>
  <si>
    <t>https://www.properati.com.pe/detalle/14032-32-55da-346ff8ea3606-b40c96db-bb15-4c1e</t>
  </si>
  <si>
    <t>Apartamento en alquiler en San Bartolo</t>
  </si>
  <si>
    <t>https://www.properati.com.pe/detalle/14032-32-5d81-1deb18ad2b3a-69b429a5-9e2b-4e95</t>
  </si>
  <si>
    <t>https://www.properati.com.pe/detalle/14032-32-b4e2-68f325837e5c-cffee4a9-a983-37c6</t>
  </si>
  <si>
    <t>Casa en alquiler en Ur. Punta Hermosa Sur</t>
  </si>
  <si>
    <t>https://www.properati.com.pe/detalle/14032-32-3488-30d3dcd17b8a-5d075364-871d-3520</t>
  </si>
  <si>
    <t>https://www.properati.com.pe/detalle/14032-32-6f28-9553055e6f47-c0da0a63-a28b-318a</t>
  </si>
  <si>
    <t>https://www.properati.com.pe/detalle/14032-32-a42d-8b6adbb06021-c7b5f21e-9ff8-419f</t>
  </si>
  <si>
    <t>https://www.properati.com.pe/detalle/14032-32-99d1-536917d3ed6a-1c366c76-81c9-4917</t>
  </si>
  <si>
    <t>https://www.properati.com.pe/detalle/14032-32-c641-ad77ee4cc5f9-4ffb54f0-bbde-5010</t>
  </si>
  <si>
    <t>https://www.properati.com.pe/detalle/14032-32-92f9-ffe5a462261b-a479d461-850b-4962</t>
  </si>
  <si>
    <t>https://www.properati.com.pe/detalle/14032-32-b654-f966d258bcc-e07aa39d-b29f-46f8</t>
  </si>
  <si>
    <t>Casa en alquiler en Casuarinas</t>
  </si>
  <si>
    <t>https://www.properati.com.pe/detalle/14032-32-1a81-47834cd2dcd7-62615668-be06-45d6</t>
  </si>
  <si>
    <t>https://www.properati.com.pe/detalle/14032-32-f87d-4fdcc6b9125c-14a27ed3-8fe7-4963</t>
  </si>
  <si>
    <t>https://www.properati.com.pe/detalle/14032-32-6eee-cd8d8d8eeecc-8122f51e-bf8e-414b</t>
  </si>
  <si>
    <t>Casa en alquiler en Ur. El SeÃ±orial</t>
  </si>
  <si>
    <t>https://www.properati.com.pe/detalle/14032-32-4566-a93165eeaab5-12b0c406-8769-3d7b</t>
  </si>
  <si>
    <t>Apartamento en alquiler en As. Residencial Virgen Del Carmen</t>
  </si>
  <si>
    <t>https://www.properati.com.pe/detalle/14032-32-a00d-f16fa88af372-74b77a69-a7fe-4f0e</t>
  </si>
  <si>
    <t>https://www.properati.com.pe/detalle/14032-32-6cc6-40ee337896aa-f416a95b-8d7c-341f</t>
  </si>
  <si>
    <t>https://www.properati.com.pe/detalle/14032-32-be2-e730d34e318e-8ab3b973-b30f-4357</t>
  </si>
  <si>
    <t>https://www.properati.com.pe/detalle/14032-32-9f3e-5f6d7032dcc0-104f7b6b-8291-446e</t>
  </si>
  <si>
    <t>https://www.properati.com.pe/detalle/14032-32-2254-bf5a171aef32-a9c80e18-a319-3de5</t>
  </si>
  <si>
    <t>Apartamento en alquiler en San Eugenio</t>
  </si>
  <si>
    <t>https://www.properati.com.pe/detalle/14032-32-338e-f1d399578a4b-38af5c0f-88a7-3d23</t>
  </si>
  <si>
    <t>Casa en alquiler en La Campestre La Laguna</t>
  </si>
  <si>
    <t>https://www.properati.com.pe/detalle/14032-32-5fc7-c7e96bcef440-830196f0-a2e1-120d</t>
  </si>
  <si>
    <t>https://www.properati.com.pe/detalle/14032-32-89e8-f4bdca84de9c-94564bb2-93fa-41fc</t>
  </si>
  <si>
    <t>https://www.properati.com.pe/detalle/14032-32-f545-19620aa36439-288ebd28-b938-4ba0</t>
  </si>
  <si>
    <t>https://www.properati.com.pe/detalle/14032-32-3052-1a4584fa877e-63025631-ae43-4298</t>
  </si>
  <si>
    <t>Tipo de Inmueble</t>
  </si>
  <si>
    <t>Operación</t>
  </si>
  <si>
    <t>Fecha de Publicaión</t>
  </si>
  <si>
    <t>Título</t>
  </si>
  <si>
    <t>Enlace</t>
  </si>
  <si>
    <t>Ur. Santa Cruz</t>
  </si>
  <si>
    <t>Cercado</t>
  </si>
  <si>
    <t>Ur. San Luis</t>
  </si>
  <si>
    <t xml:space="preserve"> Barranco</t>
  </si>
  <si>
    <t>Ur. Risso</t>
  </si>
  <si>
    <t xml:space="preserve"> Lince</t>
  </si>
  <si>
    <t>Ur. Chacarilla Del Estanque</t>
  </si>
  <si>
    <t xml:space="preserve"> Santiago de Surco</t>
  </si>
  <si>
    <t>Chorrillos</t>
  </si>
  <si>
    <t>Ba. S/N</t>
  </si>
  <si>
    <t xml:space="preserve"> Rimac</t>
  </si>
  <si>
    <t>Ur. Balta</t>
  </si>
  <si>
    <t>Ur. Santa Rosa</t>
  </si>
  <si>
    <t xml:space="preserve"> San Isidro</t>
  </si>
  <si>
    <t>Surquillo</t>
  </si>
  <si>
    <t xml:space="preserve"> Chorrillos</t>
  </si>
  <si>
    <t>Sd. Aeropuerto De Collique</t>
  </si>
  <si>
    <t xml:space="preserve"> Comas</t>
  </si>
  <si>
    <t>Ur. Santa Beatriz</t>
  </si>
  <si>
    <t>Ur. Jorge Chavez</t>
  </si>
  <si>
    <t xml:space="preserve"> Surquillo</t>
  </si>
  <si>
    <t>Miraflores</t>
  </si>
  <si>
    <t>Ur. Aurora</t>
  </si>
  <si>
    <t>Ur. Orrantia Del Mar</t>
  </si>
  <si>
    <t>Re. San Felipe</t>
  </si>
  <si>
    <t>Ur. Ampliacion San Isidro</t>
  </si>
  <si>
    <t>Ur. Orrantia</t>
  </si>
  <si>
    <t>Ur. Valle Hermoso Este</t>
  </si>
  <si>
    <t>Ur. Las Begonias</t>
  </si>
  <si>
    <t xml:space="preserve"> San Borja</t>
  </si>
  <si>
    <t>Ur. San Antonio</t>
  </si>
  <si>
    <t>Sector 3</t>
  </si>
  <si>
    <t xml:space="preserve"> Urb Santa Cruz</t>
  </si>
  <si>
    <t>Ur. San Felipe</t>
  </si>
  <si>
    <t>Ur. La Encantada</t>
  </si>
  <si>
    <t>Urb los Patricios</t>
  </si>
  <si>
    <t>Ur. Udima</t>
  </si>
  <si>
    <t xml:space="preserve"> Magdalena del Mar</t>
  </si>
  <si>
    <t>San Isidro</t>
  </si>
  <si>
    <t>Ur. La ViÃ±ita</t>
  </si>
  <si>
    <t>Ur. Leuro</t>
  </si>
  <si>
    <t>Surco</t>
  </si>
  <si>
    <t xml:space="preserve"> Santiago De Surco</t>
  </si>
  <si>
    <t>Ur. San Juan Sector D</t>
  </si>
  <si>
    <t>Ah. Moron</t>
  </si>
  <si>
    <t xml:space="preserve"> Chaclacayo</t>
  </si>
  <si>
    <t>Cieneguilla</t>
  </si>
  <si>
    <t>Ur. San Miguel</t>
  </si>
  <si>
    <t xml:space="preserve"> San Miguel</t>
  </si>
  <si>
    <t>Ur. Barboncito</t>
  </si>
  <si>
    <t>Ur. Confraternidad</t>
  </si>
  <si>
    <t>Ur. America</t>
  </si>
  <si>
    <t>Ur. Los Halcones</t>
  </si>
  <si>
    <t>Ur. Chacarilla Santa Cruz</t>
  </si>
  <si>
    <t>Ur. Libertad</t>
  </si>
  <si>
    <t>Lince</t>
  </si>
  <si>
    <t>Ur. Chiclin</t>
  </si>
  <si>
    <t xml:space="preserve"> La Perla</t>
  </si>
  <si>
    <t xml:space="preserve"> Callao</t>
  </si>
  <si>
    <t xml:space="preserve"> Callao </t>
  </si>
  <si>
    <t>Ur. Valle Hermoso Oeste</t>
  </si>
  <si>
    <t>Ur. Armendariz</t>
  </si>
  <si>
    <t>Ur. Los Recaudadores</t>
  </si>
  <si>
    <t xml:space="preserve"> Ate</t>
  </si>
  <si>
    <t>Sd. S/N</t>
  </si>
  <si>
    <t xml:space="preserve"> Puente Piedra</t>
  </si>
  <si>
    <t>Ur. La Capullana</t>
  </si>
  <si>
    <t>Ur. Cabo Gc Juan Ingunza Valdivia (Vipol)</t>
  </si>
  <si>
    <t>Ur. Javier Prado (Cahuache)</t>
  </si>
  <si>
    <t>Ur. Santa Raquel Sector B Zona Este</t>
  </si>
  <si>
    <t xml:space="preserve"> La Molina</t>
  </si>
  <si>
    <t>Ur. Orbea</t>
  </si>
  <si>
    <t>Ur. La Capilla (U-2)</t>
  </si>
  <si>
    <t>Santiago de Surco</t>
  </si>
  <si>
    <t>Ur. Lobaton</t>
  </si>
  <si>
    <t>Ur. Pedregal De Higuereta(San Atanacio De Pedregal)</t>
  </si>
  <si>
    <t>Carabayllo</t>
  </si>
  <si>
    <t>Ur. Las Gardenias</t>
  </si>
  <si>
    <t>Ur. Jardin</t>
  </si>
  <si>
    <t>Ur. Jacaranda</t>
  </si>
  <si>
    <t>Propietarios De Parque Industrial El Asesor</t>
  </si>
  <si>
    <t>Up. Tahuantinsuyo Etapa I</t>
  </si>
  <si>
    <t xml:space="preserve"> Independencia</t>
  </si>
  <si>
    <t>Ur. La Planicie</t>
  </si>
  <si>
    <t xml:space="preserve"> Punta Hermosa</t>
  </si>
  <si>
    <t>Ur. Colmenares</t>
  </si>
  <si>
    <t xml:space="preserve"> Pueblo Libre</t>
  </si>
  <si>
    <t>Ur. Huertos De San Antonio</t>
  </si>
  <si>
    <t>Ur. Prolongacion Benavides</t>
  </si>
  <si>
    <t>Punta Hermosa</t>
  </si>
  <si>
    <t>Ur. Balconcillo</t>
  </si>
  <si>
    <t xml:space="preserve"> La Victoria</t>
  </si>
  <si>
    <t>Ur. Los Jazmines</t>
  </si>
  <si>
    <t>Ur. Alicia</t>
  </si>
  <si>
    <t>Ur. Residencial Higuereta</t>
  </si>
  <si>
    <t>Ur. Residencial La Libertad</t>
  </si>
  <si>
    <t>Ur. San Borja</t>
  </si>
  <si>
    <t>Ur. Casuarinas Sur</t>
  </si>
  <si>
    <t>Co. Santa Rosa De Quives</t>
  </si>
  <si>
    <t xml:space="preserve"> Santa Anita</t>
  </si>
  <si>
    <t>Ah. Totorita</t>
  </si>
  <si>
    <t>Ur. El Vivero</t>
  </si>
  <si>
    <t>Ur. La Calera De La Merced</t>
  </si>
  <si>
    <t>Ur. Residencial Salamanca</t>
  </si>
  <si>
    <t>Ur. Los Portales Del Naranjal</t>
  </si>
  <si>
    <t>Ur. San Eugenio</t>
  </si>
  <si>
    <t>Ur. Monterrico Norte</t>
  </si>
  <si>
    <t>La Calera De La Merced</t>
  </si>
  <si>
    <t>Comas</t>
  </si>
  <si>
    <t>Ur. Ciudad De Papel Iii Etapa</t>
  </si>
  <si>
    <t>Ur. Santa Raquel Sector A Zona Este</t>
  </si>
  <si>
    <t>UrbanizaciÃ³n La Floresta</t>
  </si>
  <si>
    <t xml:space="preserve"> Los Olivos</t>
  </si>
  <si>
    <t>Co. Vipol El Alamo</t>
  </si>
  <si>
    <t>Pachacamac</t>
  </si>
  <si>
    <t>Ate</t>
  </si>
  <si>
    <t>Ur. Tungasuca</t>
  </si>
  <si>
    <t xml:space="preserve"> Carabayllo</t>
  </si>
  <si>
    <t>Ur. Pando V Etapa</t>
  </si>
  <si>
    <t>Co. El Pacifico</t>
  </si>
  <si>
    <t>Ur. La Alborada Ii Etapa</t>
  </si>
  <si>
    <t>Ur. Ingenieria</t>
  </si>
  <si>
    <t>Ur. San Isidro</t>
  </si>
  <si>
    <t>Sachaca</t>
  </si>
  <si>
    <t>Punta Negra</t>
  </si>
  <si>
    <t>Ur. Santa Ines</t>
  </si>
  <si>
    <t>Ur. San Cesar Etapa I</t>
  </si>
  <si>
    <t>Hu. Rivera Norte</t>
  </si>
  <si>
    <t xml:space="preserve"> San Bartolo</t>
  </si>
  <si>
    <t>Ur. Maranga Etapa Iv</t>
  </si>
  <si>
    <t>Rimac</t>
  </si>
  <si>
    <t>Ur. El Derby</t>
  </si>
  <si>
    <t>Ur. San Joaquin</t>
  </si>
  <si>
    <t xml:space="preserve"> Bellavista</t>
  </si>
  <si>
    <t>La Victoria</t>
  </si>
  <si>
    <t>Cerro Colorado</t>
  </si>
  <si>
    <t>Ur. Oyague</t>
  </si>
  <si>
    <t>Santa Cruz</t>
  </si>
  <si>
    <t xml:space="preserve"> Urb Jose Balta</t>
  </si>
  <si>
    <t>Ur. Maranga Etapa Iii</t>
  </si>
  <si>
    <t>Santa Cruz de Flores</t>
  </si>
  <si>
    <t>Ur. S/N</t>
  </si>
  <si>
    <t>San Felipe</t>
  </si>
  <si>
    <t>Ur. Primavera</t>
  </si>
  <si>
    <t>Ag. La Paz</t>
  </si>
  <si>
    <t>Ur. Santa Felicia</t>
  </si>
  <si>
    <t>Ur. Country Club</t>
  </si>
  <si>
    <t>Ah. Los Jazmines Del Naranjal</t>
  </si>
  <si>
    <t>Ur. Parque Internacional De Industria Y Comercio</t>
  </si>
  <si>
    <t>Ur. Rinconada Del Lago Etapa Ii</t>
  </si>
  <si>
    <t>Ur. Cahuache</t>
  </si>
  <si>
    <t xml:space="preserve"> San Luis</t>
  </si>
  <si>
    <t>Ur. Los Cedros De Villa Etapa Viii</t>
  </si>
  <si>
    <t>Urb Residencial Valle Hermoso</t>
  </si>
  <si>
    <t>Urb la Calera de Monterrico</t>
  </si>
  <si>
    <t>Ur. Las Magnolias</t>
  </si>
  <si>
    <t>Ah. Nuevo Lurin Iv Etapa</t>
  </si>
  <si>
    <t xml:space="preserve"> Lurin</t>
  </si>
  <si>
    <t>Ur. Nuevo Chorrillos</t>
  </si>
  <si>
    <t>Ah. Nuevo Lurin I Etapa</t>
  </si>
  <si>
    <t>Ur. Valle Hermoso Residencial (San Demetrio De Monterrico)</t>
  </si>
  <si>
    <t>Ur. La Capilla (U-3)</t>
  </si>
  <si>
    <t>Urb la ViÃ±ita</t>
  </si>
  <si>
    <t>As. Apu</t>
  </si>
  <si>
    <t>Ur. Mariscal Castilla</t>
  </si>
  <si>
    <t>Lima</t>
  </si>
  <si>
    <t>Ur. Villa Jardin</t>
  </si>
  <si>
    <t>Bellavista</t>
  </si>
  <si>
    <t>Ah. Los Perales</t>
  </si>
  <si>
    <t>Lurin</t>
  </si>
  <si>
    <t>Pj. Tomasa Tito Condemayta</t>
  </si>
  <si>
    <t>As. Los Rosales</t>
  </si>
  <si>
    <t>Ur. Maranga Etapa V</t>
  </si>
  <si>
    <t>San Bartolo</t>
  </si>
  <si>
    <t>Ba. Del Medico</t>
  </si>
  <si>
    <t>San Borja</t>
  </si>
  <si>
    <t>Ur. El Rosal</t>
  </si>
  <si>
    <t>Ur. San Juan Sector A</t>
  </si>
  <si>
    <t>Zona 7-B</t>
  </si>
  <si>
    <t xml:space="preserve"> Urb San Borja</t>
  </si>
  <si>
    <t>Ur. Tambo De Monterrico</t>
  </si>
  <si>
    <t>El Palomar</t>
  </si>
  <si>
    <t>Chacra Rios Sur</t>
  </si>
  <si>
    <t>Ur. Los Cedros De Villa Etapa I</t>
  </si>
  <si>
    <t>Ur. Linda Vista De Monterrico</t>
  </si>
  <si>
    <t>Ur. Miramar</t>
  </si>
  <si>
    <t>Petit Jean OcharÃ¡n</t>
  </si>
  <si>
    <t>Lurigancho</t>
  </si>
  <si>
    <t>Ur. Avitentel (Entel Peru)</t>
  </si>
  <si>
    <t>El Bosque</t>
  </si>
  <si>
    <t>Ur. Los Portales De Javier Prado Etapa Ii</t>
  </si>
  <si>
    <t>Cayma</t>
  </si>
  <si>
    <t>Ur. San Ignacio</t>
  </si>
  <si>
    <t>Hu. Ex Fundo Monterrico Chico Parcela 2 (San Idelfonso Del Vivero)</t>
  </si>
  <si>
    <t>Ur. Corpac</t>
  </si>
  <si>
    <t>Urb SeÃ±orial</t>
  </si>
  <si>
    <t>Ur. El Palomar</t>
  </si>
  <si>
    <t>Magdalena del Mar</t>
  </si>
  <si>
    <t>Ur. Aurora Este</t>
  </si>
  <si>
    <t>Ur. La Huaca</t>
  </si>
  <si>
    <t>Ur. La Calera De Monterrico</t>
  </si>
  <si>
    <t>Ur. Los Chasquis Iii Etapa</t>
  </si>
  <si>
    <t>Los Frutales</t>
  </si>
  <si>
    <t>Ur. Manuel Prado</t>
  </si>
  <si>
    <t>Ur. Los Andenes</t>
  </si>
  <si>
    <t>As. Virgen Del Rosario</t>
  </si>
  <si>
    <t>Yanahuara</t>
  </si>
  <si>
    <t>Ur. El Cortijo Etapa I</t>
  </si>
  <si>
    <t>As. La Era</t>
  </si>
  <si>
    <t xml:space="preserve"> Lurigancho</t>
  </si>
  <si>
    <t>Ur. El Totoral</t>
  </si>
  <si>
    <t>Ur. Parque San Martin</t>
  </si>
  <si>
    <t>Ur. Humboldt</t>
  </si>
  <si>
    <t>Ur. San Jose (Santa Cecilia)</t>
  </si>
  <si>
    <t>Ur. Santa Rosa De Surco</t>
  </si>
  <si>
    <t>Ur. Los Rosales Ampliacion Etapa Ii</t>
  </si>
  <si>
    <t>Urb San Luis</t>
  </si>
  <si>
    <t>Ur. 28 De Julio</t>
  </si>
  <si>
    <t>Los Alamos</t>
  </si>
  <si>
    <t>Ur. Chacarilla Santa Cruz Zona Santa Isabel B</t>
  </si>
  <si>
    <t>Urb Confraternidad</t>
  </si>
  <si>
    <t>Pj. Mirones Bajo</t>
  </si>
  <si>
    <t>As. Huertizacion Progreso La Estrella</t>
  </si>
  <si>
    <t>Ur. Los Granados</t>
  </si>
  <si>
    <t>As. Santa Cruz De Nuevo Vitarte</t>
  </si>
  <si>
    <t>Ur. El Rosario</t>
  </si>
  <si>
    <t>Sector 1</t>
  </si>
  <si>
    <t>Ur. Rosario De Villa</t>
  </si>
  <si>
    <t>Ur. San Idelfonso Del Vivero</t>
  </si>
  <si>
    <t>Re. Monterrico Sur Ampliacion</t>
  </si>
  <si>
    <t>Ur. El Sol De La Molina Etapa Iii</t>
  </si>
  <si>
    <t>Ur. Zarate</t>
  </si>
  <si>
    <t xml:space="preserve"> San Juan de Lurigancho</t>
  </si>
  <si>
    <t>Ur. San Juan Bautista De Chorrillos</t>
  </si>
  <si>
    <t>Ur. Cerros De Camacho</t>
  </si>
  <si>
    <t>Ur. Chacarilla Santa Cruz Zona Santa Maria</t>
  </si>
  <si>
    <t>Ur. Textil Continental</t>
  </si>
  <si>
    <t>Casuarinas Sur</t>
  </si>
  <si>
    <t>Ur. Juan Xxiii</t>
  </si>
  <si>
    <t>Ur. Portada Del Sol Etapa I (A.E.M.G)</t>
  </si>
  <si>
    <t>Re. Las Camelias</t>
  </si>
  <si>
    <t>Ur. Mariscal Caceres Sector Iii Etapa 6Ta Y 7Ma</t>
  </si>
  <si>
    <t>Ur. Mercurio Ii Etapa</t>
  </si>
  <si>
    <t>Ur. Santa Monica</t>
  </si>
  <si>
    <t>Ur. La Perla</t>
  </si>
  <si>
    <t xml:space="preserve"> Urb Campo de Polo</t>
  </si>
  <si>
    <t>Chacarilla del Estanque</t>
  </si>
  <si>
    <t>Uv. Matute</t>
  </si>
  <si>
    <t>Ur. Santo Tomas</t>
  </si>
  <si>
    <t>Ur. Victoria</t>
  </si>
  <si>
    <t>Chacarilla-Santa Cruz</t>
  </si>
  <si>
    <t>Urb Jose Balta</t>
  </si>
  <si>
    <t>Huaycani</t>
  </si>
  <si>
    <t>Mariano Melgar</t>
  </si>
  <si>
    <t>Ur. Sagitario</t>
  </si>
  <si>
    <t>Ur. Maranga Etapa Ii</t>
  </si>
  <si>
    <t>Ur. Benavides Etapa I</t>
  </si>
  <si>
    <t>Ur. Valle De Sharon</t>
  </si>
  <si>
    <t>Ur. Las Lomas De La Molina Vieja Etapa I</t>
  </si>
  <si>
    <t>Callao</t>
  </si>
  <si>
    <t>Country Club</t>
  </si>
  <si>
    <t>Rio Seco</t>
  </si>
  <si>
    <t>Hu. Colegio Particular Santa Maria Etapa Ii</t>
  </si>
  <si>
    <t>Ur. Lola Ferreyros</t>
  </si>
  <si>
    <t>Ur. Bella Luz</t>
  </si>
  <si>
    <t>Hu. Feria Internacional Del Pacifico</t>
  </si>
  <si>
    <t>Pj. San Francisco De La Tablada De Lurin Sector Segundo</t>
  </si>
  <si>
    <t>Ur. Las Torres De San Miguelito Etapa I</t>
  </si>
  <si>
    <t>Ur. San Roque Fap</t>
  </si>
  <si>
    <t>Valle Hermoso Oeste</t>
  </si>
  <si>
    <t>Santiago De Surco</t>
  </si>
  <si>
    <t>Ur. Santa Luzmila I Etapa</t>
  </si>
  <si>
    <t>Retamas</t>
  </si>
  <si>
    <t>Ur. Los Pinares</t>
  </si>
  <si>
    <t>Arequipa</t>
  </si>
  <si>
    <t>Ur. Paraiso El Dorado Iii Etapa</t>
  </si>
  <si>
    <t>Ur. Orrantia Del Mar Zona Iv</t>
  </si>
  <si>
    <t>Ur. Santa Justina</t>
  </si>
  <si>
    <t>Ur. Santa Laura</t>
  </si>
  <si>
    <t>Ur. La Luz</t>
  </si>
  <si>
    <t>Co. La Molina Real</t>
  </si>
  <si>
    <t>Ur. Monte Carmelo</t>
  </si>
  <si>
    <t>San Miguel</t>
  </si>
  <si>
    <t>Ur. La Alameda</t>
  </si>
  <si>
    <t>Ah. San Hilarion</t>
  </si>
  <si>
    <t>Urb las Gardenias Etapa 1</t>
  </si>
  <si>
    <t>El Callao</t>
  </si>
  <si>
    <t>Ag. Inmaculada</t>
  </si>
  <si>
    <t>Ur. Campo De Polo</t>
  </si>
  <si>
    <t>Asia</t>
  </si>
  <si>
    <t>Fundo Conde San Isidro</t>
  </si>
  <si>
    <t>Santa Rosa</t>
  </si>
  <si>
    <t>As. Miguel Grau</t>
  </si>
  <si>
    <t>Lo. Chacra Cerro</t>
  </si>
  <si>
    <t>Ur. Las Laderas De Melgarejo</t>
  </si>
  <si>
    <t>Ur. Mayorazgo Etapa Iv</t>
  </si>
  <si>
    <t>Las Acacias</t>
  </si>
  <si>
    <t>Lo. Parcelacion - Ex Fundo La Estrella Sector 23</t>
  </si>
  <si>
    <t>Ur. El Sol De La Molina Etapa I</t>
  </si>
  <si>
    <t>Ur. Las Palmas De Surco</t>
  </si>
  <si>
    <t>Ur. Santa Patricia Etapa Ii</t>
  </si>
  <si>
    <t>Ur. San Rafael</t>
  </si>
  <si>
    <t>Ur. Santa Patricia Etapa Iii</t>
  </si>
  <si>
    <t>Ur. Tejada Alta</t>
  </si>
  <si>
    <t>Leuro</t>
  </si>
  <si>
    <t>Ur. Los Patricios (San Felipe)</t>
  </si>
  <si>
    <t>Ur. Huacrachuco</t>
  </si>
  <si>
    <t>Ur. German Astete</t>
  </si>
  <si>
    <t>Fundo Monterrico Chico</t>
  </si>
  <si>
    <t>Ur. Micaela Bastidas</t>
  </si>
  <si>
    <t>Ur. Vista Alegre</t>
  </si>
  <si>
    <t>Ur. Valle Hermoso Residencial Etapa Ii</t>
  </si>
  <si>
    <t>UrbanizaciÃ³n ZÃ¡rate</t>
  </si>
  <si>
    <t xml:space="preserve"> San Juan De Lurigancho</t>
  </si>
  <si>
    <t>Ur. Nueva Castilla</t>
  </si>
  <si>
    <t>Urb Haras Tyber</t>
  </si>
  <si>
    <t>Urb Costa Sur</t>
  </si>
  <si>
    <t>Urb Huertos de San Antonio</t>
  </si>
  <si>
    <t>Ur. Los Tulipanes</t>
  </si>
  <si>
    <t>Ur. Chacarilla Santa Cruz Zona Santa Isabel</t>
  </si>
  <si>
    <t>Barranco</t>
  </si>
  <si>
    <t>Pj. Hacienda Pro</t>
  </si>
  <si>
    <t>San Juan Zona B</t>
  </si>
  <si>
    <t>Ur. Los Cedros De Villa Etapa Xi</t>
  </si>
  <si>
    <t>Uv. Mirones</t>
  </si>
  <si>
    <t>Ur. San Jose</t>
  </si>
  <si>
    <t>Ur. Punta Negra</t>
  </si>
  <si>
    <t xml:space="preserve"> Punta Negra</t>
  </si>
  <si>
    <t>Urb Santa Cruz</t>
  </si>
  <si>
    <t>ArmendÃ¡riz</t>
  </si>
  <si>
    <t>As. Los Zorzales</t>
  </si>
  <si>
    <t>Chaclacayo</t>
  </si>
  <si>
    <t xml:space="preserve"> Urb Santa Isabel</t>
  </si>
  <si>
    <t>Cv. C.I.P</t>
  </si>
  <si>
    <t>As. Las ViÃ±as De San Antonio Etapa I</t>
  </si>
  <si>
    <t>Reducto</t>
  </si>
  <si>
    <t>As. Los Heraldos</t>
  </si>
  <si>
    <t>Pj. El Carmen Alto</t>
  </si>
  <si>
    <t>Ur. El Olivar</t>
  </si>
  <si>
    <t>Urb los Girasoles de Huampani</t>
  </si>
  <si>
    <t>Uv Del Rimac</t>
  </si>
  <si>
    <t>Ur. Collique</t>
  </si>
  <si>
    <t>Los Manzanos</t>
  </si>
  <si>
    <t>Lo. Huertos Del Naranjal</t>
  </si>
  <si>
    <t>Orrantia del Mar</t>
  </si>
  <si>
    <t>Aurora</t>
  </si>
  <si>
    <t>Ah. Por La Union</t>
  </si>
  <si>
    <t>Res el Pinar</t>
  </si>
  <si>
    <t>Urb las Lomas de Monterrico</t>
  </si>
  <si>
    <t>La Molina</t>
  </si>
  <si>
    <t>Ur. San Fernando</t>
  </si>
  <si>
    <t>Neptuno</t>
  </si>
  <si>
    <t>Ur. Paulo Vi</t>
  </si>
  <si>
    <t>Ur. Chama</t>
  </si>
  <si>
    <t>A.h la Planicie</t>
  </si>
  <si>
    <t>Arenales</t>
  </si>
  <si>
    <t>Ur. La Virreyna</t>
  </si>
  <si>
    <t>Ur. Los Bungalows</t>
  </si>
  <si>
    <t>Urb San Borja</t>
  </si>
  <si>
    <t>Ur. Las Lagunas De La Molina Etapa Iii</t>
  </si>
  <si>
    <t>Ur. Las Violetas</t>
  </si>
  <si>
    <t>Ur. San Ignacio De Monterrico (San Ignacio De Loyola)</t>
  </si>
  <si>
    <t>JardÃ­n</t>
  </si>
  <si>
    <t xml:space="preserve"> San Eugenio</t>
  </si>
  <si>
    <t>Hu. Club Arabe</t>
  </si>
  <si>
    <t>Ur. Covima</t>
  </si>
  <si>
    <t>Progreso</t>
  </si>
  <si>
    <t>Santa Anita</t>
  </si>
  <si>
    <t>Ur. Trinidad</t>
  </si>
  <si>
    <t>Sol De La Molina 2 Etapa</t>
  </si>
  <si>
    <t>Cerros de Camacho</t>
  </si>
  <si>
    <t>Ur. San Gabriel</t>
  </si>
  <si>
    <t>Ur. Punta Hermosa Sur</t>
  </si>
  <si>
    <t>Casuarinas</t>
  </si>
  <si>
    <t>Ur. El SeÃ±orial</t>
  </si>
  <si>
    <t>As. Residencial Virgen Del Carmen</t>
  </si>
  <si>
    <t>San Eugenio</t>
  </si>
  <si>
    <t>La Campestre La Laguna</t>
  </si>
  <si>
    <t xml:space="preserve"> La Planicie</t>
  </si>
  <si>
    <t>Distrito</t>
  </si>
  <si>
    <t>Ciudad</t>
  </si>
  <si>
    <t>Departamento</t>
  </si>
  <si>
    <t>Apartamento en alquiler en Sa Martínde Porres</t>
  </si>
  <si>
    <t>Sa Martínde Porres</t>
  </si>
  <si>
    <t xml:space="preserve"> Sa Martínde Porres</t>
  </si>
  <si>
    <t>Casa en alquiler en Sa Martínde Porres</t>
  </si>
  <si>
    <t>Dirección</t>
  </si>
  <si>
    <t>Apartamento en alquiler en Jesus María</t>
  </si>
  <si>
    <t>Jesus María</t>
  </si>
  <si>
    <t xml:space="preserve"> Jesus María</t>
  </si>
  <si>
    <t xml:space="preserve"> Cañete</t>
  </si>
  <si>
    <t>Casa de playa en alquiler en Provincia de Cañete</t>
  </si>
  <si>
    <t>Provincia de Cañete</t>
  </si>
  <si>
    <t>Apartamento en alquiler en Ur. La Campiña</t>
  </si>
  <si>
    <t>Ur. La Campiña</t>
  </si>
  <si>
    <t>Prec. Soles</t>
  </si>
  <si>
    <t>N° de Baños</t>
  </si>
  <si>
    <t>Año de Const.</t>
  </si>
  <si>
    <t>Publicado Por</t>
  </si>
  <si>
    <t>GARRIDO SECLEN RICARDY BUENAVENTURA</t>
  </si>
  <si>
    <t>Inmuebles Peruanos</t>
  </si>
  <si>
    <t>JESUS ALTAMIRANO CONDEMARIN</t>
  </si>
  <si>
    <t>CASA VIP</t>
  </si>
  <si>
    <t>Century 21 Horizonte</t>
  </si>
  <si>
    <t>SOCIOS INMOBILIARIOS</t>
  </si>
  <si>
    <t>Patricia y Rogelio</t>
  </si>
  <si>
    <t>RE/MAX Principal pe</t>
  </si>
  <si>
    <t>Remax Concept</t>
  </si>
  <si>
    <t>Arias Propiedades</t>
  </si>
  <si>
    <t>RealWasi Inmobiliaria</t>
  </si>
  <si>
    <t>Fernando AlcalÃ¡ Luna</t>
  </si>
  <si>
    <t>Inmoba Peru SAC</t>
  </si>
  <si>
    <t>CARLA EMPERATRIZ NEIRA SILVA</t>
  </si>
  <si>
    <t>Boris Bobbio Stihl</t>
  </si>
  <si>
    <t>HABITALE BIENES RAICES</t>
  </si>
  <si>
    <t>Tasso Inmobiliaria</t>
  </si>
  <si>
    <t>Infinito Novantanove E.I.R.L</t>
  </si>
  <si>
    <t>SERVICIOS INMOBILIARIOS</t>
  </si>
  <si>
    <t>RE/MAX Expo</t>
  </si>
  <si>
    <t>ASPRO asesores profesionales</t>
  </si>
  <si>
    <t>Remax Diamond</t>
  </si>
  <si>
    <t>IntermediaciÃ³n Inmobiliaria â€“ CHS</t>
  </si>
  <si>
    <t>MARIA ANTONIETA DEL CARMEN MESONES VILLACORTA</t>
  </si>
  <si>
    <t>CISA INMOBILIARIA PERU</t>
  </si>
  <si>
    <t>Javier SÃ¡nchez Agente Inmobiliario</t>
  </si>
  <si>
    <t>RE/MAX Lider</t>
  </si>
  <si>
    <t>NNK PERU SAC</t>
  </si>
  <si>
    <t>Lucia Chocano De Caravedo</t>
  </si>
  <si>
    <t>RE/MAX POWER EXPO</t>
  </si>
  <si>
    <t>BÃ¼ro Propiedades</t>
  </si>
  <si>
    <t>REMAX AHORA</t>
  </si>
  <si>
    <t>VerÃ³nica Arosemena</t>
  </si>
  <si>
    <t>Sheriel Herrera</t>
  </si>
  <si>
    <t>EncontrÃ© tu Hogar</t>
  </si>
  <si>
    <t>RE/MAX GestiÃ³n Inmobiliaria</t>
  </si>
  <si>
    <t>REMAX FENIX</t>
  </si>
  <si>
    <t>Astupropiedad</t>
  </si>
  <si>
    <t>REMAX FAMILY</t>
  </si>
  <si>
    <t>RE/MAX ALPHA  pe</t>
  </si>
  <si>
    <t>REMAX CENTENARIO</t>
  </si>
  <si>
    <t>Ikasa Inmobiliaria</t>
  </si>
  <si>
    <t>OSLAVE JESUS FLORES AHON</t>
  </si>
  <si>
    <t>ALI HOUSE</t>
  </si>
  <si>
    <t>Roalse Inmobiliaria</t>
  </si>
  <si>
    <t>Gustavo Jhonatan Santillan Chaupis</t>
  </si>
  <si>
    <t>REMAX UNITED</t>
  </si>
  <si>
    <t>RE/MAX PERÃš</t>
  </si>
  <si>
    <t>Fiorella Saldarriaga</t>
  </si>
  <si>
    <t>Midori Kishimoto</t>
  </si>
  <si>
    <t>GNS Inmobiliaria</t>
  </si>
  <si>
    <t>Faure Cruz</t>
  </si>
  <si>
    <t>Avanza Gestion Inmobiliaria E.I.R.L.</t>
  </si>
  <si>
    <t>NG SOLUCIONES INTEGRALES EFICIENTES NEW GENERATION</t>
  </si>
  <si>
    <t>IRIS JOYA</t>
  </si>
  <si>
    <t>TU HOGAR Y BIENESTAR</t>
  </si>
  <si>
    <t>Auryn Corp</t>
  </si>
  <si>
    <t>CENTURY 21 AVANZA</t>
  </si>
  <si>
    <t>Marina AlegrÃ­a VelÃ¡squez</t>
  </si>
  <si>
    <t>RE/MAX PRO</t>
  </si>
  <si>
    <t>GRUPO JCTP INMOBILIARIO SAC</t>
  </si>
  <si>
    <t>Corretaje Pelusa</t>
  </si>
  <si>
    <t>Remax Integrity</t>
  </si>
  <si>
    <t>Century 21 Ambassador</t>
  </si>
  <si>
    <t>Roxana Elvira Lazarte Alatrista</t>
  </si>
  <si>
    <t>Rafael Reyes Martel</t>
  </si>
  <si>
    <t>Danitza Zapata Tomassini</t>
  </si>
  <si>
    <t>Agentes Asociados</t>
  </si>
  <si>
    <t>RocÃ­o Mazzetti</t>
  </si>
  <si>
    <t>NavegaÂ Inmobiliaria</t>
  </si>
  <si>
    <t>Inmobiliaria Casella</t>
  </si>
  <si>
    <t>Ventas Primeras Bienes Raices</t>
  </si>
  <si>
    <t>REMAX LIBERTY</t>
  </si>
  <si>
    <t>Remax Fusion</t>
  </si>
  <si>
    <t>Central Propiedades</t>
  </si>
  <si>
    <t>Casafacil</t>
  </si>
  <si>
    <t>SPACIO GRUPO INMOBILIARIO S.A.C</t>
  </si>
  <si>
    <t>MARIA DEL ROSARIO</t>
  </si>
  <si>
    <t>JORGE ERNESTO SALAS GONZALES</t>
  </si>
  <si>
    <t>Dominio Inmobiliaria</t>
  </si>
  <si>
    <t>GG BIENES RAICES</t>
  </si>
  <si>
    <t>Silvia Lara</t>
  </si>
  <si>
    <t>Corretajes Inmobiliarios Matessa SAC</t>
  </si>
  <si>
    <t>DCITY Inmobiliaria</t>
  </si>
  <si>
    <t>Cesar MuÃ±oz</t>
  </si>
  <si>
    <t>OLIVAR REAL ESTATE</t>
  </si>
  <si>
    <t>Cynsi</t>
  </si>
  <si>
    <t>IMMOBILIARE</t>
  </si>
  <si>
    <t>Piero Ã±opo EchevarrÃ­a</t>
  </si>
  <si>
    <t>Lien Hub Inmobiliario</t>
  </si>
  <si>
    <t>Lucy Mier y Teran</t>
  </si>
  <si>
    <t>Marcia Rodriguez</t>
  </si>
  <si>
    <t>MENDIETA INMOBILIARIA</t>
  </si>
  <si>
    <t>Global Ceo Net Inmobiliaria</t>
  </si>
  <si>
    <t>JC Consorcio Inmobiliario</t>
  </si>
  <si>
    <t>Sigifredo Rosales Benites</t>
  </si>
  <si>
    <t>RUIZ BAGLIETTO TERESA ENRIQUETA</t>
  </si>
  <si>
    <t>Leonardo Quispe</t>
  </si>
  <si>
    <t>Home Inmobiliaria</t>
  </si>
  <si>
    <t>Carola Aguilar</t>
  </si>
  <si>
    <t>Maria Bolognesi</t>
  </si>
  <si>
    <t>Remax Inmuebles</t>
  </si>
  <si>
    <t>Century 21 Platino</t>
  </si>
  <si>
    <t>CCE REALTOR</t>
  </si>
  <si>
    <t>Jaquelina GonzÃ¡les</t>
  </si>
  <si>
    <t>RE/MAX Dreams pe</t>
  </si>
  <si>
    <t>INMOBILIARIA INTERNACIONAL DEL PERU</t>
  </si>
  <si>
    <t>REQUIEROMICASA</t>
  </si>
  <si>
    <t>CBR GRUPO INMOBILIARIO S.A.C.</t>
  </si>
  <si>
    <t>CONFIAR Consultores Inmobiliarios Figari &amp; AramburÃº</t>
  </si>
  <si>
    <t>RE/MAX Talento</t>
  </si>
  <si>
    <t>RE/MAX Today</t>
  </si>
  <si>
    <t>Maju GarcÃ­a</t>
  </si>
  <si>
    <t>MARÃA ELENA BECERRA TIRADO</t>
  </si>
  <si>
    <t>Maria Elena Bedoya</t>
  </si>
  <si>
    <t>Vania RodrÃ­guez Bustamante</t>
  </si>
  <si>
    <t>PREMIUM B R</t>
  </si>
  <si>
    <t>JESSICA NORIEGA DIAZ</t>
  </si>
  <si>
    <t>INMOBILIARIA IMMONEO</t>
  </si>
  <si>
    <t>Viva en el Campo</t>
  </si>
  <si>
    <t>Esther Delgado</t>
  </si>
  <si>
    <t>Siker Grupo Inmobiliario</t>
  </si>
  <si>
    <t>INMOGA S.A.C</t>
  </si>
  <si>
    <t>Sandra Carbajal</t>
  </si>
  <si>
    <t>Alinea Inmobiliaria</t>
  </si>
  <si>
    <t>Peruconsultores</t>
  </si>
  <si>
    <t>Luis Joya Inmobiliaria</t>
  </si>
  <si>
    <t>Ana Bay Inmuebles</t>
  </si>
  <si>
    <t>EXPERT HOME BIENES RAICES S.A.C</t>
  </si>
  <si>
    <t>Manuel Villarreal Perez</t>
  </si>
  <si>
    <t>MADELEINE VIGO INMOBILIARIA</t>
  </si>
  <si>
    <t>Pilar Zunjic</t>
  </si>
  <si>
    <t>DOMUS REAL ESTATE</t>
  </si>
  <si>
    <t>JM HOME INMOBILIARIA</t>
  </si>
  <si>
    <t>Josh Vega</t>
  </si>
  <si>
    <t>THEMIS INMOBILIARIA</t>
  </si>
  <si>
    <t>Doris PeÃ±aranda</t>
  </si>
  <si>
    <t>INHOGAR J &amp; B CONSTRUCTORA INMOBILIARIA</t>
  </si>
  <si>
    <t>Remax Plaza</t>
  </si>
  <si>
    <t>Gonzalez Cecilia</t>
  </si>
  <si>
    <t>SUCASA GRUPO INMOBILIARIO</t>
  </si>
  <si>
    <t>Dora Merlo Paz SoldÃ¡n</t>
  </si>
  <si>
    <t>JUAN LIBORIO CORREA LUNA</t>
  </si>
  <si>
    <t>Deglane Melgar Jorge Luis</t>
  </si>
  <si>
    <t>joresco real estate</t>
  </si>
  <si>
    <t>Luis Cano</t>
  </si>
  <si>
    <t>RAIZ INMOBILIARIA &amp; MARKETING S.A.C.</t>
  </si>
  <si>
    <t>ANGELICA ESTEFANIA MENDOZA ZEGARRA</t>
  </si>
  <si>
    <t>Oscar Leandro PeÃ±a Villanueva</t>
  </si>
  <si>
    <t>Milagros Garibaldi</t>
  </si>
  <si>
    <t>DAVID LEYVA HERNANDEZ</t>
  </si>
  <si>
    <t>John E. Diaz</t>
  </si>
  <si>
    <t>Martha Vargas Serrano</t>
  </si>
  <si>
    <t>Nexdor SAC</t>
  </si>
  <si>
    <t>Manoj Punjabi</t>
  </si>
  <si>
    <t>TELULET Real Estate Group</t>
  </si>
  <si>
    <t>Galls Bienes Raices</t>
  </si>
  <si>
    <t>Jessica Medina V.</t>
  </si>
  <si>
    <t>Zoila Loyola</t>
  </si>
  <si>
    <t>SANDRA USQUIANO</t>
  </si>
  <si>
    <t>CANDARES INMOBILIARIA</t>
  </si>
  <si>
    <t>Tatiana Peralta</t>
  </si>
  <si>
    <t>Jeanette díaz</t>
  </si>
  <si>
    <t>LOGRA Inmobiliaria</t>
  </si>
  <si>
    <t>Penthouse Peru Bienes Raices</t>
  </si>
  <si>
    <t>BegoÃ±a Pedraza Corretaje</t>
  </si>
  <si>
    <t>C&amp;A Asesores y Consultores Inmobiliarios SAC</t>
  </si>
  <si>
    <t>REMAX SUNSET</t>
  </si>
  <si>
    <t>NG Inmobiliaria</t>
  </si>
  <si>
    <t>CENTURY 21 INNOVA</t>
  </si>
  <si>
    <t>JY Inmobiliaria SAC</t>
  </si>
  <si>
    <t>ANA MARIA CECILIA ARTEAGA RODRIGUEZ</t>
  </si>
  <si>
    <t>VerÃ³nica Frida DÃ¡vila Herrera</t>
  </si>
  <si>
    <t>JHURT Real Estate</t>
  </si>
  <si>
    <t>CarolÂ LeÃ³n</t>
  </si>
  <si>
    <t>Cimiento Raices SAC</t>
  </si>
  <si>
    <t>JJ CONSULTORES E INMOBILIARIA SAC</t>
  </si>
  <si>
    <t>Perfect Places</t>
  </si>
  <si>
    <t>ISMAEL RIVAS OTERO</t>
  </si>
  <si>
    <t>DREAM HOUSE MR. WONG EIRL</t>
  </si>
  <si>
    <t>Acceso Bienes Raices</t>
  </si>
  <si>
    <t>Armando Bustamante</t>
  </si>
  <si>
    <t>2g Agentes Inmobiliarios</t>
  </si>
  <si>
    <t>Lucy Zaidman Akerman</t>
  </si>
  <si>
    <t>La Foret Inmobiliaria</t>
  </si>
  <si>
    <t>Remax Alliance</t>
  </si>
  <si>
    <t>Inmobiliaria SAEG</t>
  </si>
  <si>
    <t>Century 21 Excellence.</t>
  </si>
  <si>
    <t>Century 21 Premium</t>
  </si>
  <si>
    <t>REMAX FUTURA</t>
  </si>
  <si>
    <t>Milagros OrmeÃ±o</t>
  </si>
  <si>
    <t>Real Home Peru</t>
  </si>
  <si>
    <t>Bienes Raices Marisol</t>
  </si>
  <si>
    <t>Marisol BohÃ³rquez Soto</t>
  </si>
  <si>
    <t>REMAX FULL INMOBILIARIA</t>
  </si>
  <si>
    <t>FLOR  D</t>
  </si>
  <si>
    <t>GABRIEL PAREJA Agente Inmobiliario</t>
  </si>
  <si>
    <t>Madeleine Beltran</t>
  </si>
  <si>
    <t>Gestiones Exitosas</t>
  </si>
  <si>
    <t>Romero Inmobiliaria</t>
  </si>
  <si>
    <t>Matayoshi Inmobiliaria</t>
  </si>
  <si>
    <t>Grupo Lehmans INMOBILIARIA</t>
  </si>
  <si>
    <t>JOSE MIGUEL REQUENA MARCELO</t>
  </si>
  <si>
    <t>MARY E. DELGADO ABANTO</t>
  </si>
  <si>
    <t>REMAX SPAZIO</t>
  </si>
  <si>
    <t>Silvia Seminario Agurto</t>
  </si>
  <si>
    <t>RENZO ACUÃ‘A BENDEZÃš</t>
  </si>
  <si>
    <t>Maria del Pilar Cabrera S.</t>
  </si>
  <si>
    <t>Lady Montes de Oca</t>
  </si>
  <si>
    <t>Sillar Inmobiliaria</t>
  </si>
  <si>
    <t>INMOBILIARIA TUCASA A1 PERU</t>
  </si>
  <si>
    <t>IVV Broker Inmobiliario</t>
  </si>
  <si>
    <t>Alfredo Maccera</t>
  </si>
  <si>
    <t>MARÃA CECILIA UGAZ BEER</t>
  </si>
  <si>
    <t>ERICK FERNANDO REATEGUI VARGAS</t>
  </si>
  <si>
    <t>OPCION UNO INMOBILIARIA S.A.C</t>
  </si>
  <si>
    <t>Dream House Real Estate</t>
  </si>
  <si>
    <t>Prime House</t>
  </si>
  <si>
    <t>Century 21 Expogroup</t>
  </si>
  <si>
    <t>Carla Teresa Guevara Falconi</t>
  </si>
  <si>
    <t>Susana Cordano  Allende</t>
  </si>
  <si>
    <t>Century 21 MÃ¡xima</t>
  </si>
  <si>
    <t>ABC Inmuebles</t>
  </si>
  <si>
    <t>RE/MAX Realty Group</t>
  </si>
  <si>
    <t>Century 21 Prestigia</t>
  </si>
  <si>
    <t>COLUMBUS INMOBILIARIA</t>
  </si>
  <si>
    <t>Century 21 Central</t>
  </si>
  <si>
    <t>Francisca Julia SÃ nchezÂ Alvizuri</t>
  </si>
  <si>
    <t>Marlene Y GarcÃ­a OrdÃ³Ã±ez</t>
  </si>
  <si>
    <t>Asesoria Inmobiliaria Alkon</t>
  </si>
  <si>
    <t>Habitar</t>
  </si>
  <si>
    <t>RE/MAX Metropolis</t>
  </si>
  <si>
    <t>Smart House</t>
  </si>
  <si>
    <t>JPR INMUEBLES</t>
  </si>
  <si>
    <t>RTA TECHNICONCEPT</t>
  </si>
  <si>
    <t>Magnolia QuiÃ±ones INMOBILIARIA</t>
  </si>
  <si>
    <t>David ValcÃ¡rcel Mercado</t>
  </si>
  <si>
    <t>Ceci Cayo &amp; Asociados SAC</t>
  </si>
  <si>
    <t>SHAEYLINN ROJAS GOMERO</t>
  </si>
  <si>
    <t>AC GestiÃ³n Inmobiliaria</t>
  </si>
  <si>
    <t>Bricks Consultores Inmobiliarios</t>
  </si>
  <si>
    <t>SEYFARTH PROPIEDADES</t>
  </si>
  <si>
    <t>KLAROST GROUP</t>
  </si>
  <si>
    <t>MAS CASA INMOBILIARIA</t>
  </si>
  <si>
    <t>Green State</t>
  </si>
  <si>
    <t>AP ASOCIADOS  INMOBILIARIA</t>
  </si>
  <si>
    <t>Century 21 CTR</t>
  </si>
  <si>
    <t>Carmen Rosa Ugarte Gervassi</t>
  </si>
  <si>
    <t>Ana MÃ¡rquez</t>
  </si>
  <si>
    <t>RE/MAX Uno</t>
  </si>
  <si>
    <t>A &amp; A Fokus Peru Inmobiliaria</t>
  </si>
  <si>
    <t>GRUPO INKA &amp; ASOCIADOS SRL</t>
  </si>
  <si>
    <t>WILLKA INMOBILIARIA SAC</t>
  </si>
  <si>
    <t>CLAUDIA ELIZABETH COLINA CACIQUE</t>
  </si>
  <si>
    <t>EMILIA ROSARIO COURREJOLLES REAÃ‘O</t>
  </si>
  <si>
    <t>PATRICIA CHUQUIN ARROYO</t>
  </si>
  <si>
    <t>LAZSLO POZGAI / POZSGAI Y ASESORES</t>
  </si>
  <si>
    <t>Ccasa Inmobiliaria</t>
  </si>
  <si>
    <t>ONA Soluciones Inmobiliarias</t>
  </si>
  <si>
    <t>Asesor Inmobiliario y Consultores Asociados EIRL</t>
  </si>
  <si>
    <t>AUGUSTO GREGORIO NOVOA CHAVEZ</t>
  </si>
  <si>
    <t>PERU LUXURY PROPERTIES</t>
  </si>
  <si>
    <t>RE/MAX Magnus</t>
  </si>
  <si>
    <t>RE/MAX Excellence</t>
  </si>
  <si>
    <t>setagroup.pe</t>
  </si>
  <si>
    <t>Elizabeth Vivanco</t>
  </si>
  <si>
    <t>Tu Nuevo Hogar Inmobiliaria</t>
  </si>
  <si>
    <t>Century 21 Soluciones Inmobiliarias</t>
  </si>
  <si>
    <t>Hito Inmobiliario</t>
  </si>
  <si>
    <t>MONHOUSE E.I.R.L.</t>
  </si>
  <si>
    <t>Maria Angelica Suarez</t>
  </si>
  <si>
    <t>KRB Agencia Perú</t>
  </si>
  <si>
    <t>Proyectum  Perú</t>
  </si>
  <si>
    <t>Top House Perú Inmobiliaria</t>
  </si>
  <si>
    <t>MSW Perú Inmobiliaria</t>
  </si>
  <si>
    <t>J&amp;P Boutique Inmobiliaria Perú</t>
  </si>
  <si>
    <t>Recasa Inmobiliaria Perú</t>
  </si>
  <si>
    <t>BERTTOLÁ SERVICIOS INMOBILIARIOS</t>
  </si>
  <si>
    <t>N° de Dorm.</t>
  </si>
  <si>
    <t>Área m²</t>
  </si>
  <si>
    <t>Ascensor</t>
  </si>
  <si>
    <t>No</t>
  </si>
  <si>
    <t>Sí</t>
  </si>
  <si>
    <t>Estacionamiento</t>
  </si>
  <si>
    <t xml:space="preserve"> Villa María del Triunfo</t>
  </si>
  <si>
    <t>María  Del Carmen Mesones Villacorta</t>
  </si>
  <si>
    <t>María Ximena Velarde Jara</t>
  </si>
  <si>
    <t>Mantenimiento</t>
  </si>
  <si>
    <t>Apartamento en alquiler enLima</t>
  </si>
  <si>
    <t>Apartamento en alquiler en Ah. Upis Ciudad DeLima</t>
  </si>
  <si>
    <t>Ah. Upis Ciudad DeLima</t>
  </si>
  <si>
    <t>Apartamento en alquiler en Ur.Limatambo</t>
  </si>
  <si>
    <t>Ur.Limatambo</t>
  </si>
  <si>
    <t>Casa en alquiler enLima</t>
  </si>
  <si>
    <t>Casa en alquiler en Urb Cercado deLima</t>
  </si>
  <si>
    <t>Urb Cercado deLima</t>
  </si>
  <si>
    <t>Respuerta:</t>
  </si>
  <si>
    <t>Costo Dpto</t>
  </si>
  <si>
    <t>¿Cuántos departamentos hay en alquiler en Miraflores?</t>
  </si>
  <si>
    <t>Apartamento en alquiler en Hu. Cercado DeMiraflores</t>
  </si>
  <si>
    <t>Hu. Cercado DeMiraflores</t>
  </si>
  <si>
    <t>Remax VisiónMirafloresLima</t>
  </si>
  <si>
    <t>Apartamento en alquiler enMiraflores</t>
  </si>
  <si>
    <t xml:space="preserve"> San Juan deMiraflores</t>
  </si>
  <si>
    <t>Apartamento en alquiler en Urb Cercado deMiraflores</t>
  </si>
  <si>
    <t>Urb Cercado deMiraflores</t>
  </si>
  <si>
    <t>Casa en alquiler enMiraflores</t>
  </si>
  <si>
    <t xml:space="preserve"> Urb Cercado deMiraflores</t>
  </si>
  <si>
    <t>Casa en alquiler en Hu. Cercado DeMiraflores</t>
  </si>
  <si>
    <t>IMPERIAL INNMiraflores S.A.C.</t>
  </si>
  <si>
    <t>Apartamento en alquiler en San Miguel deMiraflores</t>
  </si>
  <si>
    <t>San Miguel deMiraflores</t>
  </si>
  <si>
    <t>¿Cuál es el total de mantenimiento en San Isidro?</t>
  </si>
  <si>
    <t>*Se esta usando la función CONTAR.SI</t>
  </si>
  <si>
    <t>*Se esta usando la función SUMAR.SI</t>
  </si>
  <si>
    <t xml:space="preserve">Arequipa </t>
  </si>
  <si>
    <t>RE/MAX Consultores InmobiliariosArequipa</t>
  </si>
  <si>
    <t>Apartamento en alquiler enArequipa</t>
  </si>
  <si>
    <t>Casa en alquiler enArequipa</t>
  </si>
  <si>
    <t>¿Cuánto suman los alquileres en Miraflores con 3 dormitorios?</t>
  </si>
  <si>
    <t>*Se esta usando la función SUMAR.SI.CONJUNTO</t>
  </si>
  <si>
    <t>¿Cuántos departamentos en alquiler tienen ascensor y estacionamiento?</t>
  </si>
  <si>
    <t>*Se esta usando la función CONTAR.SI.CONJUNTO</t>
  </si>
  <si>
    <t>¿Cuál es el precio promedio de alquiler en Barranco con más de 2 dormitorios?</t>
  </si>
  <si>
    <t>*Se esta usando la función PROMEDIO.SI.CONJUNTO</t>
  </si>
  <si>
    <t>¿Qué precio tiene un departamento en Miraflores con 6 dormitorios?</t>
  </si>
  <si>
    <t>Etiquetas de fila</t>
  </si>
  <si>
    <t>Total general</t>
  </si>
  <si>
    <t>Suma de Prec. Soles</t>
  </si>
  <si>
    <t>*Se esta usando Tablas Dinamicas</t>
  </si>
  <si>
    <t>Recomendado</t>
  </si>
  <si>
    <t>¿Cuál es el precio promedio de alquiler por distrito?</t>
  </si>
  <si>
    <t>Promedio de Prec. Soles</t>
  </si>
  <si>
    <t>Precio de Alqu.</t>
  </si>
  <si>
    <t>Prom. de Alquiler</t>
  </si>
  <si>
    <t>Total Prec.</t>
  </si>
  <si>
    <t>¿Cuál es el monto total de alquileres registrados por distrito?</t>
  </si>
  <si>
    <t>¿Cuáles son los distritos más caros y más económicos en promedio?</t>
  </si>
  <si>
    <t>¿Cuántos departamentos tienen ascensor por distrito?</t>
  </si>
  <si>
    <t>Cuenta de Título</t>
  </si>
  <si>
    <t>Distritos</t>
  </si>
  <si>
    <t>Poseen Asensor</t>
  </si>
  <si>
    <t>Precio promedio del alquiler por distrito</t>
  </si>
  <si>
    <t>IsottaLimaSpace</t>
  </si>
  <si>
    <t>LimaCORRETAJE S.A.C</t>
  </si>
  <si>
    <t>Apartamento en alquiler en Ur. ProLimaIii Etapa</t>
  </si>
  <si>
    <t>Ur. ProLimaIii Etapa</t>
  </si>
  <si>
    <t>Casa en alquiler enLimaPolo and Hunt Club</t>
  </si>
  <si>
    <t>LimaPolo and Hunt Club</t>
  </si>
  <si>
    <t xml:space="preserve"> Gobierno Regional deLima</t>
  </si>
  <si>
    <t>Distritos más caros y más económicos</t>
  </si>
  <si>
    <t>Breña</t>
  </si>
  <si>
    <t>Cantidad de departamentos con ascensor</t>
  </si>
  <si>
    <t>Cantidad de departamentos según número de dormitorios</t>
  </si>
  <si>
    <t>Núm. Dormitorios</t>
  </si>
  <si>
    <t>Departamentos</t>
  </si>
  <si>
    <t>Disrtrito</t>
  </si>
  <si>
    <t>Tendencia de precios según el año de construcción</t>
  </si>
  <si>
    <t>Año de Construc.</t>
  </si>
  <si>
    <t>Tendencias de precio</t>
  </si>
  <si>
    <t>Cantidad de departamentos disponibles por página de publicación</t>
  </si>
  <si>
    <t>N° de Departamentos</t>
  </si>
  <si>
    <t>(Todas)</t>
  </si>
  <si>
    <t>Máx. de Prec.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</si>
</sst>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9CC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8">
    <xf numFmtId="0" fontId="0" fillId="0" borderId="0" xfId="0"/>
    <xf numFmtId="0" fontId="13" fillId="33" borderId="0" xfId="0" applyFont="1" applyFill="1"/>
    <xf numFmtId="0" fontId="18" fillId="0" borderId="0" xfId="42"/>
    <xf numFmtId="0" fontId="13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/>
    <xf numFmtId="0" fontId="17" fillId="34" borderId="0" xfId="0" applyFont="1" applyFill="1"/>
    <xf numFmtId="0" fontId="13" fillId="34" borderId="0" xfId="0" applyFont="1" applyFill="1"/>
    <xf numFmtId="16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64" fontId="16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/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NumberFormat="1" applyAlignment="1">
      <alignment horizontal="center"/>
    </xf>
    <xf numFmtId="164" fontId="16" fillId="34" borderId="0" xfId="0" applyNumberFormat="1" applyFont="1" applyFill="1" applyAlignment="1">
      <alignment horizontal="center"/>
    </xf>
    <xf numFmtId="0" fontId="18" fillId="0" borderId="0" xfId="42" applyFill="1"/>
    <xf numFmtId="0" fontId="13" fillId="34" borderId="0" xfId="0" applyFont="1" applyFill="1" applyAlignment="1">
      <alignment horizontal="center"/>
    </xf>
    <xf numFmtId="164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1" xfId="0" applyBorder="1"/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35" borderId="0" xfId="0" applyFill="1" applyAlignment="1">
      <alignment horizontal="left"/>
    </xf>
    <xf numFmtId="164" fontId="0" fillId="35" borderId="0" xfId="0" applyNumberFormat="1" applyFill="1"/>
    <xf numFmtId="0" fontId="0" fillId="36" borderId="0" xfId="0" applyFill="1" applyAlignment="1">
      <alignment horizontal="left"/>
    </xf>
    <xf numFmtId="164" fontId="0" fillId="36" borderId="0" xfId="0" applyNumberFormat="1" applyFill="1"/>
    <xf numFmtId="0" fontId="0" fillId="0" borderId="10" xfId="0" applyNumberFormat="1" applyBorder="1" applyAlignment="1">
      <alignment horizontal="center"/>
    </xf>
    <xf numFmtId="0" fontId="20" fillId="0" borderId="0" xfId="0" applyFont="1"/>
    <xf numFmtId="0" fontId="20" fillId="0" borderId="10" xfId="0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0">
    <dxf>
      <numFmt numFmtId="164" formatCode="&quot;S/&quot;#,##0.00"/>
    </dxf>
    <dxf>
      <numFmt numFmtId="164" formatCode="&quot;S/&quot;#,##0.00"/>
    </dxf>
    <dxf>
      <alignment horizontal="center"/>
    </dxf>
    <dxf>
      <numFmt numFmtId="164" formatCode="&quot;S/&quot;#,##0.0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S/&quot;#,##0.00"/>
    </dxf>
    <dxf>
      <numFmt numFmtId="164" formatCode="&quot;S/&quot;#,##0.00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/>
        </patternFill>
      </fill>
    </dxf>
    <dxf>
      <numFmt numFmtId="164" formatCode="&quot;S/&quot;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S/&quot;#,##0.00"/>
      <alignment horizontal="center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S/&quot;#,##0.00"/>
    </dxf>
    <dxf>
      <numFmt numFmtId="164" formatCode="&quot;S/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3399"/>
      <color rgb="FF0099CC"/>
      <color rgb="FF00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[Dataset_Análisis de alquiler de inmuebles de la ciudad de Lima.xlsx]Tablas Aux!TablaDinámica8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Promedio de Precios por Distrito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33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Aux'!$C$5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'Tablas Aux'!$B$6:$B$51</c:f>
              <c:strCache>
                <c:ptCount val="45"/>
                <c:pt idx="0">
                  <c:v> San Borja</c:v>
                </c:pt>
                <c:pt idx="1">
                  <c:v> Urb Santa Isabel</c:v>
                </c:pt>
                <c:pt idx="2">
                  <c:v> Punta Hermosa</c:v>
                </c:pt>
                <c:pt idx="3">
                  <c:v> Urb Campo de Polo</c:v>
                </c:pt>
                <c:pt idx="4">
                  <c:v>Lima</c:v>
                </c:pt>
                <c:pt idx="5">
                  <c:v> San Bartolo</c:v>
                </c:pt>
                <c:pt idx="6">
                  <c:v> La Planicie</c:v>
                </c:pt>
                <c:pt idx="7">
                  <c:v> San Isidro</c:v>
                </c:pt>
                <c:pt idx="8">
                  <c:v> Urb Santa Cruz</c:v>
                </c:pt>
                <c:pt idx="9">
                  <c:v>Miraflores</c:v>
                </c:pt>
                <c:pt idx="10">
                  <c:v> Santiago de Surco</c:v>
                </c:pt>
                <c:pt idx="11">
                  <c:v> La Molina</c:v>
                </c:pt>
                <c:pt idx="12">
                  <c:v> Urb Jose Balta</c:v>
                </c:pt>
                <c:pt idx="13">
                  <c:v> Chaclacayo</c:v>
                </c:pt>
                <c:pt idx="14">
                  <c:v> Carabayllo</c:v>
                </c:pt>
                <c:pt idx="15">
                  <c:v> Urb Cercado deMiraflores</c:v>
                </c:pt>
                <c:pt idx="16">
                  <c:v> San Eugenio</c:v>
                </c:pt>
                <c:pt idx="17">
                  <c:v> Gobierno Regional deLima</c:v>
                </c:pt>
                <c:pt idx="18">
                  <c:v> Chorrillos</c:v>
                </c:pt>
                <c:pt idx="19">
                  <c:v> Urb San Borja</c:v>
                </c:pt>
                <c:pt idx="20">
                  <c:v> San Juan deMiraflores</c:v>
                </c:pt>
                <c:pt idx="21">
                  <c:v> Cañete</c:v>
                </c:pt>
                <c:pt idx="22">
                  <c:v> Barranco</c:v>
                </c:pt>
                <c:pt idx="23">
                  <c:v> Lince</c:v>
                </c:pt>
                <c:pt idx="24">
                  <c:v> Pueblo Libre</c:v>
                </c:pt>
                <c:pt idx="25">
                  <c:v> Punta Negra</c:v>
                </c:pt>
                <c:pt idx="26">
                  <c:v> La Victoria</c:v>
                </c:pt>
                <c:pt idx="27">
                  <c:v> Magdalena del Mar</c:v>
                </c:pt>
                <c:pt idx="28">
                  <c:v> Los Olivos</c:v>
                </c:pt>
                <c:pt idx="29">
                  <c:v> Santa Anita</c:v>
                </c:pt>
                <c:pt idx="30">
                  <c:v> Surquillo</c:v>
                </c:pt>
                <c:pt idx="31">
                  <c:v> Jesus María</c:v>
                </c:pt>
                <c:pt idx="32">
                  <c:v> Villa María del Triunfo</c:v>
                </c:pt>
                <c:pt idx="33">
                  <c:v> Rimac</c:v>
                </c:pt>
                <c:pt idx="34">
                  <c:v> San Luis</c:v>
                </c:pt>
                <c:pt idx="35">
                  <c:v> San Miguel</c:v>
                </c:pt>
                <c:pt idx="36">
                  <c:v> Ate</c:v>
                </c:pt>
                <c:pt idx="37">
                  <c:v> Sa Martínde Porres</c:v>
                </c:pt>
                <c:pt idx="38">
                  <c:v> Comas</c:v>
                </c:pt>
                <c:pt idx="39">
                  <c:v>Breña</c:v>
                </c:pt>
                <c:pt idx="40">
                  <c:v> Independencia</c:v>
                </c:pt>
                <c:pt idx="41">
                  <c:v> Lurigancho</c:v>
                </c:pt>
                <c:pt idx="42">
                  <c:v> Puente Piedra</c:v>
                </c:pt>
                <c:pt idx="43">
                  <c:v> San Juan de Lurigancho</c:v>
                </c:pt>
                <c:pt idx="44">
                  <c:v> Lurin</c:v>
                </c:pt>
              </c:strCache>
            </c:strRef>
          </c:cat>
          <c:val>
            <c:numRef>
              <c:f>'Tablas Aux'!$C$6:$C$51</c:f>
              <c:numCache>
                <c:formatCode>"S/"#,##0.00</c:formatCode>
                <c:ptCount val="45"/>
                <c:pt idx="0">
                  <c:v>29552.766666666666</c:v>
                </c:pt>
                <c:pt idx="1">
                  <c:v>27750</c:v>
                </c:pt>
                <c:pt idx="2">
                  <c:v>18546.25</c:v>
                </c:pt>
                <c:pt idx="3">
                  <c:v>17482.5</c:v>
                </c:pt>
                <c:pt idx="4">
                  <c:v>11673.593513513513</c:v>
                </c:pt>
                <c:pt idx="5">
                  <c:v>9805</c:v>
                </c:pt>
                <c:pt idx="6">
                  <c:v>5365</c:v>
                </c:pt>
                <c:pt idx="7">
                  <c:v>5293.0768421052626</c:v>
                </c:pt>
                <c:pt idx="8">
                  <c:v>5241.666666666667</c:v>
                </c:pt>
                <c:pt idx="9">
                  <c:v>4704.2261780104718</c:v>
                </c:pt>
                <c:pt idx="10">
                  <c:v>4298.1987179487178</c:v>
                </c:pt>
                <c:pt idx="11">
                  <c:v>4191.2607142857141</c:v>
                </c:pt>
                <c:pt idx="12">
                  <c:v>4080.6375000000003</c:v>
                </c:pt>
                <c:pt idx="13">
                  <c:v>4014.5</c:v>
                </c:pt>
                <c:pt idx="14">
                  <c:v>4000</c:v>
                </c:pt>
                <c:pt idx="15">
                  <c:v>3881.5642857142857</c:v>
                </c:pt>
                <c:pt idx="16">
                  <c:v>3700</c:v>
                </c:pt>
                <c:pt idx="17">
                  <c:v>3700</c:v>
                </c:pt>
                <c:pt idx="18">
                  <c:v>3673.9166666666665</c:v>
                </c:pt>
                <c:pt idx="19">
                  <c:v>3543.1</c:v>
                </c:pt>
                <c:pt idx="20">
                  <c:v>3380</c:v>
                </c:pt>
                <c:pt idx="21">
                  <c:v>3230</c:v>
                </c:pt>
                <c:pt idx="22">
                  <c:v>3120.6735294117643</c:v>
                </c:pt>
                <c:pt idx="23">
                  <c:v>3057</c:v>
                </c:pt>
                <c:pt idx="24">
                  <c:v>3049.5714285714284</c:v>
                </c:pt>
                <c:pt idx="25">
                  <c:v>2960</c:v>
                </c:pt>
                <c:pt idx="26">
                  <c:v>2800</c:v>
                </c:pt>
                <c:pt idx="27">
                  <c:v>2729.71</c:v>
                </c:pt>
                <c:pt idx="28">
                  <c:v>2685.4444444444443</c:v>
                </c:pt>
                <c:pt idx="29">
                  <c:v>2550</c:v>
                </c:pt>
                <c:pt idx="30">
                  <c:v>2349.375</c:v>
                </c:pt>
                <c:pt idx="31">
                  <c:v>2302.2222222222222</c:v>
                </c:pt>
                <c:pt idx="32">
                  <c:v>2150</c:v>
                </c:pt>
                <c:pt idx="33">
                  <c:v>2047.5</c:v>
                </c:pt>
                <c:pt idx="34">
                  <c:v>2040</c:v>
                </c:pt>
                <c:pt idx="35">
                  <c:v>1809.5483870967741</c:v>
                </c:pt>
                <c:pt idx="36">
                  <c:v>1748.1818181818182</c:v>
                </c:pt>
                <c:pt idx="37">
                  <c:v>1639</c:v>
                </c:pt>
                <c:pt idx="38">
                  <c:v>1386.8461538461538</c:v>
                </c:pt>
                <c:pt idx="39">
                  <c:v>1100</c:v>
                </c:pt>
                <c:pt idx="40">
                  <c:v>1050</c:v>
                </c:pt>
                <c:pt idx="41">
                  <c:v>1000</c:v>
                </c:pt>
                <c:pt idx="42">
                  <c:v>968.23333333333346</c:v>
                </c:pt>
                <c:pt idx="43">
                  <c:v>836</c:v>
                </c:pt>
                <c:pt idx="44">
                  <c:v>679.5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F-4F7E-AA4E-853D4A078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297920"/>
        <c:axId val="153293344"/>
      </c:barChart>
      <c:catAx>
        <c:axId val="15329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3344"/>
        <c:crosses val="autoZero"/>
        <c:auto val="1"/>
        <c:lblAlgn val="ctr"/>
        <c:lblOffset val="100"/>
        <c:noMultiLvlLbl val="0"/>
      </c:catAx>
      <c:valAx>
        <c:axId val="1532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[Dataset_Análisis de alquiler de inmuebles de la ciudad de Lima.xlsx]Tablas Aux!TablaDinámica10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Departamentos con y sin ascensor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339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1437096545364276"/>
              <c:y val="-3.1032175991928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99CC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22213059516209"/>
              <c:y val="-2.06387676470803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91563216760066"/>
          <c:y val="0.28489899765314852"/>
          <c:w val="0.54290776997469903"/>
          <c:h val="0.67145139239210694"/>
        </c:manualLayout>
      </c:layout>
      <c:pieChart>
        <c:varyColors val="1"/>
        <c:ser>
          <c:idx val="0"/>
          <c:order val="0"/>
          <c:tx>
            <c:strRef>
              <c:f>'Tablas Aux'!$I$6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66-4861-8997-4A84AE2DA003}"/>
              </c:ext>
            </c:extLst>
          </c:dPt>
          <c:dPt>
            <c:idx val="1"/>
            <c:bubble3D val="0"/>
            <c:spPr>
              <a:solidFill>
                <a:srgbClr val="0099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6-4861-8997-4A84AE2DA003}"/>
              </c:ext>
            </c:extLst>
          </c:dPt>
          <c:dLbls>
            <c:dLbl>
              <c:idx val="0"/>
              <c:layout>
                <c:manualLayout>
                  <c:x val="-0.21437096545364276"/>
                  <c:y val="-3.103217599192858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66-4861-8997-4A84AE2DA003}"/>
                </c:ext>
              </c:extLst>
            </c:dLbl>
            <c:dLbl>
              <c:idx val="1"/>
              <c:layout>
                <c:manualLayout>
                  <c:x val="0.1922213059516209"/>
                  <c:y val="-2.06387676470803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66-4861-8997-4A84AE2DA0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Aux'!$H$7:$H$9</c:f>
              <c:strCache>
                <c:ptCount val="2"/>
                <c:pt idx="0">
                  <c:v>No</c:v>
                </c:pt>
                <c:pt idx="1">
                  <c:v>Sí</c:v>
                </c:pt>
              </c:strCache>
            </c:strRef>
          </c:cat>
          <c:val>
            <c:numRef>
              <c:f>'Tablas Aux'!$I$7:$I$9</c:f>
              <c:numCache>
                <c:formatCode>General</c:formatCode>
                <c:ptCount val="2"/>
                <c:pt idx="0">
                  <c:v>437</c:v>
                </c:pt>
                <c:pt idx="1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66-4861-8997-4A84AE2DA00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[Dataset_Análisis de alquiler de inmuebles de la ciudad de Lima.xlsx]Tablas Aux!TablaDinámica13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Evolución de precios según el año de construcción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Aux'!$C$57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Aux'!$B$58:$B$97</c:f>
              <c:strCache>
                <c:ptCount val="39"/>
                <c:pt idx="0">
                  <c:v>1960</c:v>
                </c:pt>
                <c:pt idx="1">
                  <c:v>1962</c:v>
                </c:pt>
                <c:pt idx="2">
                  <c:v>1963</c:v>
                </c:pt>
                <c:pt idx="3">
                  <c:v>1965</c:v>
                </c:pt>
                <c:pt idx="4">
                  <c:v>1971</c:v>
                </c:pt>
                <c:pt idx="5">
                  <c:v>1972</c:v>
                </c:pt>
                <c:pt idx="6">
                  <c:v>1983</c:v>
                </c:pt>
                <c:pt idx="7">
                  <c:v>1988</c:v>
                </c:pt>
                <c:pt idx="8">
                  <c:v>1990</c:v>
                </c:pt>
                <c:pt idx="9">
                  <c:v>1991</c:v>
                </c:pt>
                <c:pt idx="10">
                  <c:v>1992</c:v>
                </c:pt>
                <c:pt idx="11">
                  <c:v>1993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  <c:pt idx="33">
                  <c:v>2018</c:v>
                </c:pt>
                <c:pt idx="34">
                  <c:v>2019</c:v>
                </c:pt>
                <c:pt idx="35">
                  <c:v>2020</c:v>
                </c:pt>
                <c:pt idx="36">
                  <c:v>2021</c:v>
                </c:pt>
                <c:pt idx="37">
                  <c:v>2022</c:v>
                </c:pt>
                <c:pt idx="38">
                  <c:v>2023</c:v>
                </c:pt>
              </c:strCache>
            </c:strRef>
          </c:cat>
          <c:val>
            <c:numRef>
              <c:f>'Tablas Aux'!$C$58:$C$97</c:f>
              <c:numCache>
                <c:formatCode>"S/"#,##0.00</c:formatCode>
                <c:ptCount val="39"/>
                <c:pt idx="0">
                  <c:v>2600</c:v>
                </c:pt>
                <c:pt idx="1">
                  <c:v>8510</c:v>
                </c:pt>
                <c:pt idx="2">
                  <c:v>4440</c:v>
                </c:pt>
                <c:pt idx="3">
                  <c:v>12950</c:v>
                </c:pt>
                <c:pt idx="4">
                  <c:v>2000</c:v>
                </c:pt>
                <c:pt idx="5">
                  <c:v>6660</c:v>
                </c:pt>
                <c:pt idx="6">
                  <c:v>3515</c:v>
                </c:pt>
                <c:pt idx="7">
                  <c:v>4680</c:v>
                </c:pt>
                <c:pt idx="8">
                  <c:v>3213</c:v>
                </c:pt>
                <c:pt idx="9">
                  <c:v>5735</c:v>
                </c:pt>
                <c:pt idx="10">
                  <c:v>7030</c:v>
                </c:pt>
                <c:pt idx="11">
                  <c:v>7030</c:v>
                </c:pt>
                <c:pt idx="12">
                  <c:v>6314</c:v>
                </c:pt>
                <c:pt idx="13">
                  <c:v>5251.666666666667</c:v>
                </c:pt>
                <c:pt idx="14">
                  <c:v>3550</c:v>
                </c:pt>
                <c:pt idx="15">
                  <c:v>5165.181818181818</c:v>
                </c:pt>
                <c:pt idx="16">
                  <c:v>4427.666666666667</c:v>
                </c:pt>
                <c:pt idx="17">
                  <c:v>3246.6666666666665</c:v>
                </c:pt>
                <c:pt idx="18">
                  <c:v>4322.6039215686269</c:v>
                </c:pt>
                <c:pt idx="19">
                  <c:v>5906.1358974358973</c:v>
                </c:pt>
                <c:pt idx="20">
                  <c:v>5357.4888888888891</c:v>
                </c:pt>
                <c:pt idx="21">
                  <c:v>5425.6894736842105</c:v>
                </c:pt>
                <c:pt idx="22">
                  <c:v>3333.4760869565216</c:v>
                </c:pt>
                <c:pt idx="23">
                  <c:v>4276.4142857142851</c:v>
                </c:pt>
                <c:pt idx="24">
                  <c:v>4164.3857142857141</c:v>
                </c:pt>
                <c:pt idx="25">
                  <c:v>5515.9313725490192</c:v>
                </c:pt>
                <c:pt idx="26">
                  <c:v>4359.304347826087</c:v>
                </c:pt>
                <c:pt idx="27">
                  <c:v>4166.9160000000002</c:v>
                </c:pt>
                <c:pt idx="28">
                  <c:v>19188.372549019608</c:v>
                </c:pt>
                <c:pt idx="29">
                  <c:v>3884.3836065573769</c:v>
                </c:pt>
                <c:pt idx="30">
                  <c:v>4552.2</c:v>
                </c:pt>
                <c:pt idx="31">
                  <c:v>4034.4749999999999</c:v>
                </c:pt>
                <c:pt idx="32">
                  <c:v>4395.3975609756098</c:v>
                </c:pt>
                <c:pt idx="33">
                  <c:v>3428.1683333333335</c:v>
                </c:pt>
                <c:pt idx="34">
                  <c:v>2921.2727272727275</c:v>
                </c:pt>
                <c:pt idx="35">
                  <c:v>95421.857142857145</c:v>
                </c:pt>
                <c:pt idx="36">
                  <c:v>2113.1666666666665</c:v>
                </c:pt>
                <c:pt idx="37">
                  <c:v>1837.8125</c:v>
                </c:pt>
                <c:pt idx="38">
                  <c:v>1829.1818181818182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A-4BEB-8830-FAD6C54A8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166064"/>
        <c:axId val="1403367408"/>
      </c:lineChart>
      <c:catAx>
        <c:axId val="130616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67408"/>
        <c:crosses val="autoZero"/>
        <c:auto val="1"/>
        <c:lblAlgn val="ctr"/>
        <c:lblOffset val="100"/>
        <c:noMultiLvlLbl val="0"/>
      </c:catAx>
      <c:valAx>
        <c:axId val="140336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6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33169</xdr:colOff>
      <xdr:row>9</xdr:row>
      <xdr:rowOff>16584</xdr:rowOff>
    </xdr:from>
    <xdr:to>
      <xdr:col>11</xdr:col>
      <xdr:colOff>430305</xdr:colOff>
      <xdr:row>23</xdr:row>
      <xdr:rowOff>176604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BA5447-98B7-49E1-BFEA-5113E8E98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549537</xdr:colOff>
      <xdr:row>9</xdr:row>
      <xdr:rowOff>8964</xdr:rowOff>
    </xdr:from>
    <xdr:to>
      <xdr:col>15</xdr:col>
      <xdr:colOff>331694</xdr:colOff>
      <xdr:row>24</xdr:row>
      <xdr:rowOff>4930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BB6C0D-5611-4745-B376-097E51FE6A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5378</xdr:colOff>
      <xdr:row>25</xdr:row>
      <xdr:rowOff>124160</xdr:rowOff>
    </xdr:from>
    <xdr:to>
      <xdr:col>11</xdr:col>
      <xdr:colOff>421341</xdr:colOff>
      <xdr:row>40</xdr:row>
      <xdr:rowOff>112506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DF4458-3B12-452D-BF64-EF6960CC2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71717</xdr:colOff>
      <xdr:row>2</xdr:row>
      <xdr:rowOff>134472</xdr:rowOff>
    </xdr:from>
    <xdr:to>
      <xdr:col>5</xdr:col>
      <xdr:colOff>206187</xdr:colOff>
      <xdr:row>8</xdr:row>
      <xdr:rowOff>107577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67B78E5A-32A8-4A50-9090-A5BAF66B6552}"/>
            </a:ext>
          </a:extLst>
        </xdr:cNvPr>
        <xdr:cNvSpPr/>
      </xdr:nvSpPr>
      <xdr:spPr>
        <a:xfrm>
          <a:off x="860611" y="493060"/>
          <a:ext cx="3290047" cy="1048870"/>
        </a:xfrm>
        <a:prstGeom prst="roundRect">
          <a:avLst/>
        </a:prstGeom>
        <a:solidFill>
          <a:srgbClr val="003399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13</xdr:col>
      <xdr:colOff>367553</xdr:colOff>
      <xdr:row>25</xdr:row>
      <xdr:rowOff>145228</xdr:rowOff>
    </xdr:from>
    <xdr:to>
      <xdr:col>15</xdr:col>
      <xdr:colOff>340659</xdr:colOff>
      <xdr:row>35</xdr:row>
      <xdr:rowOff>53789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strito">
              <a:extLst>
                <a:ext uri="{FF2B5EF4-FFF2-40B4-BE49-F238E27FC236}">
                  <a16:creationId xmlns:a16="http://schemas.microsoft.com/office/drawing/2014/main" id="{62C93C66-7CA3-4EBA-978C-B6A2C8C1A9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stri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3177" y="4627581"/>
              <a:ext cx="1550894" cy="17015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522644</xdr:colOff>
      <xdr:row>25</xdr:row>
      <xdr:rowOff>150159</xdr:rowOff>
    </xdr:from>
    <xdr:to>
      <xdr:col>13</xdr:col>
      <xdr:colOff>242047</xdr:colOff>
      <xdr:row>35</xdr:row>
      <xdr:rowOff>53788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iudad">
              <a:extLst>
                <a:ext uri="{FF2B5EF4-FFF2-40B4-BE49-F238E27FC236}">
                  <a16:creationId xmlns:a16="http://schemas.microsoft.com/office/drawing/2014/main" id="{1D1B68A6-8FD1-4CE4-9402-47DF5665D7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0479" y="4632512"/>
              <a:ext cx="1297192" cy="1696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537882</xdr:colOff>
      <xdr:row>2</xdr:row>
      <xdr:rowOff>125508</xdr:rowOff>
    </xdr:from>
    <xdr:to>
      <xdr:col>8</xdr:col>
      <xdr:colOff>493056</xdr:colOff>
      <xdr:row>8</xdr:row>
      <xdr:rowOff>98613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97C1DBC5-8C77-47EF-8292-78604FEC7888}"/>
            </a:ext>
          </a:extLst>
        </xdr:cNvPr>
        <xdr:cNvGrpSpPr/>
      </xdr:nvGrpSpPr>
      <xdr:grpSpPr>
        <a:xfrm>
          <a:off x="4482353" y="484096"/>
          <a:ext cx="2321856" cy="1048870"/>
          <a:chOff x="3379694" y="493060"/>
          <a:chExt cx="2321856" cy="1048870"/>
        </a:xfrm>
      </xdr:grpSpPr>
      <xdr:sp macro="" textlink="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021C6833-3B79-4A32-9687-4FF337BD0BC4}"/>
              </a:ext>
            </a:extLst>
          </xdr:cNvPr>
          <xdr:cNvSpPr/>
        </xdr:nvSpPr>
        <xdr:spPr>
          <a:xfrm>
            <a:off x="3379694" y="493060"/>
            <a:ext cx="2321856" cy="1048870"/>
          </a:xfrm>
          <a:prstGeom prst="roundRect">
            <a:avLst/>
          </a:prstGeom>
          <a:solidFill>
            <a:srgbClr val="003399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F6E3E67E-C47F-41A5-9F0B-D73DB9AE3049}"/>
              </a:ext>
            </a:extLst>
          </xdr:cNvPr>
          <xdr:cNvSpPr txBox="1"/>
        </xdr:nvSpPr>
        <xdr:spPr>
          <a:xfrm>
            <a:off x="3783105" y="1030941"/>
            <a:ext cx="154193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chemeClr val="bg1"/>
                </a:solidFill>
              </a:rPr>
              <a:t>PRECIO PROMEDIO </a:t>
            </a:r>
            <a:endParaRPr lang="en-US" sz="1400">
              <a:solidFill>
                <a:schemeClr val="bg1"/>
              </a:solidFill>
            </a:endParaRPr>
          </a:p>
        </xdr:txBody>
      </xdr:sp>
      <xdr:sp macro="" textlink="">
        <xdr:nvSpPr>
          <xdr:cNvPr id="19" name="CuadroTexto 18">
            <a:extLst>
              <a:ext uri="{FF2B5EF4-FFF2-40B4-BE49-F238E27FC236}">
                <a16:creationId xmlns:a16="http://schemas.microsoft.com/office/drawing/2014/main" id="{3EFED722-040D-4824-B3E7-4B6F5D243B7B}"/>
              </a:ext>
            </a:extLst>
          </xdr:cNvPr>
          <xdr:cNvSpPr txBox="1"/>
        </xdr:nvSpPr>
        <xdr:spPr>
          <a:xfrm>
            <a:off x="3899648" y="555811"/>
            <a:ext cx="1542281" cy="5933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3200" b="1">
                <a:solidFill>
                  <a:schemeClr val="bg1"/>
                </a:solidFill>
              </a:rPr>
              <a:t>6653.72</a:t>
            </a:r>
            <a:endParaRPr lang="en-US" sz="3200">
              <a:solidFill>
                <a:schemeClr val="bg1"/>
              </a:solidFill>
            </a:endParaRP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DBC9459B-7243-46E8-9CFC-6C3C8822BFD4}"/>
              </a:ext>
            </a:extLst>
          </xdr:cNvPr>
          <xdr:cNvSpPr txBox="1"/>
        </xdr:nvSpPr>
        <xdr:spPr>
          <a:xfrm>
            <a:off x="4007222" y="1210235"/>
            <a:ext cx="1120589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chemeClr val="bg1"/>
                </a:solidFill>
              </a:rPr>
              <a:t>DE ALQUILER</a:t>
            </a:r>
            <a:endParaRPr lang="en-US" sz="1400">
              <a:solidFill>
                <a:schemeClr val="bg1"/>
              </a:solidFill>
            </a:endParaRP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2EE96E0C-3637-4FA0-A6C9-0C1D65A3EEA4}"/>
              </a:ext>
            </a:extLst>
          </xdr:cNvPr>
          <xdr:cNvSpPr txBox="1"/>
        </xdr:nvSpPr>
        <xdr:spPr>
          <a:xfrm>
            <a:off x="3639670" y="735106"/>
            <a:ext cx="394595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chemeClr val="bg1"/>
                </a:solidFill>
              </a:rPr>
              <a:t>S/.</a:t>
            </a:r>
            <a:endParaRPr lang="en-US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9</xdr:col>
      <xdr:colOff>8961</xdr:colOff>
      <xdr:row>2</xdr:row>
      <xdr:rowOff>125507</xdr:rowOff>
    </xdr:from>
    <xdr:to>
      <xdr:col>11</xdr:col>
      <xdr:colOff>753029</xdr:colOff>
      <xdr:row>8</xdr:row>
      <xdr:rowOff>98612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899932D1-0989-4B17-A729-48738C38AF74}"/>
            </a:ext>
          </a:extLst>
        </xdr:cNvPr>
        <xdr:cNvGrpSpPr/>
      </xdr:nvGrpSpPr>
      <xdr:grpSpPr>
        <a:xfrm>
          <a:off x="7109008" y="484095"/>
          <a:ext cx="2321856" cy="1048870"/>
          <a:chOff x="5889809" y="493060"/>
          <a:chExt cx="2321856" cy="1048870"/>
        </a:xfrm>
      </xdr:grpSpPr>
      <xdr:sp macro="" textlink="">
        <xdr:nvSpPr>
          <xdr:cNvPr id="22" name="Rectángulo: esquinas redondeadas 21">
            <a:extLst>
              <a:ext uri="{FF2B5EF4-FFF2-40B4-BE49-F238E27FC236}">
                <a16:creationId xmlns:a16="http://schemas.microsoft.com/office/drawing/2014/main" id="{485787BB-D978-4DF9-9626-02A50E21AC39}"/>
              </a:ext>
            </a:extLst>
          </xdr:cNvPr>
          <xdr:cNvSpPr/>
        </xdr:nvSpPr>
        <xdr:spPr>
          <a:xfrm>
            <a:off x="5889809" y="493060"/>
            <a:ext cx="2321856" cy="1048870"/>
          </a:xfrm>
          <a:prstGeom prst="roundRect">
            <a:avLst/>
          </a:prstGeom>
          <a:solidFill>
            <a:srgbClr val="003399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3" name="CuadroTexto 22">
            <a:extLst>
              <a:ext uri="{FF2B5EF4-FFF2-40B4-BE49-F238E27FC236}">
                <a16:creationId xmlns:a16="http://schemas.microsoft.com/office/drawing/2014/main" id="{A218179B-8F79-45A2-AA03-1E706D4615C3}"/>
              </a:ext>
            </a:extLst>
          </xdr:cNvPr>
          <xdr:cNvSpPr txBox="1"/>
        </xdr:nvSpPr>
        <xdr:spPr>
          <a:xfrm>
            <a:off x="6481478" y="1165411"/>
            <a:ext cx="103094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chemeClr val="bg1"/>
                </a:solidFill>
              </a:rPr>
              <a:t>PRECIO</a:t>
            </a:r>
            <a:r>
              <a:rPr lang="en-US" sz="1400" b="1" baseline="0">
                <a:solidFill>
                  <a:schemeClr val="bg1"/>
                </a:solidFill>
              </a:rPr>
              <a:t> MIN</a:t>
            </a:r>
            <a:endParaRPr lang="en-US" sz="1400">
              <a:solidFill>
                <a:schemeClr val="bg1"/>
              </a:solidFill>
            </a:endParaRPr>
          </a:p>
        </xdr:txBody>
      </xdr: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3AC4030E-863C-4247-80CD-EF8AC50C81DA}"/>
              </a:ext>
            </a:extLst>
          </xdr:cNvPr>
          <xdr:cNvSpPr txBox="1"/>
        </xdr:nvSpPr>
        <xdr:spPr>
          <a:xfrm>
            <a:off x="6687672" y="627528"/>
            <a:ext cx="860611" cy="59330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3200" b="1">
                <a:solidFill>
                  <a:schemeClr val="bg1"/>
                </a:solidFill>
              </a:rPr>
              <a:t>5.00</a:t>
            </a:r>
            <a:endParaRPr lang="en-US" sz="3200">
              <a:solidFill>
                <a:schemeClr val="bg1"/>
              </a:solidFill>
            </a:endParaRPr>
          </a:p>
        </xdr:txBody>
      </xdr:sp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16319E37-FDC7-4D28-BB74-F1AB4751BD1A}"/>
              </a:ext>
            </a:extLst>
          </xdr:cNvPr>
          <xdr:cNvSpPr txBox="1"/>
        </xdr:nvSpPr>
        <xdr:spPr>
          <a:xfrm>
            <a:off x="6427694" y="806823"/>
            <a:ext cx="394595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chemeClr val="bg1"/>
                </a:solidFill>
              </a:rPr>
              <a:t>S/.</a:t>
            </a:r>
            <a:endParaRPr lang="en-US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12</xdr:col>
      <xdr:colOff>277907</xdr:colOff>
      <xdr:row>2</xdr:row>
      <xdr:rowOff>134472</xdr:rowOff>
    </xdr:from>
    <xdr:to>
      <xdr:col>15</xdr:col>
      <xdr:colOff>233080</xdr:colOff>
      <xdr:row>8</xdr:row>
      <xdr:rowOff>107577</xdr:rowOff>
    </xdr:to>
    <xdr:grpSp>
      <xdr:nvGrpSpPr>
        <xdr:cNvPr id="38" name="Grupo 37">
          <a:extLst>
            <a:ext uri="{FF2B5EF4-FFF2-40B4-BE49-F238E27FC236}">
              <a16:creationId xmlns:a16="http://schemas.microsoft.com/office/drawing/2014/main" id="{4C41A573-3B37-4B46-A81A-B4BE8A04FDF2}"/>
            </a:ext>
          </a:extLst>
        </xdr:cNvPr>
        <xdr:cNvGrpSpPr/>
      </xdr:nvGrpSpPr>
      <xdr:grpSpPr>
        <a:xfrm>
          <a:off x="9744636" y="493060"/>
          <a:ext cx="2321856" cy="1048870"/>
          <a:chOff x="10865224" y="493060"/>
          <a:chExt cx="2321856" cy="104887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02F8F623-4CCC-4367-BC91-7B81AF52EC69}"/>
              </a:ext>
            </a:extLst>
          </xdr:cNvPr>
          <xdr:cNvSpPr/>
        </xdr:nvSpPr>
        <xdr:spPr>
          <a:xfrm>
            <a:off x="10865224" y="493060"/>
            <a:ext cx="2321856" cy="1048870"/>
          </a:xfrm>
          <a:prstGeom prst="roundRect">
            <a:avLst/>
          </a:prstGeom>
          <a:solidFill>
            <a:srgbClr val="003399"/>
          </a:soli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5" name="CuadroTexto 24">
            <a:extLst>
              <a:ext uri="{FF2B5EF4-FFF2-40B4-BE49-F238E27FC236}">
                <a16:creationId xmlns:a16="http://schemas.microsoft.com/office/drawing/2014/main" id="{7A1A59C9-29EF-4DA9-B8F9-CFCD382E8041}"/>
              </a:ext>
            </a:extLst>
          </xdr:cNvPr>
          <xdr:cNvSpPr txBox="1"/>
        </xdr:nvSpPr>
        <xdr:spPr>
          <a:xfrm>
            <a:off x="11465858" y="1165411"/>
            <a:ext cx="103094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chemeClr val="bg1"/>
                </a:solidFill>
              </a:rPr>
              <a:t>PRECIO</a:t>
            </a:r>
            <a:r>
              <a:rPr lang="en-US" sz="1400" b="1" baseline="0">
                <a:solidFill>
                  <a:schemeClr val="bg1"/>
                </a:solidFill>
              </a:rPr>
              <a:t> MAX</a:t>
            </a:r>
            <a:endParaRPr lang="en-US" sz="1400">
              <a:solidFill>
                <a:schemeClr val="bg1"/>
              </a:solidFill>
            </a:endParaRPr>
          </a:p>
        </xdr:txBody>
      </xdr:sp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64942F32-F0A9-4F8D-AC1E-C82FF2A7E8F7}"/>
              </a:ext>
            </a:extLst>
          </xdr:cNvPr>
          <xdr:cNvSpPr txBox="1"/>
        </xdr:nvSpPr>
        <xdr:spPr>
          <a:xfrm>
            <a:off x="11214849" y="708212"/>
            <a:ext cx="1730187" cy="4572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2400" b="1">
                <a:solidFill>
                  <a:schemeClr val="bg1"/>
                </a:solidFill>
              </a:rPr>
              <a:t>1,295,000.00</a:t>
            </a:r>
            <a:endParaRPr lang="en-US" sz="2400">
              <a:solidFill>
                <a:schemeClr val="bg1"/>
              </a:solidFill>
            </a:endParaRPr>
          </a:p>
        </xdr:txBody>
      </xdr:sp>
      <xdr:sp macro="" textlink="">
        <xdr:nvSpPr>
          <xdr:cNvPr id="29" name="CuadroTexto 28">
            <a:extLst>
              <a:ext uri="{FF2B5EF4-FFF2-40B4-BE49-F238E27FC236}">
                <a16:creationId xmlns:a16="http://schemas.microsoft.com/office/drawing/2014/main" id="{5A039DC3-8657-42F7-9213-13883600C883}"/>
              </a:ext>
            </a:extLst>
          </xdr:cNvPr>
          <xdr:cNvSpPr txBox="1"/>
        </xdr:nvSpPr>
        <xdr:spPr>
          <a:xfrm>
            <a:off x="10945907" y="815788"/>
            <a:ext cx="394595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1400" b="1">
                <a:solidFill>
                  <a:schemeClr val="bg1"/>
                </a:solidFill>
              </a:rPr>
              <a:t>S/.</a:t>
            </a:r>
            <a:endParaRPr lang="en-US" sz="14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591672</xdr:colOff>
      <xdr:row>3</xdr:row>
      <xdr:rowOff>152400</xdr:rowOff>
    </xdr:from>
    <xdr:to>
      <xdr:col>5</xdr:col>
      <xdr:colOff>53787</xdr:colOff>
      <xdr:row>7</xdr:row>
      <xdr:rowOff>28526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11170DFC-BFB5-4C01-827A-C446FB814F32}"/>
            </a:ext>
          </a:extLst>
        </xdr:cNvPr>
        <xdr:cNvSpPr txBox="1"/>
      </xdr:nvSpPr>
      <xdr:spPr>
        <a:xfrm>
          <a:off x="2958354" y="690282"/>
          <a:ext cx="1039904" cy="593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n-US" sz="4000" b="1">
              <a:solidFill>
                <a:schemeClr val="bg1"/>
              </a:solidFill>
            </a:rPr>
            <a:t>864</a:t>
          </a:r>
          <a:endParaRPr lang="en-US" sz="40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170327</xdr:colOff>
      <xdr:row>5</xdr:row>
      <xdr:rowOff>89646</xdr:rowOff>
    </xdr:from>
    <xdr:to>
      <xdr:col>3</xdr:col>
      <xdr:colOff>528916</xdr:colOff>
      <xdr:row>7</xdr:row>
      <xdr:rowOff>42554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DAA6991E-66F5-4B45-B339-00812BEAEAB1}"/>
            </a:ext>
          </a:extLst>
        </xdr:cNvPr>
        <xdr:cNvSpPr txBox="1"/>
      </xdr:nvSpPr>
      <xdr:spPr>
        <a:xfrm>
          <a:off x="959221" y="986117"/>
          <a:ext cx="193637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>
              <a:solidFill>
                <a:schemeClr val="bg1"/>
              </a:solidFill>
            </a:rPr>
            <a:t>DEPARTAMENTOS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537882</xdr:colOff>
      <xdr:row>4</xdr:row>
      <xdr:rowOff>26893</xdr:rowOff>
    </xdr:from>
    <xdr:to>
      <xdr:col>3</xdr:col>
      <xdr:colOff>197223</xdr:colOff>
      <xdr:row>6</xdr:row>
      <xdr:rowOff>98611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B5935C8-4286-4186-967E-BD4B3DF05653}"/>
            </a:ext>
          </a:extLst>
        </xdr:cNvPr>
        <xdr:cNvSpPr txBox="1"/>
      </xdr:nvSpPr>
      <xdr:spPr>
        <a:xfrm>
          <a:off x="1326776" y="744069"/>
          <a:ext cx="1237129" cy="4303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800" b="1">
              <a:solidFill>
                <a:schemeClr val="bg1"/>
              </a:solidFill>
            </a:rPr>
            <a:t>TOTAL</a:t>
          </a:r>
          <a:r>
            <a:rPr lang="en-US" sz="1800" b="1" baseline="0">
              <a:solidFill>
                <a:schemeClr val="bg1"/>
              </a:solidFill>
            </a:rPr>
            <a:t> DE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528918</xdr:colOff>
      <xdr:row>3</xdr:row>
      <xdr:rowOff>62753</xdr:rowOff>
    </xdr:from>
    <xdr:to>
      <xdr:col>3</xdr:col>
      <xdr:colOff>528918</xdr:colOff>
      <xdr:row>7</xdr:row>
      <xdr:rowOff>152400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9621FDDB-6718-492E-8A46-BBC0BDFAD717}"/>
            </a:ext>
          </a:extLst>
        </xdr:cNvPr>
        <xdr:cNvCxnSpPr/>
      </xdr:nvCxnSpPr>
      <xdr:spPr>
        <a:xfrm>
          <a:off x="2895600" y="600635"/>
          <a:ext cx="0" cy="806824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erv" refreshedDate="45742.465455439815" createdVersion="7" refreshedVersion="7" minRefreshableVersion="3" recordCount="921" xr:uid="{00000000-000A-0000-FFFF-FFFF34000000}">
  <cacheSource type="worksheet">
    <worksheetSource name="BDAlquilerDepartamentos"/>
  </cacheSource>
  <cacheFields count="20">
    <cacheField name="Título" numFmtId="0">
      <sharedItems/>
    </cacheField>
    <cacheField name="Dirección" numFmtId="0">
      <sharedItems/>
    </cacheField>
    <cacheField name="Distrito" numFmtId="0">
      <sharedItems count="52">
        <s v="Miraflores"/>
        <s v="Arequipa"/>
        <s v=" Barranco"/>
        <s v=" Lince"/>
        <s v=" Santiago de Surco"/>
        <s v="Lima"/>
        <s v=" Rimac"/>
        <s v=" San Isidro"/>
        <s v=" Chorrillos"/>
        <s v=" Comas"/>
        <s v=" Surquillo"/>
        <s v=" San Borja"/>
        <s v=" Urb Santa Cruz"/>
        <s v=" Magdalena del Mar"/>
        <s v=" San Juan deMiraflores"/>
        <s v=" Chaclacayo"/>
        <s v=" San Miguel"/>
        <s v=" La Perla"/>
        <s v=" Ate"/>
        <s v=" Puente Piedra"/>
        <s v=" Callao"/>
        <s v=" La Molina"/>
        <s v=" Jesus María"/>
        <s v=" Independencia"/>
        <s v=" Punta Hermosa"/>
        <s v=" Pueblo Libre"/>
        <s v=" La Victoria"/>
        <s v=" Santa Anita"/>
        <s v=" Sa Martínde Porres"/>
        <s v=" Los Olivos"/>
        <s v=" Carabayllo"/>
        <s v=" San Bartolo"/>
        <s v=" Bellavista"/>
        <s v=" Urb Jose Balta"/>
        <s v=" Cañete"/>
        <s v=" San Luis"/>
        <s v=" Lurin"/>
        <s v=" Urb San Borja"/>
        <s v=" Urb Cercado deMiraflores"/>
        <s v=" Lurigancho"/>
        <s v=" San Juan de Lurigancho"/>
        <s v=" Urb Campo de Polo"/>
        <s v=" Villa María del Triunfo"/>
        <s v="Breña"/>
        <s v=" Gobierno Regional deLima"/>
        <s v=" Punta Negra"/>
        <s v=" Urb Santa Isabel"/>
        <s v=" San Eugenio"/>
        <s v=" La Planicie"/>
        <s v="Lima " u="1"/>
        <s v=" Gobierno Regional deLima " u="1"/>
        <s v=" BreÃ±a" u="1"/>
      </sharedItems>
    </cacheField>
    <cacheField name="Departamento" numFmtId="0">
      <sharedItems/>
    </cacheField>
    <cacheField name="Ciudad" numFmtId="0">
      <sharedItems count="7">
        <s v="Lima"/>
        <s v="Arequipa"/>
        <s v=" Callao"/>
        <s v="Arequipa "/>
        <s v=" Callao "/>
        <s v="Lima " u="1"/>
        <s v="|" u="1"/>
      </sharedItems>
    </cacheField>
    <cacheField name="Prec. Soles" numFmtId="164">
      <sharedItems containsSemiMixedTypes="0" containsString="0" containsNumber="1" minValue="5" maxValue="1295000"/>
    </cacheField>
    <cacheField name="Mantenimiento" numFmtId="164">
      <sharedItems containsSemiMixedTypes="0" containsString="0" containsNumber="1" minValue="0.30000000000000004" maxValue="129500"/>
    </cacheField>
    <cacheField name="N° de Dorm." numFmtId="0">
      <sharedItems containsSemiMixedTypes="0" containsString="0" containsNumber="1" containsInteger="1" minValue="1" maxValue="15" count="13">
        <n v="2"/>
        <n v="3"/>
        <n v="1"/>
        <n v="5"/>
        <n v="4"/>
        <n v="14"/>
        <n v="7"/>
        <n v="12"/>
        <n v="8"/>
        <n v="9"/>
        <n v="15"/>
        <n v="10"/>
        <n v="6"/>
      </sharedItems>
    </cacheField>
    <cacheField name="N° de Baños" numFmtId="0">
      <sharedItems containsSemiMixedTypes="0" containsString="0" containsNumber="1" containsInteger="1" minValue="1" maxValue="15"/>
    </cacheField>
    <cacheField name="Ascensor" numFmtId="0">
      <sharedItems count="2">
        <s v="No"/>
        <s v="Sí"/>
      </sharedItems>
    </cacheField>
    <cacheField name="Estacionamiento" numFmtId="0">
      <sharedItems/>
    </cacheField>
    <cacheField name="Área m²" numFmtId="0">
      <sharedItems containsString="0" containsBlank="1" containsNumber="1" containsInteger="1" minValue="8" maxValue="1500"/>
    </cacheField>
    <cacheField name="Año de Const." numFmtId="0">
      <sharedItems containsSemiMixedTypes="0" containsString="0" containsNumber="1" containsInteger="1" minValue="1960" maxValue="2023" count="39">
        <n v="2010"/>
        <n v="2021"/>
        <n v="2020"/>
        <n v="2022"/>
        <n v="1962"/>
        <n v="2000"/>
        <n v="2018"/>
        <n v="2011"/>
        <n v="2015"/>
        <n v="2023"/>
        <n v="2003"/>
        <n v="2019"/>
        <n v="2017"/>
        <n v="2014"/>
        <n v="1988"/>
        <n v="2009"/>
        <n v="2016"/>
        <n v="2008"/>
        <n v="2005"/>
        <n v="2013"/>
        <n v="2012"/>
        <n v="1960"/>
        <n v="1983"/>
        <n v="2001"/>
        <n v="1992"/>
        <n v="2002"/>
        <n v="1991"/>
        <n v="2007"/>
        <n v="1998"/>
        <n v="1999"/>
        <n v="2006"/>
        <n v="1997"/>
        <n v="1965"/>
        <n v="1972"/>
        <n v="1993"/>
        <n v="1990"/>
        <n v="1963"/>
        <n v="1971"/>
        <n v="2004"/>
      </sharedItems>
    </cacheField>
    <cacheField name="Costo Dpto" numFmtId="0">
      <sharedItems/>
    </cacheField>
    <cacheField name="Recomendado" numFmtId="0">
      <sharedItems/>
    </cacheField>
    <cacheField name="Tipo de Inmueble" numFmtId="0">
      <sharedItems/>
    </cacheField>
    <cacheField name="Operación" numFmtId="0">
      <sharedItems/>
    </cacheField>
    <cacheField name="Fecha de Publicaión" numFmtId="14">
      <sharedItems containsSemiMixedTypes="0" containsNonDate="0" containsDate="1" containsString="0" minDate="2023-01-01T00:00:00" maxDate="2024-12-31T00:00:00"/>
    </cacheField>
    <cacheField name="Publicado Por" numFmtId="0">
      <sharedItems count="285">
        <s v="GARRIDO SECLEN RICARDY BUENAVENTURA"/>
        <s v="Inmuebles Peruanos"/>
        <s v="JESUS ALTAMIRANO CONDEMARIN"/>
        <s v="KRB Agencia Perú"/>
        <s v="CASA VIP"/>
        <s v="Century 21 Horizonte"/>
        <s v="SOCIOS INMOBILIARIOS"/>
        <s v="BERTTOLÁ SERVICIOS INMOBILIARIOS"/>
        <s v="Patricia y Rogelio"/>
        <s v="Remax VisiónMirafloresLima"/>
        <s v="RE/MAX Principal pe"/>
        <s v="Remax Concept"/>
        <s v="Arias Propiedades"/>
        <s v="RealWasi Inmobiliaria"/>
        <s v="Fernando AlcalÃ¡ Luna"/>
        <s v="Inmoba Peru SAC"/>
        <s v="CARLA EMPERATRIZ NEIRA SILVA"/>
        <s v="IsottaLimaSpace"/>
        <s v="Boris Bobbio Stihl"/>
        <s v="HABITALE BIENES RAICES"/>
        <s v="Tasso Inmobiliaria"/>
        <s v="Infinito Novantanove E.I.R.L"/>
        <s v="SERVICIOS INMOBILIARIOS"/>
        <s v="RE/MAX Expo"/>
        <s v="ASPRO asesores profesionales"/>
        <s v="Remax Diamond"/>
        <s v="IntermediaciÃ³n Inmobiliaria â€“ CHS"/>
        <s v="MARIA ANTONIETA DEL CARMEN MESONES VILLACORTA"/>
        <s v="CISA INMOBILIARIA PERU"/>
        <s v="Javier SÃ¡nchez Agente Inmobiliario"/>
        <s v="RE/MAX Lider"/>
        <s v="NNK PERU SAC"/>
        <s v="Lucia Chocano De Caravedo"/>
        <s v="RE/MAX POWER EXPO"/>
        <s v="BÃ¼ro Propiedades"/>
        <s v="REMAX AHORA"/>
        <s v="VerÃ³nica Arosemena"/>
        <s v="Sheriel Herrera"/>
        <s v="EncontrÃ© tu Hogar"/>
        <s v="RE/MAX GestiÃ³n Inmobiliaria"/>
        <s v="REMAX FENIX"/>
        <s v="Astupropiedad"/>
        <s v="REMAX FAMILY"/>
        <s v="RE/MAX ALPHA  pe"/>
        <s v="REMAX CENTENARIO"/>
        <s v="Ikasa Inmobiliaria"/>
        <s v="OSLAVE JESUS FLORES AHON"/>
        <s v="ALI HOUSE"/>
        <s v="Roalse Inmobiliaria"/>
        <s v="Gustavo Jhonatan Santillan Chaupis"/>
        <s v="REMAX UNITED"/>
        <s v="Fiorella Saldarriaga"/>
        <s v="Midori Kishimoto"/>
        <s v="GNS Inmobiliaria"/>
        <s v="Faure Cruz"/>
        <s v="Avanza Gestion Inmobiliaria E.I.R.L."/>
        <s v="NG SOLUCIONES INTEGRALES EFICIENTES NEW GENERATION"/>
        <s v="IRIS JOYA"/>
        <s v="LimaCORRETAJE S.A.C"/>
        <s v="TU HOGAR Y BIENESTAR"/>
        <s v="Auryn Corp"/>
        <s v="CENTURY 21 AVANZA"/>
        <s v="Marina AlegrÃ­a VelÃ¡squez"/>
        <s v="RE/MAX PRO"/>
        <s v="GRUPO JCTP INMOBILIARIO SAC"/>
        <s v="Corretaje Pelusa"/>
        <s v="Remax Integrity"/>
        <s v="Century 21 Ambassador"/>
        <s v="Roxana Elvira Lazarte Alatrista"/>
        <s v="Rafael Reyes Martel"/>
        <s v="Danitza Zapata Tomassini"/>
        <s v="Agentes Asociados"/>
        <s v="RocÃ­o Mazzetti"/>
        <s v="NavegaÂ Inmobiliaria"/>
        <s v="Inmobiliaria Casella"/>
        <s v="Ventas Primeras Bienes Raices"/>
        <s v="REMAX LIBERTY"/>
        <s v="Remax Fusion"/>
        <s v="Central Propiedades"/>
        <s v="Casafacil"/>
        <s v="SPACIO GRUPO INMOBILIARIO S.A.C"/>
        <s v="MARIA DEL ROSARIO"/>
        <s v="JORGE ERNESTO SALAS GONZALES"/>
        <s v="Dominio Inmobiliaria"/>
        <s v="GG BIENES RAICES"/>
        <s v="Silvia Lara"/>
        <s v="Corretajes Inmobiliarios Matessa SAC"/>
        <s v="DCITY Inmobiliaria"/>
        <s v="Cesar MuÃ±oz"/>
        <s v="OLIVAR REAL ESTATE"/>
        <s v="Cynsi"/>
        <s v="IMMOBILIARE"/>
        <s v="Piero Ã±opo EchevarrÃ­a"/>
        <s v="Lien Hub Inmobiliario"/>
        <s v="Lucy Mier y Teran"/>
        <s v="Marcia Rodriguez"/>
        <s v="MENDIETA INMOBILIARIA"/>
        <s v="Global Ceo Net Inmobiliaria"/>
        <s v="JC Consorcio Inmobiliario"/>
        <s v="Sigifredo Rosales Benites"/>
        <s v="RE/MAX PERÃš"/>
        <s v="RUIZ BAGLIETTO TERESA ENRIQUETA"/>
        <s v="Leonardo Quispe"/>
        <s v="Home Inmobiliaria"/>
        <s v="Carola Aguilar"/>
        <s v="Maria Bolognesi"/>
        <s v="Remax Inmuebles"/>
        <s v="Century 21 Platino"/>
        <s v="CCE REALTOR"/>
        <s v="Jaquelina GonzÃ¡les"/>
        <s v="RE/MAX Dreams pe"/>
        <s v="INMOBILIARIA INTERNACIONAL DEL PERU"/>
        <s v="REQUIEROMICASA"/>
        <s v="CBR GRUPO INMOBILIARIO S.A.C."/>
        <s v="CONFIAR Consultores Inmobiliarios Figari &amp; AramburÃº"/>
        <s v="RE/MAX Talento"/>
        <s v="RE/MAX Today"/>
        <s v="Maju GarcÃ­a"/>
        <s v="MARÃA ELENA BECERRA TIRADO"/>
        <s v="Maria Elena Bedoya"/>
        <s v="Vania RodrÃ­guez Bustamante"/>
        <s v="PREMIUM B R"/>
        <s v="Proyectum  Perú"/>
        <s v="JESSICA NORIEGA DIAZ"/>
        <s v="INMOBILIARIA IMMONEO"/>
        <s v="Viva en el Campo"/>
        <s v="Esther Delgado"/>
        <s v="Top House Perú Inmobiliaria"/>
        <s v="Siker Grupo Inmobiliario"/>
        <s v="INMOGA S.A.C"/>
        <s v="Sandra Carbajal"/>
        <s v="Alinea Inmobiliaria"/>
        <s v="Peruconsultores"/>
        <s v="Ana Bay Inmuebles"/>
        <s v="EXPERT HOME BIENES RAICES S.A.C"/>
        <s v="Manuel Villarreal Perez"/>
        <s v="MADELEINE VIGO INMOBILIARIA"/>
        <s v="Pilar Zunjic"/>
        <s v="DOMUS REAL ESTATE"/>
        <s v="JM HOME INMOBILIARIA"/>
        <s v="Josh Vega"/>
        <s v="THEMIS INMOBILIARIA"/>
        <s v="Doris PeÃ±aranda"/>
        <s v="INHOGAR J &amp; B CONSTRUCTORA INMOBILIARIA"/>
        <s v="Remax Plaza"/>
        <s v="Gonzalez Cecilia"/>
        <s v="SUCASA GRUPO INMOBILIARIO"/>
        <s v="Dora Merlo Paz SoldÃ¡n"/>
        <s v="JUAN LIBORIO CORREA LUNA"/>
        <s v="Deglane Melgar Jorge Luis"/>
        <s v="joresco real estate"/>
        <s v="Luis Cano"/>
        <s v="RAIZ INMOBILIARIA &amp; MARKETING S.A.C."/>
        <s v="ANGELICA ESTEFANIA MENDOZA ZEGARRA"/>
        <s v="Oscar Leandro PeÃ±a Villanueva"/>
        <s v="Milagros Garibaldi"/>
        <s v="DAVID LEYVA HERNANDEZ"/>
        <s v="Luis Joya Inmobiliaria"/>
        <s v="John E. Diaz"/>
        <s v="Martha Vargas Serrano"/>
        <s v="Nexdor SAC"/>
        <s v="Manoj Punjabi"/>
        <s v="TELULET Real Estate Group"/>
        <s v="Galls Bienes Raices"/>
        <s v="Jessica Medina V."/>
        <s v="Zoila Loyola"/>
        <s v="SANDRA USQUIANO"/>
        <s v="CANDARES INMOBILIARIA"/>
        <s v="Tatiana Peralta"/>
        <s v="Jeanette díaz"/>
        <s v="LOGRA Inmobiliaria"/>
        <s v="Penthouse Peru Bienes Raices"/>
        <s v="BegoÃ±a Pedraza Corretaje"/>
        <s v="C&amp;A Asesores y Consultores Inmobiliarios SAC"/>
        <s v="REMAX SUNSET"/>
        <s v="NG Inmobiliaria"/>
        <s v="CENTURY 21 INNOVA"/>
        <s v="JY Inmobiliaria SAC"/>
        <s v="ANA MARIA CECILIA ARTEAGA RODRIGUEZ"/>
        <s v="VerÃ³nica Frida DÃ¡vila Herrera"/>
        <s v="JHURT Real Estate"/>
        <s v="CarolÂ LeÃ³n"/>
        <s v="Cimiento Raices SAC"/>
        <s v="JJ CONSULTORES E INMOBILIARIA SAC"/>
        <s v="Perfect Places"/>
        <s v="ISMAEL RIVAS OTERO"/>
        <s v="DREAM HOUSE MR. WONG EIRL"/>
        <s v="Acceso Bienes Raices"/>
        <s v="Armando Bustamante"/>
        <s v="2g Agentes Inmobiliarios"/>
        <s v="Lucy Zaidman Akerman"/>
        <s v="La Foret Inmobiliaria"/>
        <s v="RE/MAX Consultores InmobiliariosArequipa"/>
        <s v="Remax Alliance"/>
        <s v="Inmobiliaria SAEG"/>
        <s v="Century 21 Excellence."/>
        <s v="Century 21 Premium"/>
        <s v="REMAX FUTURA"/>
        <s v="Milagros OrmeÃ±o"/>
        <s v="Real Home Peru"/>
        <s v="Bienes Raices Marisol"/>
        <s v="Marisol BohÃ³rquez Soto"/>
        <s v="REMAX FULL INMOBILIARIA"/>
        <s v="FLOR  D"/>
        <s v="GABRIEL PAREJA Agente Inmobiliario"/>
        <s v="Madeleine Beltran"/>
        <s v="Gestiones Exitosas"/>
        <s v="Romero Inmobiliaria"/>
        <s v="Matayoshi Inmobiliaria"/>
        <s v="Grupo Lehmans INMOBILIARIA"/>
        <s v="JOSE MIGUEL REQUENA MARCELO"/>
        <s v="MARY E. DELGADO ABANTO"/>
        <s v="REMAX SPAZIO"/>
        <s v="Silvia Seminario Agurto"/>
        <s v="RENZO ACUÃ‘A BENDEZÃš"/>
        <s v="Maria del Pilar Cabrera S."/>
        <s v="Lady Montes de Oca"/>
        <s v="Sillar Inmobiliaria"/>
        <s v="INMOBILIARIA TUCASA A1 PERU"/>
        <s v="IVV Broker Inmobiliario"/>
        <s v="Alfredo Maccera"/>
        <s v="MARÃA CECILIA UGAZ BEER"/>
        <s v="ERICK FERNANDO REATEGUI VARGAS"/>
        <s v="María  Del Carmen Mesones Villacorta"/>
        <s v="OPCION UNO INMOBILIARIA S.A.C"/>
        <s v="Dream House Real Estate"/>
        <s v="Prime House"/>
        <s v="IMPERIAL INNMiraflores S.A.C."/>
        <s v="Century 21 Expogroup"/>
        <s v="Carla Teresa Guevara Falconi"/>
        <s v="Susana Cordano  Allende"/>
        <s v="Century 21 MÃ¡xima"/>
        <s v="ABC Inmuebles"/>
        <s v="RE/MAX Realty Group"/>
        <s v="Century 21 Prestigia"/>
        <s v="COLUMBUS INMOBILIARIA"/>
        <s v="MSW Perú Inmobiliaria"/>
        <s v="Century 21 Central"/>
        <s v="J&amp;P Boutique Inmobiliaria Perú"/>
        <s v="Francisca Julia SÃ nchezÂ Alvizuri"/>
        <s v="Marlene Y GarcÃ­a OrdÃ³Ã±ez"/>
        <s v="Asesoria Inmobiliaria Alkon"/>
        <s v="Recasa Inmobiliaria Perú"/>
        <s v="Habitar"/>
        <s v="RE/MAX Metropolis"/>
        <s v="Smart House"/>
        <s v="JPR INMUEBLES"/>
        <s v="RTA TECHNICONCEPT"/>
        <s v="Magnolia QuiÃ±ones INMOBILIARIA"/>
        <s v="David ValcÃ¡rcel Mercado"/>
        <s v="Ceci Cayo &amp; Asociados SAC"/>
        <s v="SHAEYLINN ROJAS GOMERO"/>
        <s v="AC GestiÃ³n Inmobiliaria"/>
        <s v="Bricks Consultores Inmobiliarios"/>
        <s v="SEYFARTH PROPIEDADES"/>
        <s v="KLAROST GROUP"/>
        <s v="MAS CASA INMOBILIARIA"/>
        <s v="Green State"/>
        <s v="AP ASOCIADOS  INMOBILIARIA"/>
        <s v="Century 21 CTR"/>
        <s v="Carmen Rosa Ugarte Gervassi"/>
        <s v="Ana MÃ¡rquez"/>
        <s v="RE/MAX Uno"/>
        <s v="A &amp; A Fokus Peru Inmobiliaria"/>
        <s v="GRUPO INKA &amp; ASOCIADOS SRL"/>
        <s v="WILLKA INMOBILIARIA SAC"/>
        <s v="CLAUDIA ELIZABETH COLINA CACIQUE"/>
        <s v="EMILIA ROSARIO COURREJOLLES REAÃ‘O"/>
        <s v="PATRICIA CHUQUIN ARROYO"/>
        <s v="LAZSLO POZGAI / POZSGAI Y ASESORES"/>
        <s v="Ccasa Inmobiliaria"/>
        <s v="ONA Soluciones Inmobiliarias"/>
        <s v="Asesor Inmobiliario y Consultores Asociados EIRL"/>
        <s v="AUGUSTO GREGORIO NOVOA CHAVEZ"/>
        <s v="PERU LUXURY PROPERTIES"/>
        <s v="RE/MAX Magnus"/>
        <s v="RE/MAX Excellence"/>
        <s v="setagroup.pe"/>
        <s v="Elizabeth Vivanco"/>
        <s v="Tu Nuevo Hogar Inmobiliaria"/>
        <s v="Century 21 Soluciones Inmobiliarias"/>
        <s v="Hito Inmobiliario"/>
        <s v="MONHOUSE E.I.R.L."/>
        <s v="María Ximena Velarde Jara"/>
        <s v="Maria Angelica Suarez"/>
      </sharedItems>
    </cacheField>
    <cacheField name="Enlace" numFmtId="0">
      <sharedItems/>
    </cacheField>
  </cacheFields>
  <extLst>
    <ext xmlns:x14="http://schemas.microsoft.com/office/spreadsheetml/2009/9/main" uri="{725AE2AE-9491-48be-B2B4-4EB974FC3084}">
      <x14:pivotCacheDefinition pivotCacheId="13063900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">
  <r>
    <s v="Apartamento en alquiler en Ur. Santa Cruz"/>
    <s v="Ur. Santa Cruz"/>
    <x v="0"/>
    <s v="Lima"/>
    <x v="0"/>
    <n v="3330"/>
    <n v="333"/>
    <x v="0"/>
    <n v="2"/>
    <x v="0"/>
    <s v="No"/>
    <n v="103"/>
    <x v="0"/>
    <s v="Caro"/>
    <s v="Precio Estadar"/>
    <s v="Apartamento"/>
    <s v="Alquiler"/>
    <d v="2024-08-23T00:00:00"/>
    <x v="0"/>
    <s v="https://www.properati.com.pe/detalle/14032-32-d823-cfb2289def34-6e71b2e0-9ba2-120d"/>
  </r>
  <r>
    <s v="Apartamento en alquiler en Cercado"/>
    <s v="Cercado"/>
    <x v="1"/>
    <s v="Arequipa"/>
    <x v="1"/>
    <n v="3100"/>
    <n v="155"/>
    <x v="1"/>
    <n v="4"/>
    <x v="1"/>
    <s v="No"/>
    <n v="151"/>
    <x v="1"/>
    <s v="Caro"/>
    <s v="Precio Estadar"/>
    <s v="Apartamento"/>
    <s v="Alquiler"/>
    <d v="2023-09-19T00:00:00"/>
    <x v="1"/>
    <s v="https://www.properati.com.pe/detalle/14032-32-7f7c-b5e0b5e8c66c-846e2c62-9f6e-341f"/>
  </r>
  <r>
    <s v="Apartamento en alquiler en Ur. San Luis"/>
    <s v="Ur. San Luis"/>
    <x v="2"/>
    <s v="Lima"/>
    <x v="0"/>
    <n v="2664"/>
    <n v="266.40000000000003"/>
    <x v="0"/>
    <n v="2"/>
    <x v="0"/>
    <s v="No"/>
    <n v="66"/>
    <x v="2"/>
    <s v="Caro"/>
    <s v="Precio Estadar"/>
    <s v="Apartamento"/>
    <s v="Alquiler"/>
    <d v="2023-07-23T00:00:00"/>
    <x v="2"/>
    <s v="https://www.properati.com.pe/detalle/14032-32-d929-423094f1e665-e35d2a8d-ba23-4949"/>
  </r>
  <r>
    <s v="Apartamento en alquiler en Ur. Risso"/>
    <s v="Ur. Risso"/>
    <x v="3"/>
    <s v="Lima"/>
    <x v="0"/>
    <n v="2600"/>
    <n v="260"/>
    <x v="2"/>
    <n v="2"/>
    <x v="0"/>
    <s v="No"/>
    <n v="60"/>
    <x v="2"/>
    <s v="Caro"/>
    <s v="Precio Estadar"/>
    <s v="Apartamento"/>
    <s v="Alquiler"/>
    <d v="2024-12-25T00:00:00"/>
    <x v="3"/>
    <s v="https://www.properati.com.pe/detalle/14032-32-18f5-9866cb5c4148-4615cdf5-9a34-4656"/>
  </r>
  <r>
    <s v="Apartamento en alquiler en Ur. Chacarilla Del Estanque"/>
    <s v="Ur. Chacarilla Del Estanque"/>
    <x v="4"/>
    <s v="Lima"/>
    <x v="0"/>
    <n v="2300"/>
    <n v="230"/>
    <x v="0"/>
    <n v="2"/>
    <x v="1"/>
    <s v="No"/>
    <n v="50"/>
    <x v="3"/>
    <s v="Economico"/>
    <s v="Precio Estadar"/>
    <s v="Apartamento"/>
    <s v="Alquiler"/>
    <d v="2024-07-12T00:00:00"/>
    <x v="4"/>
    <s v="https://www.properati.com.pe/detalle/14032-32-d0c8-57679cfca873-81eb0680-a810-120d"/>
  </r>
  <r>
    <s v="Casa en alquiler en Chorrillos"/>
    <s v="Chorrillos"/>
    <x v="5"/>
    <s v="Lima"/>
    <x v="0"/>
    <n v="8510"/>
    <n v="851"/>
    <x v="3"/>
    <n v="3"/>
    <x v="0"/>
    <s v="Sí"/>
    <n v="194"/>
    <x v="4"/>
    <s v="Caro"/>
    <s v="Precio Estadar"/>
    <s v="Casa"/>
    <s v="Alquiler"/>
    <d v="2023-11-14T00:00:00"/>
    <x v="5"/>
    <s v="https://www.properati.com.pe/detalle/14032-32-98ae-591ec1d4ea75-d376fe09-8de7-489c"/>
  </r>
  <r>
    <s v="Apartamento en alquiler en Ba. S/N"/>
    <s v="Ba. S/N"/>
    <x v="6"/>
    <s v="Lima"/>
    <x v="0"/>
    <n v="4440"/>
    <n v="444"/>
    <x v="2"/>
    <n v="2"/>
    <x v="1"/>
    <s v="No"/>
    <n v="134"/>
    <x v="5"/>
    <s v="Caro"/>
    <s v="Precio Estadar"/>
    <s v="Apartamento"/>
    <s v="Alquiler"/>
    <d v="2024-05-19T00:00:00"/>
    <x v="3"/>
    <s v="https://www.properati.com.pe/detalle/14032-32-e243-fa558c79236d-1d09f077-a2ae-49d1"/>
  </r>
  <r>
    <s v="Apartamento en alquiler en Ur. Balta"/>
    <s v="Ur. Balta"/>
    <x v="0"/>
    <s v="Lima"/>
    <x v="0"/>
    <n v="5365"/>
    <n v="536.5"/>
    <x v="4"/>
    <n v="2"/>
    <x v="0"/>
    <s v="Sí"/>
    <n v="185"/>
    <x v="5"/>
    <s v="Caro"/>
    <s v="Precio Estadar"/>
    <s v="Apartamento"/>
    <s v="Alquiler"/>
    <d v="2024-12-06T00:00:00"/>
    <x v="6"/>
    <s v="https://www.properati.com.pe/detalle/14032-32-395e-7fe825129747-57da5cd2-9bd3-4737"/>
  </r>
  <r>
    <s v="Apartamento en alquiler en Ur. Santa Rosa"/>
    <s v="Ur. Santa Rosa"/>
    <x v="7"/>
    <s v="Lima"/>
    <x v="0"/>
    <n v="3000"/>
    <n v="300"/>
    <x v="1"/>
    <n v="3"/>
    <x v="1"/>
    <s v="No"/>
    <n v="70"/>
    <x v="3"/>
    <s v="Caro"/>
    <s v="Precio Estadar"/>
    <s v="Apartamento"/>
    <s v="Alquiler"/>
    <d v="2023-07-20T00:00:00"/>
    <x v="3"/>
    <s v="https://www.properati.com.pe/detalle/14032-32-354b-6d5017ed3a54-800f052b-bfd2-4e1d"/>
  </r>
  <r>
    <s v="Apartamento en alquiler en Surquillo"/>
    <s v="Surquillo"/>
    <x v="5"/>
    <s v="Lima"/>
    <x v="0"/>
    <n v="2600"/>
    <n v="260"/>
    <x v="0"/>
    <n v="2"/>
    <x v="0"/>
    <s v="Sí"/>
    <n v="70"/>
    <x v="3"/>
    <s v="Caro"/>
    <s v="Precio Estadar"/>
    <s v="Apartamento"/>
    <s v="Alquiler"/>
    <d v="2024-02-25T00:00:00"/>
    <x v="7"/>
    <s v="https://www.properati.com.pe/detalle/14032-32-bfb2-578e8a9e4d4b-a7c96ee0-b74f-120d"/>
  </r>
  <r>
    <s v="Apartamento en alquiler en Ur. La Campiña"/>
    <s v="Ur. La Campiña"/>
    <x v="8"/>
    <s v="Lima"/>
    <x v="0"/>
    <n v="1600"/>
    <n v="160"/>
    <x v="1"/>
    <n v="2"/>
    <x v="1"/>
    <s v="Sí"/>
    <n v="76"/>
    <x v="6"/>
    <s v="Economico"/>
    <s v="Precio Estadar"/>
    <s v="Apartamento"/>
    <s v="Alquiler"/>
    <d v="2023-09-16T00:00:00"/>
    <x v="8"/>
    <s v="https://www.properati.com.pe/detalle/14032-32-de19-59e83e2b10db-bceeb890-a46f-120d"/>
  </r>
  <r>
    <s v="Apartamento en alquiler en Hu. Cercado DeMiraflores"/>
    <s v="Hu. Cercado DeMiraflores"/>
    <x v="0"/>
    <s v="Lima"/>
    <x v="0"/>
    <n v="2600"/>
    <n v="260"/>
    <x v="0"/>
    <n v="2"/>
    <x v="0"/>
    <s v="No"/>
    <n v="59"/>
    <x v="6"/>
    <s v="Caro"/>
    <s v="Precio Estadar"/>
    <s v="Apartamento"/>
    <s v="Alquiler"/>
    <d v="2024-09-23T00:00:00"/>
    <x v="9"/>
    <s v="https://www.properati.com.pe/detalle/14032-32-b131-dcf648d5175e-8a70a8d9-ad23-443a"/>
  </r>
  <r>
    <s v="Apartamento en alquiler en Sd. Aeropuerto De Collique"/>
    <s v="Sd. Aeropuerto De Collique"/>
    <x v="9"/>
    <s v="Lima"/>
    <x v="0"/>
    <n v="1100"/>
    <n v="110"/>
    <x v="1"/>
    <n v="2"/>
    <x v="0"/>
    <s v="Sí"/>
    <n v="75"/>
    <x v="6"/>
    <s v="Economico"/>
    <s v="Precio Estadar"/>
    <s v="Apartamento"/>
    <s v="Alquiler"/>
    <d v="2023-04-22T00:00:00"/>
    <x v="10"/>
    <s v="https://www.properati.com.pe/detalle/14032-32-5d53-f4ee2212b4a9-253d030d-b7e7-42cb"/>
  </r>
  <r>
    <s v="Apartamento en alquiler en Ur. Santa Beatriz"/>
    <s v="Ur. Santa Beatriz"/>
    <x v="5"/>
    <s v="Lima"/>
    <x v="0"/>
    <n v="2405"/>
    <n v="240.5"/>
    <x v="0"/>
    <n v="2"/>
    <x v="0"/>
    <s v="No"/>
    <n v="67"/>
    <x v="6"/>
    <s v="Economico"/>
    <s v="Precio Estadar"/>
    <s v="Apartamento"/>
    <s v="Alquiler"/>
    <d v="2023-02-27T00:00:00"/>
    <x v="11"/>
    <s v="https://www.properati.com.pe/detalle/14032-32-49a0-30bd2c863788-b3875756-a152-4c8d"/>
  </r>
  <r>
    <s v="Apartamento en alquiler en Ur. Jorge Chavez"/>
    <s v="Ur. Jorge Chavez"/>
    <x v="10"/>
    <s v="Lima"/>
    <x v="0"/>
    <n v="2300"/>
    <n v="230"/>
    <x v="1"/>
    <n v="2"/>
    <x v="1"/>
    <s v="Sí"/>
    <n v="81"/>
    <x v="7"/>
    <s v="Economico"/>
    <s v="Precio Estadar"/>
    <s v="Apartamento"/>
    <s v="Alquiler"/>
    <d v="2024-07-28T00:00:00"/>
    <x v="5"/>
    <s v="https://www.properati.com.pe/detalle/14032-32-a193-d0793ffe4a08-361818ac-b031-4ab9"/>
  </r>
  <r>
    <s v="Apartamento en alquiler enMiraflores"/>
    <s v="Miraflores"/>
    <x v="5"/>
    <s v="Lima"/>
    <x v="0"/>
    <n v="2600"/>
    <n v="260"/>
    <x v="0"/>
    <n v="2"/>
    <x v="1"/>
    <s v="No"/>
    <n v="100"/>
    <x v="8"/>
    <s v="Caro"/>
    <s v="Precio Estadar"/>
    <s v="Apartamento"/>
    <s v="Alquiler"/>
    <d v="2024-04-15T00:00:00"/>
    <x v="12"/>
    <s v="https://www.properati.com.pe/detalle/14032-32-4f01-631d281a2f33-b0955520-8b2d-4540"/>
  </r>
  <r>
    <s v="Apartamento en alquiler en Ur. Aurora"/>
    <s v="Ur. Aurora"/>
    <x v="0"/>
    <s v="Lima"/>
    <x v="0"/>
    <n v="1800"/>
    <n v="180"/>
    <x v="0"/>
    <n v="1"/>
    <x v="1"/>
    <s v="Sí"/>
    <n v="80"/>
    <x v="9"/>
    <s v="Economico"/>
    <s v="Precio Estadar"/>
    <s v="Apartamento"/>
    <s v="Alquiler"/>
    <d v="2023-05-08T00:00:00"/>
    <x v="13"/>
    <s v="https://www.properati.com.pe/detalle/14032-32-c073-1d4275824b2e-f1992ee0-83dc-120d"/>
  </r>
  <r>
    <s v="Apartamento en alquiler en Ur. Orrantia Del Mar"/>
    <s v="Ur. Orrantia Del Mar"/>
    <x v="7"/>
    <s v="Lima"/>
    <x v="0"/>
    <n v="2294"/>
    <n v="229.4"/>
    <x v="2"/>
    <n v="2"/>
    <x v="1"/>
    <s v="No"/>
    <n v="90"/>
    <x v="8"/>
    <s v="Economico"/>
    <s v="Precio Estadar"/>
    <s v="Apartamento"/>
    <s v="Alquiler"/>
    <d v="2024-12-15T00:00:00"/>
    <x v="14"/>
    <s v="https://www.properati.com.pe/detalle/14032-32-b78b-3f221c6da128-d1c75a60-b00f-120d"/>
  </r>
  <r>
    <s v="Casa en alquiler en Chorrillos"/>
    <s v="Chorrillos"/>
    <x v="5"/>
    <s v="Lima"/>
    <x v="0"/>
    <n v="6660"/>
    <n v="666"/>
    <x v="4"/>
    <n v="3"/>
    <x v="1"/>
    <s v="No"/>
    <n v="288"/>
    <x v="10"/>
    <s v="Caro"/>
    <s v="Precio Estadar"/>
    <s v="Casa"/>
    <s v="Alquiler"/>
    <d v="2023-02-28T00:00:00"/>
    <x v="15"/>
    <s v="https://www.properati.com.pe/detalle/14032-32-19fd-d2114f867c49-9bf1a34c-8c32-4ee8"/>
  </r>
  <r>
    <s v="Apartamento en alquiler en Jesus María"/>
    <s v="Jesus María"/>
    <x v="5"/>
    <s v="Lima"/>
    <x v="0"/>
    <n v="2500"/>
    <n v="250"/>
    <x v="1"/>
    <n v="2"/>
    <x v="0"/>
    <s v="No"/>
    <n v="75"/>
    <x v="1"/>
    <s v="Economico"/>
    <s v="Precio Estadar"/>
    <s v="Apartamento"/>
    <s v="Alquiler"/>
    <d v="2024-06-15T00:00:00"/>
    <x v="10"/>
    <s v="https://www.properati.com.pe/detalle/14032-32-1a6c-43ab4139a731-5d99686-86d8-49e4"/>
  </r>
  <r>
    <s v="Apartamento en alquiler en Re. San Felipe"/>
    <s v="Re. San Felipe"/>
    <x v="7"/>
    <s v="Lima"/>
    <x v="0"/>
    <n v="2516"/>
    <n v="251.60000000000002"/>
    <x v="2"/>
    <n v="2"/>
    <x v="0"/>
    <s v="No"/>
    <n v="47"/>
    <x v="11"/>
    <s v="Caro"/>
    <s v="Precio Estadar"/>
    <s v="Apartamento"/>
    <s v="Alquiler"/>
    <d v="2024-10-21T00:00:00"/>
    <x v="16"/>
    <s v="https://www.properati.com.pe/detalle/14032-32-45b8-b39d12e83d8-ff065b3f-8703-4114"/>
  </r>
  <r>
    <s v="Apartamento en alquiler en Ur. Ampliacion San Isidro"/>
    <s v="Ur. Ampliacion San Isidro"/>
    <x v="7"/>
    <s v="Lima"/>
    <x v="0"/>
    <n v="4995"/>
    <n v="499.5"/>
    <x v="0"/>
    <n v="3"/>
    <x v="1"/>
    <s v="Sí"/>
    <n v="118"/>
    <x v="12"/>
    <s v="Caro"/>
    <s v="Precio Estadar"/>
    <s v="Apartamento"/>
    <s v="Alquiler"/>
    <d v="2023-07-11T00:00:00"/>
    <x v="17"/>
    <s v="https://www.properati.com.pe/detalle/14032-32-6890-f865769e59e5-33a70a7-b900-4596"/>
  </r>
  <r>
    <s v="Apartamento en alquiler en Ur. Orrantia"/>
    <s v="Ur. Orrantia"/>
    <x v="7"/>
    <s v="Lima"/>
    <x v="0"/>
    <n v="4255"/>
    <n v="425.5"/>
    <x v="1"/>
    <n v="3"/>
    <x v="0"/>
    <s v="Sí"/>
    <n v="150"/>
    <x v="13"/>
    <s v="Caro"/>
    <s v="Precio Estadar"/>
    <s v="Apartamento"/>
    <s v="Alquiler"/>
    <d v="2023-09-06T00:00:00"/>
    <x v="16"/>
    <s v="https://www.properati.com.pe/detalle/14032-32-461c-73902c68c930-8798efc6-a195-4eba"/>
  </r>
  <r>
    <s v="Apartamento en alquiler en Ur. Valle Hermoso Este"/>
    <s v="Ur. Valle Hermoso Este"/>
    <x v="4"/>
    <s v="Lima"/>
    <x v="0"/>
    <n v="2700"/>
    <n v="270"/>
    <x v="1"/>
    <n v="3"/>
    <x v="0"/>
    <s v="No"/>
    <n v="90"/>
    <x v="14"/>
    <s v="Caro"/>
    <s v="Precio Estadar"/>
    <s v="Apartamento"/>
    <s v="Alquiler"/>
    <d v="2023-08-13T00:00:00"/>
    <x v="18"/>
    <s v="https://www.properati.com.pe/detalle/14032-32-3c93-c38c986cab18-224bf99-b7d7-4b26"/>
  </r>
  <r>
    <s v="Apartamento en alquiler en Ur. Aurora"/>
    <s v="Ur. Aurora"/>
    <x v="0"/>
    <s v="Lima"/>
    <x v="0"/>
    <n v="3515"/>
    <n v="351.5"/>
    <x v="1"/>
    <n v="3"/>
    <x v="1"/>
    <s v="No"/>
    <n v="137"/>
    <x v="13"/>
    <s v="Caro"/>
    <s v="Precio Estadar"/>
    <s v="Apartamento"/>
    <s v="Alquiler"/>
    <d v="2024-10-06T00:00:00"/>
    <x v="17"/>
    <s v="https://www.properati.com.pe/detalle/14032-32-f0b5-21943876338e-91bdb965-a2b7-4933"/>
  </r>
  <r>
    <s v="Apartamento en alquiler en Ur. Las Begonias"/>
    <s v="Ur. Las Begonias"/>
    <x v="11"/>
    <s v="Lima"/>
    <x v="0"/>
    <n v="2800"/>
    <n v="280"/>
    <x v="0"/>
    <n v="2"/>
    <x v="0"/>
    <s v="No"/>
    <n v="130"/>
    <x v="5"/>
    <s v="Caro"/>
    <s v="Precio Estadar"/>
    <s v="Apartamento"/>
    <s v="Alquiler"/>
    <d v="2023-08-23T00:00:00"/>
    <x v="6"/>
    <s v="https://www.properati.com.pe/detalle/14032-32-b58-bd0c2e7f329e-6be1ebf1-b59f-4ab3"/>
  </r>
  <r>
    <s v="Apartamento en alquiler en Ur. San Antonio"/>
    <s v="Ur. San Antonio"/>
    <x v="0"/>
    <s v="Lima"/>
    <x v="0"/>
    <n v="4995"/>
    <n v="499.5"/>
    <x v="1"/>
    <n v="3"/>
    <x v="1"/>
    <s v="Sí"/>
    <n v="202"/>
    <x v="15"/>
    <s v="Caro"/>
    <s v="Precio Estadar"/>
    <s v="Apartamento"/>
    <s v="Alquiler"/>
    <d v="2024-07-02T00:00:00"/>
    <x v="19"/>
    <s v="https://www.properati.com.pe/detalle/14032-32-9ff3-ce5e76c79581-1ee20465-af64-48cc"/>
  </r>
  <r>
    <s v="Apartamento en alquiler en Sector 3"/>
    <s v="Sector 3"/>
    <x v="12"/>
    <s v="Lima"/>
    <x v="0"/>
    <n v="5180"/>
    <n v="518"/>
    <x v="1"/>
    <n v="2"/>
    <x v="0"/>
    <s v="Sí"/>
    <n v="120"/>
    <x v="15"/>
    <s v="Caro"/>
    <s v="Precio Estadar"/>
    <s v="Apartamento"/>
    <s v="Alquiler"/>
    <d v="2023-04-10T00:00:00"/>
    <x v="17"/>
    <s v="https://www.properati.com.pe/detalle/14032-32-f8ce-92dc956c6c7f-998fb3c8-849a-429b"/>
  </r>
  <r>
    <s v="Apartamento en alquiler en Ur. La Encantada"/>
    <s v="Ur. La Encantada"/>
    <x v="8"/>
    <s v="Lima"/>
    <x v="0"/>
    <n v="2590"/>
    <n v="259"/>
    <x v="0"/>
    <n v="2"/>
    <x v="1"/>
    <s v="No"/>
    <n v="70"/>
    <x v="16"/>
    <s v="Caro"/>
    <s v="Precio Estadar"/>
    <s v="Apartamento"/>
    <s v="Alquiler"/>
    <d v="2024-03-01T00:00:00"/>
    <x v="19"/>
    <s v="https://www.properati.com.pe/detalle/14032-32-c124-219a0c9f65f9-65612a70-80f5-120d"/>
  </r>
  <r>
    <s v="Casa en alquiler en Chorrillos"/>
    <s v="Chorrillos"/>
    <x v="5"/>
    <s v="Lima"/>
    <x v="0"/>
    <n v="5550"/>
    <n v="555"/>
    <x v="4"/>
    <n v="3"/>
    <x v="1"/>
    <s v="Sí"/>
    <n v="300"/>
    <x v="17"/>
    <s v="Caro"/>
    <s v="Precio Estadar"/>
    <s v="Casa"/>
    <s v="Alquiler"/>
    <d v="2023-06-29T00:00:00"/>
    <x v="19"/>
    <s v="https://www.properati.com.pe/detalle/14032-32-2701-8bf41ef7ca67-31b6f77e-a5e5-4b75"/>
  </r>
  <r>
    <s v="Apartamento en alquiler enMiraflores"/>
    <s v="Miraflores"/>
    <x v="5"/>
    <s v="Lima"/>
    <x v="0"/>
    <n v="4440"/>
    <n v="444"/>
    <x v="1"/>
    <n v="2"/>
    <x v="1"/>
    <s v="Sí"/>
    <n v="160"/>
    <x v="18"/>
    <s v="Caro"/>
    <s v="Precio Estadar"/>
    <s v="Apartamento"/>
    <s v="Alquiler"/>
    <d v="2023-11-14T00:00:00"/>
    <x v="10"/>
    <s v="https://www.properati.com.pe/detalle/14032-32-c786-71a3c2c8981d-78ecb3d-9017-4e0f"/>
  </r>
  <r>
    <s v="Apartamento en alquiler en Urb los Patricios"/>
    <s v="Urb los Patricios"/>
    <x v="5"/>
    <s v="Lima"/>
    <x v="0"/>
    <n v="2775"/>
    <n v="277.5"/>
    <x v="1"/>
    <n v="2"/>
    <x v="1"/>
    <s v="No"/>
    <n v="110"/>
    <x v="18"/>
    <s v="Caro"/>
    <s v="Precio Estadar"/>
    <s v="Apartamento"/>
    <s v="Alquiler"/>
    <d v="2023-07-15T00:00:00"/>
    <x v="20"/>
    <s v="https://www.properati.com.pe/detalle/14032-32-e8f2-98b3113213ea-e23f945f-8ef1-4653"/>
  </r>
  <r>
    <s v="Apartamento en alquiler en Ur. Udima"/>
    <s v="Ur. Udima"/>
    <x v="13"/>
    <s v="Lima"/>
    <x v="0"/>
    <n v="1600"/>
    <n v="160"/>
    <x v="2"/>
    <n v="1"/>
    <x v="1"/>
    <s v="Sí"/>
    <n v="42"/>
    <x v="18"/>
    <s v="Economico"/>
    <s v="Precio Estadar"/>
    <s v="Apartamento"/>
    <s v="Alquiler"/>
    <d v="2023-07-10T00:00:00"/>
    <x v="21"/>
    <s v="https://www.properati.com.pe/detalle/14032-32-987-ee9d97c9b305-5f3d171b-9bd6-4c89"/>
  </r>
  <r>
    <s v="Apartamento en alquiler enMiraflores"/>
    <s v="Miraflores"/>
    <x v="5"/>
    <s v="Lima"/>
    <x v="0"/>
    <n v="4440"/>
    <n v="444"/>
    <x v="1"/>
    <n v="2"/>
    <x v="0"/>
    <s v="No"/>
    <n v="140"/>
    <x v="18"/>
    <s v="Caro"/>
    <s v="Precio Estadar"/>
    <s v="Apartamento"/>
    <s v="Alquiler"/>
    <d v="2024-05-29T00:00:00"/>
    <x v="10"/>
    <s v="https://www.properati.com.pe/detalle/14032-32-738-76e177df3cdd-bcc72e08-9b9e-4210"/>
  </r>
  <r>
    <s v="Apartamento en alquiler en Ur. Risso"/>
    <s v="Ur. Risso"/>
    <x v="7"/>
    <s v="Lima"/>
    <x v="0"/>
    <n v="2590"/>
    <n v="259"/>
    <x v="2"/>
    <n v="1"/>
    <x v="0"/>
    <s v="No"/>
    <n v="53"/>
    <x v="6"/>
    <s v="Caro"/>
    <s v="Precio Estadar"/>
    <s v="Apartamento"/>
    <s v="Alquiler"/>
    <d v="2024-12-28T00:00:00"/>
    <x v="15"/>
    <s v="https://www.properati.com.pe/detalle/14032-32-ff26-f74353bf1430-96944880-9d1e-42cd"/>
  </r>
  <r>
    <s v="Apartamento en alquiler en Ur. La ViÃ±ita"/>
    <s v="Ur. La ViÃ±ita"/>
    <x v="2"/>
    <s v="Lima"/>
    <x v="0"/>
    <n v="2035"/>
    <n v="203.5"/>
    <x v="0"/>
    <n v="1"/>
    <x v="1"/>
    <s v="Sí"/>
    <n v="67"/>
    <x v="6"/>
    <s v="Economico"/>
    <s v="Precio Estadar"/>
    <s v="Apartamento"/>
    <s v="Alquiler"/>
    <d v="2023-08-08T00:00:00"/>
    <x v="15"/>
    <s v="https://www.properati.com.pe/detalle/14032-32-c5a2-ded6f74dff7-1ad4ac11-a46b-4a80"/>
  </r>
  <r>
    <s v="Apartamento en alquiler en Ur. Leuro"/>
    <s v="Ur. Leuro"/>
    <x v="0"/>
    <s v="Lima"/>
    <x v="0"/>
    <n v="5365"/>
    <n v="536.5"/>
    <x v="1"/>
    <n v="2"/>
    <x v="1"/>
    <s v="Sí"/>
    <n v="175"/>
    <x v="13"/>
    <s v="Caro"/>
    <s v="Precio Estadar"/>
    <s v="Apartamento"/>
    <s v="Alquiler"/>
    <d v="2024-08-29T00:00:00"/>
    <x v="15"/>
    <s v="https://www.properati.com.pe/detalle/14032-32-213d-44b81e94700a-c8470f57-a4af-42e5"/>
  </r>
  <r>
    <s v="Apartamento en alquiler en Hu. Cercado DeMiraflores"/>
    <s v="Hu. Cercado DeMiraflores"/>
    <x v="0"/>
    <s v="Lima"/>
    <x v="0"/>
    <n v="4810"/>
    <n v="481"/>
    <x v="1"/>
    <n v="3"/>
    <x v="1"/>
    <s v="Sí"/>
    <n v="107"/>
    <x v="0"/>
    <s v="Caro"/>
    <s v="Precio Estadar"/>
    <s v="Apartamento"/>
    <s v="Alquiler"/>
    <d v="2023-01-16T00:00:00"/>
    <x v="22"/>
    <s v="https://www.properati.com.pe/detalle/14032-32-45eb-df600df2dd08-b438f19f-8b1c-4f9a"/>
  </r>
  <r>
    <s v="Apartamento en alquiler en Ur. Leuro"/>
    <s v="Ur. Leuro"/>
    <x v="0"/>
    <s v="Lima"/>
    <x v="0"/>
    <n v="3145"/>
    <n v="314.5"/>
    <x v="1"/>
    <n v="2"/>
    <x v="1"/>
    <s v="Sí"/>
    <n v="125"/>
    <x v="0"/>
    <s v="Caro"/>
    <s v="Precio Estadar"/>
    <s v="Apartamento"/>
    <s v="Alquiler"/>
    <d v="2024-08-19T00:00:00"/>
    <x v="23"/>
    <s v="https://www.properati.com.pe/detalle/14032-32-31e5-f56cb44a69f3-1354c567-8e16-4287"/>
  </r>
  <r>
    <s v="Apartamento en alquiler en Ur. La ViÃ±ita"/>
    <s v="Ur. La ViÃ±ita"/>
    <x v="2"/>
    <s v="Lima"/>
    <x v="0"/>
    <n v="2220"/>
    <n v="222"/>
    <x v="0"/>
    <n v="1"/>
    <x v="0"/>
    <s v="No"/>
    <n v="62"/>
    <x v="17"/>
    <s v="Economico"/>
    <s v="Precio Estadar"/>
    <s v="Apartamento"/>
    <s v="Alquiler"/>
    <d v="2024-06-04T00:00:00"/>
    <x v="15"/>
    <s v="https://www.properati.com.pe/detalle/14032-32-3f3d-f2bebcd48f92-c0a2bb8-9d92-4487"/>
  </r>
  <r>
    <s v="Apartamento en alquiler en Surco"/>
    <s v="Surco"/>
    <x v="4"/>
    <s v="Lima"/>
    <x v="0"/>
    <n v="5550"/>
    <n v="555"/>
    <x v="4"/>
    <n v="4"/>
    <x v="0"/>
    <s v="No"/>
    <n v="220"/>
    <x v="19"/>
    <s v="Caro"/>
    <s v="Precio Estadar"/>
    <s v="Apartamento"/>
    <s v="Alquiler"/>
    <d v="2023-12-27T00:00:00"/>
    <x v="15"/>
    <s v="https://www.properati.com.pe/detalle/14032-32-a6d5-20c6b8a2ce1e-f66195c6-9159-4417"/>
  </r>
  <r>
    <s v="Apartamento en alquiler en Ur. San Juan Sector D"/>
    <s v="Ur. San Juan Sector D"/>
    <x v="14"/>
    <s v="Lima"/>
    <x v="0"/>
    <n v="1500"/>
    <n v="150"/>
    <x v="1"/>
    <n v="2"/>
    <x v="1"/>
    <s v="Sí"/>
    <n v="135"/>
    <x v="20"/>
    <s v="Economico"/>
    <s v="Precio Estadar"/>
    <s v="Apartamento"/>
    <s v="Alquiler"/>
    <d v="2024-11-04T00:00:00"/>
    <x v="24"/>
    <s v="https://www.properati.com.pe/detalle/14032-32-a476-79b47ed1304e-c52f3e0c-83b0-4973"/>
  </r>
  <r>
    <s v="Apartamento en alquiler en Ah. Moron"/>
    <s v="Ah. Moron"/>
    <x v="15"/>
    <s v="Lima"/>
    <x v="0"/>
    <n v="1369"/>
    <n v="136.9"/>
    <x v="1"/>
    <n v="2"/>
    <x v="1"/>
    <s v="No"/>
    <n v="85"/>
    <x v="7"/>
    <s v="Economico"/>
    <s v="Precio Estadar"/>
    <s v="Apartamento"/>
    <s v="Alquiler"/>
    <d v="2024-10-11T00:00:00"/>
    <x v="25"/>
    <s v="https://www.properati.com.pe/detalle/14032-32-bf6-4f67af066e6e-38077caa-bf4e-4ed5"/>
  </r>
  <r>
    <s v="Casa en alquiler en Cieneguilla"/>
    <s v="Cieneguilla"/>
    <x v="5"/>
    <s v="Lima"/>
    <x v="0"/>
    <n v="5550"/>
    <n v="555"/>
    <x v="1"/>
    <n v="3"/>
    <x v="1"/>
    <s v="No"/>
    <n v="500"/>
    <x v="2"/>
    <s v="Caro"/>
    <s v="Precio Estadar"/>
    <s v="Casa"/>
    <s v="Alquiler"/>
    <d v="2023-04-28T00:00:00"/>
    <x v="10"/>
    <s v="https://www.properati.com.pe/detalle/14032-32-b1d1-78ea9176119c-6f6e8d5e-a803-4590"/>
  </r>
  <r>
    <s v="Apartamento en alquiler en Urb Cercado deMiraflores"/>
    <s v="Urb Cercado deMiraflores"/>
    <x v="5"/>
    <s v="Lima"/>
    <x v="0"/>
    <n v="5180"/>
    <n v="518"/>
    <x v="0"/>
    <n v="2"/>
    <x v="0"/>
    <s v="Sí"/>
    <n v="111"/>
    <x v="18"/>
    <s v="Caro"/>
    <s v="Precio Estadar"/>
    <s v="Apartamento"/>
    <s v="Alquiler"/>
    <d v="2024-05-25T00:00:00"/>
    <x v="15"/>
    <s v="https://www.properati.com.pe/detalle/14032-32-2533-df88700c81f6-b4d70ba3-ba7a-40c7"/>
  </r>
  <r>
    <s v="Apartamento en alquiler en Ur. Santa Cruz"/>
    <s v="Ur. Santa Cruz"/>
    <x v="0"/>
    <s v="Lima"/>
    <x v="0"/>
    <n v="3885"/>
    <n v="388.5"/>
    <x v="2"/>
    <n v="3"/>
    <x v="1"/>
    <s v="Sí"/>
    <n v="125"/>
    <x v="6"/>
    <s v="Caro"/>
    <s v="Precio Estadar"/>
    <s v="Apartamento"/>
    <s v="Alquiler"/>
    <d v="2024-11-04T00:00:00"/>
    <x v="6"/>
    <s v="https://www.properati.com.pe/detalle/14032-32-3972-d3764fd50aef-18593f76-9b9c-4b00"/>
  </r>
  <r>
    <s v="Apartamento en alquiler en Ur. Balta"/>
    <s v="Ur. Balta"/>
    <x v="0"/>
    <s v="Lima"/>
    <x v="0"/>
    <n v="3145"/>
    <n v="314.5"/>
    <x v="0"/>
    <n v="2"/>
    <x v="1"/>
    <s v="No"/>
    <n v="84"/>
    <x v="20"/>
    <s v="Caro"/>
    <s v="Precio Estadar"/>
    <s v="Apartamento"/>
    <s v="Alquiler"/>
    <d v="2023-06-12T00:00:00"/>
    <x v="26"/>
    <s v="https://www.properati.com.pe/detalle/14032-32-fb0c-a754f883812a-3094fa58-8746-4ecb"/>
  </r>
  <r>
    <s v="Casa en alquiler en Ur. San Miguel"/>
    <s v="Ur. San Miguel"/>
    <x v="16"/>
    <s v="Lima"/>
    <x v="0"/>
    <n v="2600"/>
    <n v="260"/>
    <x v="1"/>
    <n v="2"/>
    <x v="1"/>
    <s v="No"/>
    <n v="92"/>
    <x v="21"/>
    <s v="Caro"/>
    <s v="Precio Estadar"/>
    <s v="Casa"/>
    <s v="Alquiler"/>
    <d v="2024-07-03T00:00:00"/>
    <x v="27"/>
    <s v="https://www.properati.com.pe/detalle/14032-32-d843-5774a2f2c8a6-65852c0-88c0-120d"/>
  </r>
  <r>
    <s v="Apartamento en alquiler en Ur. Barboncito"/>
    <s v="Ur. Barboncito"/>
    <x v="0"/>
    <s v="Lima"/>
    <x v="0"/>
    <n v="3000"/>
    <n v="300"/>
    <x v="0"/>
    <n v="3"/>
    <x v="0"/>
    <s v="Sí"/>
    <n v="124"/>
    <x v="9"/>
    <s v="Caro"/>
    <s v="Precio Estadar"/>
    <s v="Apartamento"/>
    <s v="Alquiler"/>
    <d v="2024-11-12T00:00:00"/>
    <x v="28"/>
    <s v="https://www.properati.com.pe/detalle/14032-32-c45f-7b18758e5ce1-b24cba50-ba78-120d"/>
  </r>
  <r>
    <s v="Apartamento en alquiler en Ur. Confraternidad"/>
    <s v="Ur. Confraternidad"/>
    <x v="2"/>
    <s v="Lima"/>
    <x v="0"/>
    <n v="2300"/>
    <n v="230"/>
    <x v="2"/>
    <n v="1"/>
    <x v="1"/>
    <s v="Sí"/>
    <n v="43"/>
    <x v="19"/>
    <s v="Economico"/>
    <s v="Precio Estadar"/>
    <s v="Apartamento"/>
    <s v="Alquiler"/>
    <d v="2023-07-10T00:00:00"/>
    <x v="29"/>
    <s v="https://www.properati.com.pe/detalle/14032-32-2e3e-91e3606e26b0-7b204094-a499-4655"/>
  </r>
  <r>
    <s v="Apartamento en alquiler en Ur. America"/>
    <s v="Ur. America"/>
    <x v="0"/>
    <s v="Lima"/>
    <x v="0"/>
    <n v="2590"/>
    <n v="259"/>
    <x v="1"/>
    <n v="3"/>
    <x v="0"/>
    <s v="Sí"/>
    <n v="89"/>
    <x v="0"/>
    <s v="Caro"/>
    <s v="Precio Estadar"/>
    <s v="Apartamento"/>
    <s v="Alquiler"/>
    <d v="2023-04-13T00:00:00"/>
    <x v="6"/>
    <s v="https://www.properati.com.pe/detalle/14032-32-c688-a2c18253d867-ed0b3a68-81f6-4631"/>
  </r>
  <r>
    <s v="Casa en alquiler en Ur. Los Halcones"/>
    <s v="Ur. Los Halcones"/>
    <x v="15"/>
    <s v="Lima"/>
    <x v="0"/>
    <n v="6660"/>
    <n v="666"/>
    <x v="1"/>
    <n v="3"/>
    <x v="1"/>
    <s v="No"/>
    <n v="624"/>
    <x v="14"/>
    <s v="Caro"/>
    <s v="Precio Estadar"/>
    <s v="Casa"/>
    <s v="Alquiler"/>
    <d v="2024-06-01T00:00:00"/>
    <x v="30"/>
    <s v="https://www.properati.com.pe/detalle/14032-32-d3d9-cb66a168a494-76986cc-a2b3-40f9"/>
  </r>
  <r>
    <s v="Apartamento en alquiler en Ur. Chacarilla Santa Cruz"/>
    <s v="Ur. Chacarilla Santa Cruz"/>
    <x v="7"/>
    <s v="Lima"/>
    <x v="0"/>
    <n v="1887"/>
    <n v="188.70000000000002"/>
    <x v="2"/>
    <n v="1"/>
    <x v="0"/>
    <s v="Sí"/>
    <n v="55"/>
    <x v="3"/>
    <s v="Economico"/>
    <s v="Precio Estadar"/>
    <s v="Apartamento"/>
    <s v="Alquiler"/>
    <d v="2023-01-15T00:00:00"/>
    <x v="6"/>
    <s v="https://www.properati.com.pe/detalle/14032-32-3519-7da18e9db76c-950dc6a6-96bb-4320"/>
  </r>
  <r>
    <s v="Apartamento en alquiler en Ur. Libertad"/>
    <s v="Ur. Libertad"/>
    <x v="16"/>
    <s v="Lima"/>
    <x v="0"/>
    <n v="1800"/>
    <n v="180"/>
    <x v="1"/>
    <n v="2"/>
    <x v="0"/>
    <s v="Sí"/>
    <n v="82"/>
    <x v="13"/>
    <s v="Economico"/>
    <s v="Precio Estadar"/>
    <s v="Apartamento"/>
    <s v="Alquiler"/>
    <d v="2024-02-09T00:00:00"/>
    <x v="31"/>
    <s v="https://www.properati.com.pe/detalle/14032-32-e1dd-c79ca082f8be-4dbb2e9-a1b2-4f1f"/>
  </r>
  <r>
    <s v="Apartamento en alquiler en Ur. Libertad"/>
    <s v="Ur. Libertad"/>
    <x v="16"/>
    <s v="Lima"/>
    <x v="0"/>
    <n v="2800"/>
    <n v="280"/>
    <x v="0"/>
    <n v="2"/>
    <x v="1"/>
    <s v="Sí"/>
    <n v="60"/>
    <x v="11"/>
    <s v="Caro"/>
    <s v="Precio Estadar"/>
    <s v="Apartamento"/>
    <s v="Alquiler"/>
    <d v="2024-06-06T00:00:00"/>
    <x v="23"/>
    <s v="https://www.properati.com.pe/detalle/14032-32-a2df-45c2a4a73015-f66a53b3-8bdb-4551"/>
  </r>
  <r>
    <s v="Apartamento en alquiler en Lince"/>
    <s v="Lince"/>
    <x v="5"/>
    <s v="Lima"/>
    <x v="0"/>
    <n v="2590"/>
    <n v="259"/>
    <x v="2"/>
    <n v="1"/>
    <x v="1"/>
    <s v="Sí"/>
    <n v="50"/>
    <x v="19"/>
    <s v="Caro"/>
    <s v="Precio Estadar"/>
    <s v="Apartamento"/>
    <s v="Alquiler"/>
    <d v="2024-09-28T00:00:00"/>
    <x v="3"/>
    <s v="https://www.properati.com.pe/detalle/14032-32-f9a1-59304cbc4abd-2ea29ec4-ae54-4bf1"/>
  </r>
  <r>
    <s v="Oficina en alquiler en Ur. San Antonio"/>
    <s v="Ur. San Antonio"/>
    <x v="0"/>
    <s v="Lima"/>
    <x v="0"/>
    <n v="14800"/>
    <n v="1480"/>
    <x v="5"/>
    <n v="5"/>
    <x v="1"/>
    <s v="No"/>
    <m/>
    <x v="10"/>
    <s v="Caro"/>
    <s v="Precio Estadar"/>
    <s v="Oficina"/>
    <s v="Alquiler"/>
    <d v="2024-07-17T00:00:00"/>
    <x v="32"/>
    <s v="https://www.properati.com.pe/detalle/14032-32-b1f5-b591e09c80c1-b0cdbdb4-9434-3279"/>
  </r>
  <r>
    <s v="Apartamento en alquiler en Ur. Chiclin"/>
    <s v="Ur. Chiclin"/>
    <x v="17"/>
    <s v=" Callao"/>
    <x v="2"/>
    <n v="2500"/>
    <n v="125"/>
    <x v="2"/>
    <n v="1"/>
    <x v="0"/>
    <s v="Sí"/>
    <n v="41"/>
    <x v="12"/>
    <s v="Economico"/>
    <s v="Precio Estadar"/>
    <s v="Apartamento"/>
    <s v="Alquiler"/>
    <d v="2024-12-10T00:00:00"/>
    <x v="33"/>
    <s v="https://www.properati.com.pe/detalle/14032-32-ad1d-785898301fed-9ac796d5-971b-4ce2"/>
  </r>
  <r>
    <s v="Casa en alquiler en Chorrillos"/>
    <s v="Chorrillos"/>
    <x v="5"/>
    <s v="Lima"/>
    <x v="0"/>
    <n v="10360"/>
    <n v="1036"/>
    <x v="4"/>
    <n v="3"/>
    <x v="1"/>
    <s v="Sí"/>
    <n v="1021"/>
    <x v="8"/>
    <s v="Caro"/>
    <s v="Precio Estadar"/>
    <s v="Casa"/>
    <s v="Alquiler"/>
    <d v="2023-01-07T00:00:00"/>
    <x v="15"/>
    <s v="https://www.properati.com.pe/detalle/14032-32-1992-b9cf4f7511fa-5cf73bb8-a1f2-4f14"/>
  </r>
  <r>
    <s v="Apartamento en alquiler en Ur. Valle Hermoso Oeste"/>
    <s v="Ur. Valle Hermoso Oeste"/>
    <x v="4"/>
    <s v="Lima"/>
    <x v="0"/>
    <n v="15910"/>
    <n v="1591"/>
    <x v="3"/>
    <n v="5"/>
    <x v="1"/>
    <s v="Sí"/>
    <n v="470"/>
    <x v="13"/>
    <s v="Caro"/>
    <s v="Precio Estadar"/>
    <s v="Apartamento"/>
    <s v="Alquiler"/>
    <d v="2023-09-09T00:00:00"/>
    <x v="34"/>
    <s v="https://www.properati.com.pe/detalle/14032-32-fa13-113ebd37d42e-86027943-8493-461b"/>
  </r>
  <r>
    <s v="Apartamento en alquiler en Ur. Armendariz"/>
    <s v="Ur. Armendariz"/>
    <x v="0"/>
    <s v="Lima"/>
    <x v="0"/>
    <n v="3515"/>
    <n v="351.5"/>
    <x v="1"/>
    <n v="3"/>
    <x v="0"/>
    <s v="No"/>
    <n v="180"/>
    <x v="22"/>
    <s v="Caro"/>
    <s v="Precio Estadar"/>
    <s v="Apartamento"/>
    <s v="Alquiler"/>
    <d v="2024-04-29T00:00:00"/>
    <x v="3"/>
    <s v="https://www.properati.com.pe/detalle/14032-32-ae0a-93af099556a3-5340ad5b-b68c-4891"/>
  </r>
  <r>
    <s v="Apartamento en alquiler en Ur. Los Recaudadores"/>
    <s v="Ur. Los Recaudadores"/>
    <x v="18"/>
    <s v="Lima"/>
    <x v="0"/>
    <n v="1680"/>
    <n v="168"/>
    <x v="0"/>
    <n v="2"/>
    <x v="0"/>
    <s v="Sí"/>
    <n v="80"/>
    <x v="19"/>
    <s v="Economico"/>
    <s v="Precio Estadar"/>
    <s v="Apartamento"/>
    <s v="Alquiler"/>
    <d v="2024-07-22T00:00:00"/>
    <x v="35"/>
    <s v="https://www.properati.com.pe/detalle/14032-32-14f5-3be8dde1af74-4894436e-b031-46c2"/>
  </r>
  <r>
    <s v="Apartamento en alquiler en Surquillo"/>
    <s v="Surquillo"/>
    <x v="5"/>
    <s v="Lima"/>
    <x v="0"/>
    <n v="1295000"/>
    <n v="129500"/>
    <x v="0"/>
    <n v="2"/>
    <x v="0"/>
    <s v="No"/>
    <n v="127"/>
    <x v="2"/>
    <s v="Caro"/>
    <s v="Precio Estadar"/>
    <s v="Apartamento"/>
    <s v="Alquiler"/>
    <d v="2024-12-08T00:00:00"/>
    <x v="36"/>
    <s v="https://www.properati.com.pe/detalle/14032-32-9c51-923a5e9a2bb0-572d30e1-bb48-4b6d"/>
  </r>
  <r>
    <s v="Apartamento en alquiler en Sa Martínde Porres"/>
    <s v="Sa Martínde Porres"/>
    <x v="5"/>
    <s v="Lima"/>
    <x v="0"/>
    <n v="1100"/>
    <n v="110"/>
    <x v="1"/>
    <n v="2"/>
    <x v="1"/>
    <s v="Sí"/>
    <n v="140"/>
    <x v="5"/>
    <s v="Economico"/>
    <s v="Precio Estadar"/>
    <s v="Apartamento"/>
    <s v="Alquiler"/>
    <d v="2024-06-09T00:00:00"/>
    <x v="37"/>
    <s v="https://www.properati.com.pe/detalle/14032-32-814e-be153ea6d77d-8672b741-bb51-4706"/>
  </r>
  <r>
    <s v="Apartamento en alquiler en Ur. San Miguel"/>
    <s v="Ur. San Miguel"/>
    <x v="16"/>
    <s v="Lima"/>
    <x v="0"/>
    <n v="1100"/>
    <n v="110"/>
    <x v="0"/>
    <n v="1"/>
    <x v="1"/>
    <s v="No"/>
    <n v="45"/>
    <x v="9"/>
    <s v="Economico"/>
    <s v="Precio Estadar"/>
    <s v="Apartamento"/>
    <s v="Alquiler"/>
    <d v="2023-03-14T00:00:00"/>
    <x v="38"/>
    <s v="https://www.properati.com.pe/detalle/14032-32-d3a8-d15c0189ad19-51f02900-856d-120d"/>
  </r>
  <r>
    <s v="Apartamento en alquiler en Hu. Cercado DeMiraflores"/>
    <s v="Hu. Cercado DeMiraflores"/>
    <x v="0"/>
    <s v="Lima"/>
    <x v="0"/>
    <n v="5365"/>
    <n v="536.5"/>
    <x v="1"/>
    <n v="2"/>
    <x v="0"/>
    <s v="No"/>
    <n v="200"/>
    <x v="23"/>
    <s v="Caro"/>
    <s v="Precio Estadar"/>
    <s v="Apartamento"/>
    <s v="Alquiler"/>
    <d v="2024-06-06T00:00:00"/>
    <x v="17"/>
    <s v="https://www.properati.com.pe/detalle/14032-32-ba63-65b75289d07c-bef2657c-8d03-451e"/>
  </r>
  <r>
    <s v="Apartamento en alquiler en Ur. San Antonio"/>
    <s v="Ur. San Antonio"/>
    <x v="0"/>
    <s v="Lima"/>
    <x v="0"/>
    <n v="2923"/>
    <n v="292.3"/>
    <x v="1"/>
    <n v="2"/>
    <x v="1"/>
    <s v="No"/>
    <n v="116"/>
    <x v="11"/>
    <s v="Caro"/>
    <s v="Precio Estadar"/>
    <s v="Apartamento"/>
    <s v="Alquiler"/>
    <d v="2023-06-26T00:00:00"/>
    <x v="2"/>
    <s v="https://www.properati.com.pe/detalle/14032-32-7592-7fe74a33ee99-5efee4c3-8250-4710"/>
  </r>
  <r>
    <s v="Apartamento en alquiler en Sd. S/N"/>
    <s v="Sd. S/N"/>
    <x v="19"/>
    <s v="Lima"/>
    <x v="0"/>
    <n v="8"/>
    <n v="0.8"/>
    <x v="1"/>
    <n v="1"/>
    <x v="0"/>
    <s v="Sí"/>
    <n v="54"/>
    <x v="18"/>
    <s v="Economico"/>
    <s v="Precio Estadar"/>
    <s v="Apartamento"/>
    <s v="Alquiler"/>
    <d v="2024-11-27T00:00:00"/>
    <x v="37"/>
    <s v="https://www.properati.com.pe/detalle/14032-32-d784-16ff3d6e0202-f98c46d1-a952-470c"/>
  </r>
  <r>
    <s v="Apartamento en alquiler en Ur. La Capullana"/>
    <s v="Ur. La Capullana"/>
    <x v="4"/>
    <s v="Lima"/>
    <x v="0"/>
    <n v="2500"/>
    <n v="250"/>
    <x v="0"/>
    <n v="2"/>
    <x v="0"/>
    <s v="No"/>
    <n v="106"/>
    <x v="8"/>
    <s v="Economico"/>
    <s v="Precio Estadar"/>
    <s v="Apartamento"/>
    <s v="Alquiler"/>
    <d v="2023-02-22T00:00:00"/>
    <x v="21"/>
    <s v="https://www.properati.com.pe/detalle/14032-32-8226-3dcf54ae8f6d-2a12a6f1-9b74-4086"/>
  </r>
  <r>
    <s v="Apartamento en alquiler en Ur. Cabo Gc Juan Ingunza Valdivia (Vipol)"/>
    <s v="Ur. Cabo Gc Juan Ingunza Valdivia (Vipol)"/>
    <x v="20"/>
    <s v=" Callao"/>
    <x v="2"/>
    <n v="1200"/>
    <n v="60"/>
    <x v="0"/>
    <n v="1"/>
    <x v="1"/>
    <s v="No"/>
    <n v="73"/>
    <x v="8"/>
    <s v="Economico"/>
    <s v="Precio Estadar"/>
    <s v="Apartamento"/>
    <s v="Alquiler"/>
    <d v="2023-05-31T00:00:00"/>
    <x v="23"/>
    <s v="https://www.properati.com.pe/detalle/14032-32-8b13-c8d1568ed13a-b4743bea-9fd1-40bb"/>
  </r>
  <r>
    <s v="Casa en alquiler en Ur. Javier Prado (Cahuache)"/>
    <s v="Ur. Javier Prado (Cahuache)"/>
    <x v="11"/>
    <s v="Lima"/>
    <x v="0"/>
    <n v="7030"/>
    <n v="703"/>
    <x v="6"/>
    <n v="4"/>
    <x v="1"/>
    <s v="No"/>
    <n v="207"/>
    <x v="24"/>
    <s v="Caro"/>
    <s v="Precio Estadar"/>
    <s v="Casa"/>
    <s v="Alquiler"/>
    <d v="2023-09-08T00:00:00"/>
    <x v="39"/>
    <s v="https://www.properati.com.pe/detalle/14032-32-a911-bc122769111c-fae4a93-b6c7-435b"/>
  </r>
  <r>
    <s v="Apartamento en alquiler en Ur. San Felipe"/>
    <s v="Ur. San Felipe"/>
    <x v="3"/>
    <s v="Lima"/>
    <x v="0"/>
    <n v="2800"/>
    <n v="280"/>
    <x v="1"/>
    <n v="2"/>
    <x v="0"/>
    <s v="No"/>
    <n v="96"/>
    <x v="18"/>
    <s v="Caro"/>
    <s v="Precio Estadar"/>
    <s v="Apartamento"/>
    <s v="Alquiler"/>
    <d v="2024-02-27T00:00:00"/>
    <x v="40"/>
    <s v="https://www.properati.com.pe/detalle/14032-32-3c73-f9543b28a5e6-68c79545-8a3d-4af5"/>
  </r>
  <r>
    <s v="Apartamento en alquiler en Ur. Santa Raquel Sector B Zona Este"/>
    <s v="Ur. Santa Raquel Sector B Zona Este"/>
    <x v="21"/>
    <s v="Lima"/>
    <x v="0"/>
    <n v="1700"/>
    <n v="170"/>
    <x v="0"/>
    <n v="1"/>
    <x v="1"/>
    <s v="Sí"/>
    <n v="68"/>
    <x v="8"/>
    <s v="Economico"/>
    <s v="Precio Estadar"/>
    <s v="Apartamento"/>
    <s v="Alquiler"/>
    <d v="2023-09-21T00:00:00"/>
    <x v="41"/>
    <s v="https://www.properati.com.pe/detalle/14032-32-daa7-fdc83baf802a-4275bf41-979a-4c26"/>
  </r>
  <r>
    <s v="Apartamento en alquiler en Ur. Orbea"/>
    <s v="Ur. Orbea"/>
    <x v="13"/>
    <s v="Lima"/>
    <x v="0"/>
    <n v="24"/>
    <n v="2.4000000000000004"/>
    <x v="0"/>
    <n v="2"/>
    <x v="1"/>
    <s v="No"/>
    <n v="66"/>
    <x v="3"/>
    <s v="Economico"/>
    <s v="Precio Estadar"/>
    <s v="Apartamento"/>
    <s v="Alquiler"/>
    <d v="2024-10-26T00:00:00"/>
    <x v="6"/>
    <s v="https://www.properati.com.pe/detalle/14032-32-aee6-fbf15e94e774-6a45cd40-9b35-47b7"/>
  </r>
  <r>
    <s v="Apartamento en alquiler en Ur. La ViÃ±ita"/>
    <s v="Ur. La ViÃ±ita"/>
    <x v="2"/>
    <s v="Lima"/>
    <x v="0"/>
    <n v="2900"/>
    <n v="290"/>
    <x v="0"/>
    <n v="2"/>
    <x v="1"/>
    <s v="Sí"/>
    <n v="61"/>
    <x v="1"/>
    <s v="Caro"/>
    <s v="Precio Estadar"/>
    <s v="Apartamento"/>
    <s v="Alquiler"/>
    <d v="2024-06-03T00:00:00"/>
    <x v="42"/>
    <s v="https://www.properati.com.pe/detalle/14032-32-a038-e74750861e5b-55284d58-a53d-4823"/>
  </r>
  <r>
    <s v="Apartamento en alquiler en Ur. Los Recaudadores"/>
    <s v="Ur. Los Recaudadores"/>
    <x v="18"/>
    <s v="Lima"/>
    <x v="0"/>
    <n v="2000"/>
    <n v="200"/>
    <x v="1"/>
    <n v="2"/>
    <x v="0"/>
    <s v="No"/>
    <n v="92"/>
    <x v="13"/>
    <s v="Economico"/>
    <s v="Precio Estadar"/>
    <s v="Apartamento"/>
    <s v="Alquiler"/>
    <d v="2024-08-22T00:00:00"/>
    <x v="43"/>
    <s v="https://www.properati.com.pe/detalle/14032-32-e4f7-26888481416e-f7f9f3f6-ba2c-4ee6"/>
  </r>
  <r>
    <s v="Apartamento en alquiler en Ur. La Capilla (U-2)"/>
    <s v="Ur. La Capilla (U-2)"/>
    <x v="21"/>
    <s v="Lima"/>
    <x v="0"/>
    <n v="1000"/>
    <n v="100"/>
    <x v="0"/>
    <n v="1"/>
    <x v="0"/>
    <s v="Sí"/>
    <n v="35"/>
    <x v="12"/>
    <s v="Economico"/>
    <s v="Precio Estadar"/>
    <s v="Apartamento"/>
    <s v="Alquiler"/>
    <d v="2024-03-20T00:00:00"/>
    <x v="6"/>
    <s v="https://www.properati.com.pe/detalle/14032-32-842d-97e7e40efa38-c00eff7e-bede-4c07"/>
  </r>
  <r>
    <s v="Apartamento en alquiler en Santiago de Surco"/>
    <s v="Santiago de Surco"/>
    <x v="5"/>
    <s v="Lima"/>
    <x v="0"/>
    <n v="5735"/>
    <n v="573.5"/>
    <x v="1"/>
    <n v="3"/>
    <x v="1"/>
    <s v="No"/>
    <n v="217"/>
    <x v="7"/>
    <s v="Caro"/>
    <s v="Precio Estadar"/>
    <s v="Apartamento"/>
    <s v="Alquiler"/>
    <d v="2023-06-04T00:00:00"/>
    <x v="0"/>
    <s v="https://www.properati.com.pe/detalle/14032-32-d310-5da6e15e3d6a-2c461db0-be98-120d"/>
  </r>
  <r>
    <s v="Apartamento en alquiler en Ur. Balta"/>
    <s v="Ur. Balta"/>
    <x v="0"/>
    <s v="Lima"/>
    <x v="0"/>
    <n v="3145"/>
    <n v="314.5"/>
    <x v="1"/>
    <n v="2"/>
    <x v="1"/>
    <s v="No"/>
    <n v="108"/>
    <x v="25"/>
    <s v="Caro"/>
    <s v="Precio Estadar"/>
    <s v="Apartamento"/>
    <s v="Alquiler"/>
    <d v="2023-12-08T00:00:00"/>
    <x v="44"/>
    <s v="https://www.properati.com.pe/detalle/14032-32-9ddc-ac7b1f7a91ca-5d83b5ad-a980-4047"/>
  </r>
  <r>
    <s v="Apartamento en alquiler en Ur. Santa Beatriz"/>
    <s v="Ur. Santa Beatriz"/>
    <x v="22"/>
    <s v="Lima"/>
    <x v="0"/>
    <n v="1100"/>
    <n v="110"/>
    <x v="2"/>
    <n v="1"/>
    <x v="1"/>
    <s v="No"/>
    <n v="40"/>
    <x v="15"/>
    <s v="Economico"/>
    <s v="Precio Estadar"/>
    <s v="Apartamento"/>
    <s v="Alquiler"/>
    <d v="2023-10-31T00:00:00"/>
    <x v="45"/>
    <s v="https://www.properati.com.pe/detalle/14032-32-241c-f37fde555b4a-35b2a613-a935-413e"/>
  </r>
  <r>
    <s v="Apartamento en alquiler enLima"/>
    <s v="Lima"/>
    <x v="5"/>
    <s v="Lima"/>
    <x v="0"/>
    <n v="1250"/>
    <n v="125"/>
    <x v="1"/>
    <n v="2"/>
    <x v="1"/>
    <s v="Sí"/>
    <n v="84"/>
    <x v="20"/>
    <s v="Economico"/>
    <s v="Precio Estadar"/>
    <s v="Apartamento"/>
    <s v="Alquiler"/>
    <d v="2023-04-14T00:00:00"/>
    <x v="46"/>
    <s v="https://www.properati.com.pe/detalle/14032-32-7044-b49c5278691f-3c61c488-a656-334d"/>
  </r>
  <r>
    <s v="Apartamento en alquiler en Ur. Lobaton"/>
    <s v="Ur. Lobaton"/>
    <x v="3"/>
    <s v="Lima"/>
    <x v="0"/>
    <n v="2400"/>
    <n v="240"/>
    <x v="2"/>
    <n v="1"/>
    <x v="0"/>
    <s v="No"/>
    <n v="46"/>
    <x v="3"/>
    <s v="Economico"/>
    <s v="Precio Estadar"/>
    <s v="Apartamento"/>
    <s v="Alquiler"/>
    <d v="2024-08-15T00:00:00"/>
    <x v="47"/>
    <s v="https://www.properati.com.pe/detalle/14032-32-ded4-812e45001395-1d06eb1d-9054-4b6a"/>
  </r>
  <r>
    <s v="Casa en alquiler en San Isidro"/>
    <s v="San Isidro"/>
    <x v="5"/>
    <s v="Lima"/>
    <x v="0"/>
    <n v="4995"/>
    <n v="499.5"/>
    <x v="1"/>
    <n v="3"/>
    <x v="1"/>
    <s v="No"/>
    <n v="214"/>
    <x v="25"/>
    <s v="Caro"/>
    <s v="Precio Estadar"/>
    <s v="Casa"/>
    <s v="Alquiler"/>
    <d v="2024-05-18T00:00:00"/>
    <x v="48"/>
    <s v="https://www.properati.com.pe/detalle/14032-32-cbc1-f4b284b35cce-3d76b6a5-b6a5-4ddb"/>
  </r>
  <r>
    <s v="Apartamento en alquiler en Hu. Cercado DeMiraflores"/>
    <s v="Hu. Cercado DeMiraflores"/>
    <x v="0"/>
    <s v="Lima"/>
    <x v="0"/>
    <n v="3145"/>
    <n v="314.5"/>
    <x v="0"/>
    <n v="3"/>
    <x v="0"/>
    <s v="Sí"/>
    <n v="84"/>
    <x v="8"/>
    <s v="Caro"/>
    <s v="Precio Estadar"/>
    <s v="Apartamento"/>
    <s v="Alquiler"/>
    <d v="2024-08-23T00:00:00"/>
    <x v="6"/>
    <s v="https://www.properati.com.pe/detalle/14032-32-e369-1bd90cad45c2-dca51e45-b277-48fc"/>
  </r>
  <r>
    <s v="Apartamento en alquiler en Ur. Confraternidad"/>
    <s v="Ur. Confraternidad"/>
    <x v="2"/>
    <s v="Lima"/>
    <x v="0"/>
    <n v="3626"/>
    <n v="362.6"/>
    <x v="1"/>
    <n v="2"/>
    <x v="1"/>
    <s v="Sí"/>
    <n v="96"/>
    <x v="2"/>
    <s v="Caro"/>
    <s v="Precio Estadar"/>
    <s v="Apartamento"/>
    <s v="Alquiler"/>
    <d v="2024-02-05T00:00:00"/>
    <x v="11"/>
    <s v="https://www.properati.com.pe/detalle/14032-32-6cf9-310b98421e59-547f52f5-8e38-44aa"/>
  </r>
  <r>
    <s v="Apartamento en alquiler en Ur. Pedregal De Higuereta(San Atanacio De Pedregal)"/>
    <s v="Ur. Pedregal De Higuereta(San Atanacio De Pedregal)"/>
    <x v="10"/>
    <s v="Lima"/>
    <x v="0"/>
    <n v="2300"/>
    <n v="230"/>
    <x v="0"/>
    <n v="2"/>
    <x v="1"/>
    <s v="No"/>
    <n v="70"/>
    <x v="9"/>
    <s v="Economico"/>
    <s v="Precio Estadar"/>
    <s v="Apartamento"/>
    <s v="Alquiler"/>
    <d v="2024-06-24T00:00:00"/>
    <x v="49"/>
    <s v="https://www.properati.com.pe/detalle/14032-32-b1e6-e1507a79f0ab-cd6e419d-8758-4fe3"/>
  </r>
  <r>
    <s v="Apartamento en alquiler en Ur. Pedregal De Higuereta(San Atanacio De Pedregal)"/>
    <s v="Ur. Pedregal De Higuereta(San Atanacio De Pedregal)"/>
    <x v="10"/>
    <s v="Lima"/>
    <x v="0"/>
    <n v="1800"/>
    <n v="180"/>
    <x v="2"/>
    <n v="1"/>
    <x v="1"/>
    <s v="Sí"/>
    <n v="56"/>
    <x v="9"/>
    <s v="Economico"/>
    <s v="Precio Estadar"/>
    <s v="Apartamento"/>
    <s v="Alquiler"/>
    <d v="2024-01-04T00:00:00"/>
    <x v="49"/>
    <s v="https://www.properati.com.pe/detalle/14032-32-e6ee-4225b9ae8a1f-79b3f829-a374-4771"/>
  </r>
  <r>
    <s v="Casa en alquiler en Carabayllo"/>
    <s v="Carabayllo"/>
    <x v="5"/>
    <s v="Lima"/>
    <x v="0"/>
    <n v="9"/>
    <n v="0.9"/>
    <x v="0"/>
    <n v="1"/>
    <x v="1"/>
    <s v="Sí"/>
    <n v="140"/>
    <x v="16"/>
    <s v="Economico"/>
    <s v="Precio Estadar"/>
    <s v="Casa"/>
    <s v="Alquiler"/>
    <d v="2024-04-23T00:00:00"/>
    <x v="47"/>
    <s v="https://www.properati.com.pe/detalle/14032-32-57d1-916628e3d571-830b42fb-8f05-4b20"/>
  </r>
  <r>
    <s v="Apartamento en alquiler en Ur. Santa Beatriz"/>
    <s v="Ur. Santa Beatriz"/>
    <x v="22"/>
    <s v="Lima"/>
    <x v="0"/>
    <n v="1800"/>
    <n v="180"/>
    <x v="2"/>
    <n v="1"/>
    <x v="0"/>
    <s v="No"/>
    <n v="50"/>
    <x v="19"/>
    <s v="Economico"/>
    <s v="Precio Estadar"/>
    <s v="Apartamento"/>
    <s v="Alquiler"/>
    <d v="2024-07-27T00:00:00"/>
    <x v="13"/>
    <s v="https://www.properati.com.pe/detalle/14032-32-d829-d127d4d2b90f-6250c860-b026-120d"/>
  </r>
  <r>
    <s v="Apartamento en alquiler en Surquillo"/>
    <s v="Surquillo"/>
    <x v="5"/>
    <s v="Lima"/>
    <x v="0"/>
    <n v="2200"/>
    <n v="220"/>
    <x v="2"/>
    <n v="1"/>
    <x v="0"/>
    <s v="No"/>
    <n v="43"/>
    <x v="6"/>
    <s v="Economico"/>
    <s v="Precio Estadar"/>
    <s v="Apartamento"/>
    <s v="Alquiler"/>
    <d v="2023-08-25T00:00:00"/>
    <x v="50"/>
    <s v="https://www.properati.com.pe/detalle/14032-32-af85-94e239b955bb-b0521e17-880f-4f47"/>
  </r>
  <r>
    <s v="Apartamento en alquiler en Ur. Las Gardenias"/>
    <s v="Ur. Las Gardenias"/>
    <x v="4"/>
    <s v="Lima"/>
    <x v="0"/>
    <n v="2350"/>
    <n v="235"/>
    <x v="0"/>
    <n v="2"/>
    <x v="0"/>
    <s v="No"/>
    <n v="50"/>
    <x v="10"/>
    <s v="Economico"/>
    <s v="Precio Estadar"/>
    <s v="Apartamento"/>
    <s v="Alquiler"/>
    <d v="2024-08-09T00:00:00"/>
    <x v="51"/>
    <s v="https://www.properati.com.pe/detalle/14032-32-dcab-63cb2fb9d93c-4fbec2c0-b78f-120d"/>
  </r>
  <r>
    <s v="Apartamento en alquiler en Ur. Chacarilla Santa Cruz"/>
    <s v="Ur. Chacarilla Santa Cruz"/>
    <x v="7"/>
    <s v="Lima"/>
    <x v="0"/>
    <n v="3330"/>
    <n v="333"/>
    <x v="2"/>
    <n v="1"/>
    <x v="1"/>
    <s v="No"/>
    <n v="45"/>
    <x v="9"/>
    <s v="Caro"/>
    <s v="Precio Estadar"/>
    <s v="Apartamento"/>
    <s v="Alquiler"/>
    <d v="2024-07-25T00:00:00"/>
    <x v="52"/>
    <s v="https://www.properati.com.pe/detalle/14032-32-461b-194a62f80c76-6da9ac19-aeed-4db0"/>
  </r>
  <r>
    <s v="Apartamento en alquiler en Ur. San Antonio"/>
    <s v="Ur. San Antonio"/>
    <x v="0"/>
    <s v="Lima"/>
    <x v="0"/>
    <n v="3663"/>
    <n v="366.3"/>
    <x v="0"/>
    <n v="4"/>
    <x v="0"/>
    <s v="No"/>
    <n v="126"/>
    <x v="1"/>
    <s v="Caro"/>
    <s v="Precio Estadar"/>
    <s v="Apartamento"/>
    <s v="Alquiler"/>
    <d v="2023-10-30T00:00:00"/>
    <x v="53"/>
    <s v="https://www.properati.com.pe/detalle/14032-32-70b5-7a05466b7a0d-6cf6709-8f1b-3aac"/>
  </r>
  <r>
    <s v="Apartamento en alquiler en Ur. Orrantia"/>
    <s v="Ur. Orrantia"/>
    <x v="7"/>
    <s v="Lima"/>
    <x v="0"/>
    <n v="5106"/>
    <n v="510.6"/>
    <x v="1"/>
    <n v="2"/>
    <x v="0"/>
    <s v="No"/>
    <n v="131"/>
    <x v="2"/>
    <s v="Caro"/>
    <s v="Precio Estadar"/>
    <s v="Apartamento"/>
    <s v="Alquiler"/>
    <d v="2024-06-13T00:00:00"/>
    <x v="52"/>
    <s v="https://www.properati.com.pe/detalle/14032-32-69dd-e410df5be883-3612c089-8bfd-4130"/>
  </r>
  <r>
    <s v="Apartamento en alquiler en Ur. Jardin"/>
    <s v="Ur. Jardin"/>
    <x v="7"/>
    <s v="Lima"/>
    <x v="0"/>
    <n v="3330"/>
    <n v="333"/>
    <x v="2"/>
    <n v="1"/>
    <x v="1"/>
    <s v="Sí"/>
    <n v="45"/>
    <x v="9"/>
    <s v="Caro"/>
    <s v="Precio Estadar"/>
    <s v="Apartamento"/>
    <s v="Alquiler"/>
    <d v="2024-09-30T00:00:00"/>
    <x v="52"/>
    <s v="https://www.properati.com.pe/detalle/14032-32-37d7-8d3662c87b8-418dc763-abf3-4a60"/>
  </r>
  <r>
    <s v="Apartamento en alquiler en Ur. Jacaranda"/>
    <s v="Ur. Jacaranda"/>
    <x v="11"/>
    <s v="Lima"/>
    <x v="0"/>
    <n v="2800"/>
    <n v="280"/>
    <x v="0"/>
    <n v="1"/>
    <x v="1"/>
    <s v="No"/>
    <n v="80"/>
    <x v="11"/>
    <s v="Caro"/>
    <s v="Precio Estadar"/>
    <s v="Apartamento"/>
    <s v="Alquiler"/>
    <d v="2023-12-25T00:00:00"/>
    <x v="54"/>
    <s v="https://www.properati.com.pe/detalle/14032-32-2095-4915e395f2bf-f52b4ebc-b074-4a17"/>
  </r>
  <r>
    <s v="Oficina en alquiler en Ur. San Luis"/>
    <s v="Ur. San Luis"/>
    <x v="0"/>
    <s v="Lima"/>
    <x v="0"/>
    <n v="9120"/>
    <n v="912"/>
    <x v="2"/>
    <n v="3"/>
    <x v="0"/>
    <s v="No"/>
    <n v="200"/>
    <x v="5"/>
    <s v="Caro"/>
    <s v="Precio Estadar"/>
    <s v="Oficina"/>
    <s v="Alquiler"/>
    <d v="2023-06-15T00:00:00"/>
    <x v="55"/>
    <s v="https://www.properati.com.pe/detalle/14032-32-bfaa-5bdc4423ee73-4c1011d6-b910-362e"/>
  </r>
  <r>
    <s v="Apartamento en alquiler en Propietarios De Parque Industrial El Asesor"/>
    <s v="Propietarios De Parque Industrial El Asesor"/>
    <x v="5"/>
    <s v="Lima"/>
    <x v="0"/>
    <n v="8"/>
    <n v="0.8"/>
    <x v="2"/>
    <n v="1"/>
    <x v="1"/>
    <s v="No"/>
    <n v="45"/>
    <x v="6"/>
    <s v="Economico"/>
    <s v="Precio Estadar"/>
    <s v="Apartamento"/>
    <s v="Alquiler"/>
    <d v="2023-04-01T00:00:00"/>
    <x v="56"/>
    <s v="https://www.properati.com.pe/detalle/14032-32-e845-45da689f959d-d985de95-a4a4-310f"/>
  </r>
  <r>
    <s v="Apartamento en alquiler en Up. Tahuantinsuyo Etapa I"/>
    <s v="Up. Tahuantinsuyo Etapa I"/>
    <x v="23"/>
    <s v="Lima"/>
    <x v="0"/>
    <n v="1050"/>
    <n v="105"/>
    <x v="2"/>
    <n v="1"/>
    <x v="1"/>
    <s v="No"/>
    <n v="80"/>
    <x v="16"/>
    <s v="Economico"/>
    <s v="Precio Estadar"/>
    <s v="Apartamento"/>
    <s v="Alquiler"/>
    <d v="2024-06-06T00:00:00"/>
    <x v="57"/>
    <s v="https://www.properati.com.pe/detalle/14032-32-77b-790838d9985b-e272103d-a2ad-42b1"/>
  </r>
  <r>
    <s v="Oficina en alquiler en Ur. San Luis"/>
    <s v="Ur. San Luis"/>
    <x v="0"/>
    <s v="Lima"/>
    <x v="0"/>
    <n v="19061"/>
    <n v="1906.1000000000001"/>
    <x v="2"/>
    <n v="3"/>
    <x v="0"/>
    <s v="No"/>
    <n v="418"/>
    <x v="5"/>
    <s v="Caro"/>
    <s v="Precio Estadar"/>
    <s v="Oficina"/>
    <s v="Alquiler"/>
    <d v="2023-09-18T00:00:00"/>
    <x v="55"/>
    <s v="https://www.properati.com.pe/detalle/14032-32-3c19-3ffa57b915c3-7c465bf6-a08e-32fc"/>
  </r>
  <r>
    <s v="Casa en alquiler en Ur. La Planicie"/>
    <s v="Ur. La Planicie"/>
    <x v="24"/>
    <s v="Lima"/>
    <x v="0"/>
    <n v="7400"/>
    <n v="740"/>
    <x v="4"/>
    <n v="4"/>
    <x v="0"/>
    <s v="Sí"/>
    <n v="300"/>
    <x v="5"/>
    <s v="Caro"/>
    <s v="Precio Estadar"/>
    <s v="Casa"/>
    <s v="Alquiler"/>
    <d v="2023-05-27T00:00:00"/>
    <x v="58"/>
    <s v="https://www.properati.com.pe/detalle/14032-32-9ac3-986b39f1fb07-d95948a7-8e02-49f7"/>
  </r>
  <r>
    <s v="Apartamento en alquiler en Ur. Colmenares"/>
    <s v="Ur. Colmenares"/>
    <x v="25"/>
    <s v="Lima"/>
    <x v="0"/>
    <n v="2812"/>
    <n v="281.2"/>
    <x v="1"/>
    <n v="2"/>
    <x v="0"/>
    <s v="No"/>
    <n v="104"/>
    <x v="12"/>
    <s v="Caro"/>
    <s v="Precio Estadar"/>
    <s v="Apartamento"/>
    <s v="Alquiler"/>
    <d v="2024-04-24T00:00:00"/>
    <x v="58"/>
    <s v="https://www.properati.com.pe/detalle/14032-32-baee-68901d85bce1-4ad731e0-ab48-45de"/>
  </r>
  <r>
    <s v="Casa en alquiler en Ur. Huertos De San Antonio"/>
    <s v="Ur. Huertos De San Antonio"/>
    <x v="4"/>
    <s v="Lima"/>
    <x v="0"/>
    <n v="5735"/>
    <n v="573.5"/>
    <x v="4"/>
    <n v="4"/>
    <x v="1"/>
    <s v="No"/>
    <n v="220"/>
    <x v="26"/>
    <s v="Caro"/>
    <s v="Precio Estadar"/>
    <s v="Casa"/>
    <s v="Alquiler"/>
    <d v="2024-11-11T00:00:00"/>
    <x v="57"/>
    <s v="https://www.properati.com.pe/detalle/14032-32-47ee-63a19ce7ac76-a03d9e14-ad8c-4bde"/>
  </r>
  <r>
    <s v="Apartamento en alquiler en Ur. Prolongacion Benavides"/>
    <s v="Ur. Prolongacion Benavides"/>
    <x v="4"/>
    <s v="Lima"/>
    <x v="0"/>
    <n v="2350"/>
    <n v="235"/>
    <x v="0"/>
    <n v="2"/>
    <x v="1"/>
    <s v="Sí"/>
    <n v="50"/>
    <x v="3"/>
    <s v="Economico"/>
    <s v="Precio Estadar"/>
    <s v="Apartamento"/>
    <s v="Alquiler"/>
    <d v="2024-04-02T00:00:00"/>
    <x v="57"/>
    <s v="https://www.properati.com.pe/detalle/14032-32-ce85-c1b39d260e3f-bec8362f-84a9-4185"/>
  </r>
  <r>
    <s v="Apartamento en alquiler en Ur. America"/>
    <s v="Ur. America"/>
    <x v="0"/>
    <s v="Lima"/>
    <x v="0"/>
    <n v="3700"/>
    <n v="370"/>
    <x v="0"/>
    <n v="4"/>
    <x v="1"/>
    <s v="Sí"/>
    <n v="150"/>
    <x v="2"/>
    <s v="Caro"/>
    <s v="Precio Estadar"/>
    <s v="Apartamento"/>
    <s v="Alquiler"/>
    <d v="2024-02-29T00:00:00"/>
    <x v="59"/>
    <s v="https://www.properati.com.pe/detalle/14032-32-1a25-4f6cbbb4f88-713b911c-880d-4e3a"/>
  </r>
  <r>
    <s v="Apartamento en alquiler en Punta Hermosa"/>
    <s v="Punta Hermosa"/>
    <x v="5"/>
    <s v="Lima"/>
    <x v="0"/>
    <n v="3700"/>
    <n v="370"/>
    <x v="1"/>
    <n v="3"/>
    <x v="0"/>
    <s v="Sí"/>
    <n v="129"/>
    <x v="13"/>
    <s v="Caro"/>
    <s v="Precio Estadar"/>
    <s v="Apartamento"/>
    <s v="Alquiler"/>
    <d v="2024-01-20T00:00:00"/>
    <x v="58"/>
    <s v="https://www.properati.com.pe/detalle/14032-32-42ea-a0ee8cec8c54-f430dab7-8a5b-4918"/>
  </r>
  <r>
    <s v="Apartamento en alquiler en Ur. Balconcillo"/>
    <s v="Ur. Balconcillo"/>
    <x v="26"/>
    <s v="Lima"/>
    <x v="0"/>
    <n v="2300"/>
    <n v="230"/>
    <x v="1"/>
    <n v="2"/>
    <x v="1"/>
    <s v="Sí"/>
    <n v="70"/>
    <x v="3"/>
    <s v="Economico"/>
    <s v="Precio Estadar"/>
    <s v="Apartamento"/>
    <s v="Alquiler"/>
    <d v="2024-06-03T00:00:00"/>
    <x v="57"/>
    <s v="https://www.properati.com.pe/detalle/14032-32-e3b5-9a203a30add5-7dad7ce7-b882-4c54"/>
  </r>
  <r>
    <s v="Apartamento en alquiler en Ur. America"/>
    <s v="Ur. America"/>
    <x v="0"/>
    <s v="Lima"/>
    <x v="0"/>
    <n v="5550"/>
    <n v="555"/>
    <x v="0"/>
    <n v="2"/>
    <x v="0"/>
    <s v="Sí"/>
    <n v="104"/>
    <x v="18"/>
    <s v="Caro"/>
    <s v="Precio Estadar"/>
    <s v="Apartamento"/>
    <s v="Alquiler"/>
    <d v="2024-11-09T00:00:00"/>
    <x v="34"/>
    <s v="https://www.properati.com.pe/detalle/14032-32-a720-97f4e354d103-12e891a9-a560-4a09"/>
  </r>
  <r>
    <s v="Apartamento en alquiler en Hu. Cercado DeMiraflores"/>
    <s v="Hu. Cercado DeMiraflores"/>
    <x v="0"/>
    <s v="Lima"/>
    <x v="0"/>
    <n v="5180"/>
    <n v="518"/>
    <x v="0"/>
    <n v="3"/>
    <x v="1"/>
    <s v="Sí"/>
    <n v="107"/>
    <x v="0"/>
    <s v="Caro"/>
    <s v="Precio Estadar"/>
    <s v="Apartamento"/>
    <s v="Alquiler"/>
    <d v="2024-05-13T00:00:00"/>
    <x v="22"/>
    <s v="https://www.properati.com.pe/detalle/14032-32-8bb6-57c5c47b3bf7-ed96281f-9688-4e4b"/>
  </r>
  <r>
    <s v="Apartamento en alquiler en Ur. Leuro"/>
    <s v="Ur. Leuro"/>
    <x v="0"/>
    <s v="Lima"/>
    <x v="0"/>
    <n v="2886"/>
    <n v="288.60000000000002"/>
    <x v="0"/>
    <n v="2"/>
    <x v="0"/>
    <s v="No"/>
    <m/>
    <x v="27"/>
    <s v="Caro"/>
    <s v="Precio Estadar"/>
    <s v="Apartamento"/>
    <s v="Alquiler"/>
    <d v="2024-01-28T00:00:00"/>
    <x v="6"/>
    <s v="https://www.properati.com.pe/detalle/14032-32-d717-b76ceb51d798-a2a56d70-a23d-120d"/>
  </r>
  <r>
    <s v="Casa en alquiler en Ur. Los Jazmines"/>
    <s v="Ur. Los Jazmines"/>
    <x v="4"/>
    <s v="Lima"/>
    <x v="0"/>
    <n v="7800"/>
    <n v="780"/>
    <x v="3"/>
    <n v="4"/>
    <x v="1"/>
    <s v="Sí"/>
    <n v="350"/>
    <x v="28"/>
    <s v="Caro"/>
    <s v="Precio Estadar"/>
    <s v="Casa"/>
    <s v="Alquiler"/>
    <d v="2024-01-10T00:00:00"/>
    <x v="60"/>
    <s v="https://www.properati.com.pe/detalle/14032-32-aaae-648a26904306-a55b51ba-9efa-3107"/>
  </r>
  <r>
    <s v="Apartamento en alquiler en Ur. Alicia"/>
    <s v="Ur. Alicia"/>
    <x v="4"/>
    <s v="Lima"/>
    <x v="0"/>
    <n v="3626"/>
    <n v="362.6"/>
    <x v="1"/>
    <n v="3"/>
    <x v="0"/>
    <s v="Sí"/>
    <n v="126"/>
    <x v="11"/>
    <s v="Caro"/>
    <s v="Precio Estadar"/>
    <s v="Apartamento"/>
    <s v="Alquiler"/>
    <d v="2024-02-24T00:00:00"/>
    <x v="54"/>
    <s v="https://www.properati.com.pe/detalle/14032-32-d90a-afbdc1f2fb6f-ea9ae520-b078-120d"/>
  </r>
  <r>
    <s v="Apartamento en alquiler en Ur. Balta"/>
    <s v="Ur. Balta"/>
    <x v="0"/>
    <s v="Lima"/>
    <x v="0"/>
    <n v="4440"/>
    <n v="444"/>
    <x v="0"/>
    <n v="2"/>
    <x v="1"/>
    <s v="Sí"/>
    <n v="100"/>
    <x v="18"/>
    <s v="Caro"/>
    <s v="Precio Estadar"/>
    <s v="Apartamento"/>
    <s v="Alquiler"/>
    <d v="2023-03-06T00:00:00"/>
    <x v="23"/>
    <s v="https://www.properati.com.pe/detalle/14032-32-2d83-3ddfaaa89dff-88275968-839b-4238"/>
  </r>
  <r>
    <s v="Apartamento en alquiler en Ur. Residencial Higuereta"/>
    <s v="Ur. Residencial Higuereta"/>
    <x v="4"/>
    <s v="Lima"/>
    <x v="0"/>
    <n v="4600"/>
    <n v="460"/>
    <x v="1"/>
    <n v="5"/>
    <x v="0"/>
    <s v="No"/>
    <n v="224"/>
    <x v="6"/>
    <s v="Caro"/>
    <s v="Precio Estadar"/>
    <s v="Apartamento"/>
    <s v="Alquiler"/>
    <d v="2023-09-13T00:00:00"/>
    <x v="61"/>
    <s v="https://www.properati.com.pe/detalle/14032-32-a290-692dede237bf-757917ea-8ac5-48f6"/>
  </r>
  <r>
    <s v="Apartamento en alquiler en Ur. Residencial La Libertad"/>
    <s v="Ur. Residencial La Libertad"/>
    <x v="4"/>
    <s v="Lima"/>
    <x v="0"/>
    <n v="2200"/>
    <n v="220"/>
    <x v="1"/>
    <n v="2"/>
    <x v="1"/>
    <s v="Sí"/>
    <n v="80"/>
    <x v="3"/>
    <s v="Economico"/>
    <s v="Precio Estadar"/>
    <s v="Apartamento"/>
    <s v="Alquiler"/>
    <d v="2024-12-28T00:00:00"/>
    <x v="62"/>
    <s v="https://www.properati.com.pe/detalle/14032-32-5ad9-433987741078-f51b46e7-b06c-4e9c"/>
  </r>
  <r>
    <s v="Apartamento en alquiler en Ur. Santa Cruz"/>
    <s v="Ur. Santa Cruz"/>
    <x v="0"/>
    <s v="Lima"/>
    <x v="0"/>
    <n v="3330"/>
    <n v="333"/>
    <x v="0"/>
    <n v="3"/>
    <x v="0"/>
    <s v="No"/>
    <n v="110"/>
    <x v="20"/>
    <s v="Caro"/>
    <s v="Precio Estadar"/>
    <s v="Apartamento"/>
    <s v="Alquiler"/>
    <d v="2024-07-26T00:00:00"/>
    <x v="16"/>
    <s v="https://www.properati.com.pe/detalle/14032-32-61c7-42ce6cc85d92-b9b63c3e-af7c-4ecb"/>
  </r>
  <r>
    <s v="Apartamento en alquiler en Ur. Confraternidad"/>
    <s v="Ur. Confraternidad"/>
    <x v="2"/>
    <s v="Lima"/>
    <x v="0"/>
    <n v="2960"/>
    <n v="296"/>
    <x v="0"/>
    <n v="2"/>
    <x v="1"/>
    <s v="Sí"/>
    <n v="72"/>
    <x v="9"/>
    <s v="Caro"/>
    <s v="Precio Estadar"/>
    <s v="Apartamento"/>
    <s v="Alquiler"/>
    <d v="2023-06-06T00:00:00"/>
    <x v="63"/>
    <s v="https://www.properati.com.pe/detalle/14032-32-8206-b65be670c0a6-a13a71bb-a6e4-4cca"/>
  </r>
  <r>
    <s v="Apartamento en alquiler en Ur. San Borja"/>
    <s v="Ur. San Borja"/>
    <x v="11"/>
    <s v="Lima"/>
    <x v="0"/>
    <n v="3515"/>
    <n v="351.5"/>
    <x v="0"/>
    <n v="3"/>
    <x v="1"/>
    <s v="Sí"/>
    <n v="92"/>
    <x v="1"/>
    <s v="Caro"/>
    <s v="Precio Estadar"/>
    <s v="Apartamento"/>
    <s v="Alquiler"/>
    <d v="2024-05-29T00:00:00"/>
    <x v="64"/>
    <s v="https://www.properati.com.pe/detalle/14032-32-6e96-6b8cc4981401-90c7611a-974f-4435"/>
  </r>
  <r>
    <s v="Apartamento en alquiler en Ur. Casuarinas Sur"/>
    <s v="Ur. Casuarinas Sur"/>
    <x v="4"/>
    <s v="Lima"/>
    <x v="0"/>
    <n v="4440"/>
    <n v="444"/>
    <x v="1"/>
    <n v="3"/>
    <x v="1"/>
    <s v="No"/>
    <n v="167"/>
    <x v="8"/>
    <s v="Caro"/>
    <s v="Precio Estadar"/>
    <s v="Apartamento"/>
    <s v="Alquiler"/>
    <d v="2023-01-18T00:00:00"/>
    <x v="16"/>
    <s v="https://www.properati.com.pe/detalle/14032-32-b801-d759b502146-716e9310-a9fa-120d"/>
  </r>
  <r>
    <s v="Apartamento en alquiler en Ur. Balta"/>
    <s v="Ur. Balta"/>
    <x v="0"/>
    <s v="Lima"/>
    <x v="0"/>
    <n v="2553"/>
    <n v="255.3"/>
    <x v="2"/>
    <n v="1"/>
    <x v="0"/>
    <s v="No"/>
    <n v="60"/>
    <x v="23"/>
    <s v="Caro"/>
    <s v="Precio Estadar"/>
    <s v="Apartamento"/>
    <s v="Alquiler"/>
    <d v="2023-09-11T00:00:00"/>
    <x v="17"/>
    <s v="https://www.properati.com.pe/detalle/14032-32-7e95-45689f895be5-94fdb2f9-aa1a-417e"/>
  </r>
  <r>
    <s v="Apartamento en alquiler en Ur. Balta"/>
    <s v="Ur. Balta"/>
    <x v="0"/>
    <s v="Lima"/>
    <x v="0"/>
    <n v="3145"/>
    <n v="314.5"/>
    <x v="0"/>
    <n v="2"/>
    <x v="1"/>
    <s v="Sí"/>
    <n v="80"/>
    <x v="16"/>
    <s v="Caro"/>
    <s v="Precio Estadar"/>
    <s v="Apartamento"/>
    <s v="Alquiler"/>
    <d v="2024-10-24T00:00:00"/>
    <x v="65"/>
    <s v="https://www.properati.com.pe/detalle/14032-32-a008-dc332b3b709d-c1400d1e-919d-4243"/>
  </r>
  <r>
    <s v="Apartamento en alquiler en Co. Santa Rosa De Quives"/>
    <s v="Co. Santa Rosa De Quives"/>
    <x v="27"/>
    <s v="Lima"/>
    <x v="0"/>
    <n v="1600"/>
    <n v="160"/>
    <x v="1"/>
    <n v="2"/>
    <x v="1"/>
    <s v="Sí"/>
    <n v="68"/>
    <x v="5"/>
    <s v="Economico"/>
    <s v="Precio Estadar"/>
    <s v="Apartamento"/>
    <s v="Alquiler"/>
    <d v="2023-02-15T00:00:00"/>
    <x v="63"/>
    <s v="https://www.properati.com.pe/detalle/14032-32-ec8f-7bb6ee593747-8b948000-a520-447e"/>
  </r>
  <r>
    <s v="Apartamento en alquiler en Ah. Totorita"/>
    <s v="Ah. Totorita"/>
    <x v="6"/>
    <s v="Lima"/>
    <x v="0"/>
    <n v="1450"/>
    <n v="145"/>
    <x v="0"/>
    <n v="1"/>
    <x v="1"/>
    <s v="Sí"/>
    <n v="59"/>
    <x v="9"/>
    <s v="Economico"/>
    <s v="Precio Estadar"/>
    <s v="Apartamento"/>
    <s v="Alquiler"/>
    <d v="2023-03-05T00:00:00"/>
    <x v="66"/>
    <s v="https://www.properati.com.pe/detalle/14032-32-6281-e5c1c15661d4-ac32805e-b3b2-4490"/>
  </r>
  <r>
    <s v="Apartamento en alquiler en Ur. El Vivero"/>
    <s v="Ur. El Vivero"/>
    <x v="4"/>
    <s v="Lima"/>
    <x v="0"/>
    <n v="3100"/>
    <n v="310"/>
    <x v="1"/>
    <n v="3"/>
    <x v="1"/>
    <s v="Sí"/>
    <n v="105"/>
    <x v="29"/>
    <s v="Caro"/>
    <s v="Precio Estadar"/>
    <s v="Apartamento"/>
    <s v="Alquiler"/>
    <d v="2024-08-25T00:00:00"/>
    <x v="67"/>
    <s v="https://www.properati.com.pe/detalle/14032-32-2857-fad090d91150-d5274f07-a500-343a"/>
  </r>
  <r>
    <s v="Apartamento en alquiler en Ur. Confraternidad"/>
    <s v="Ur. Confraternidad"/>
    <x v="2"/>
    <s v="Lima"/>
    <x v="0"/>
    <n v="2812"/>
    <n v="281.2"/>
    <x v="2"/>
    <n v="1"/>
    <x v="0"/>
    <s v="Sí"/>
    <n v="45"/>
    <x v="12"/>
    <s v="Caro"/>
    <s v="Precio Estadar"/>
    <s v="Apartamento"/>
    <s v="Alquiler"/>
    <d v="2024-02-12T00:00:00"/>
    <x v="63"/>
    <s v="https://www.properati.com.pe/detalle/14032-32-95e4-74c150b2117e-793b56ff-9d00-46d9"/>
  </r>
  <r>
    <s v="Casa en alquiler en Chorrillos"/>
    <s v="Chorrillos"/>
    <x v="5"/>
    <s v="Lima"/>
    <x v="0"/>
    <n v="6105"/>
    <n v="610.5"/>
    <x v="1"/>
    <n v="2"/>
    <x v="0"/>
    <s v="No"/>
    <n v="300"/>
    <x v="17"/>
    <s v="Caro"/>
    <s v="Precio Estadar"/>
    <s v="Casa"/>
    <s v="Alquiler"/>
    <d v="2023-11-05T00:00:00"/>
    <x v="15"/>
    <s v="https://www.properati.com.pe/detalle/14032-32-ca3c-df38bf886abb-8ee7b945-a415-480d"/>
  </r>
  <r>
    <s v="Apartamento en alquiler en Ur. La ViÃ±ita"/>
    <s v="Ur. La ViÃ±ita"/>
    <x v="2"/>
    <s v="Lima"/>
    <x v="0"/>
    <n v="3404"/>
    <n v="340.40000000000003"/>
    <x v="0"/>
    <n v="2"/>
    <x v="1"/>
    <s v="Sí"/>
    <n v="55"/>
    <x v="11"/>
    <s v="Caro"/>
    <s v="Precio Estadar"/>
    <s v="Apartamento"/>
    <s v="Alquiler"/>
    <d v="2024-07-03T00:00:00"/>
    <x v="68"/>
    <s v="https://www.properati.com.pe/detalle/14032-32-fd7d-d835fe5437ad-27d8bfe-a2e7-4444"/>
  </r>
  <r>
    <s v="Apartamento en alquiler en Hu. Cercado DeMiraflores"/>
    <s v="Hu. Cercado DeMiraflores"/>
    <x v="0"/>
    <s v="Lima"/>
    <x v="0"/>
    <n v="7770"/>
    <n v="777"/>
    <x v="1"/>
    <n v="4"/>
    <x v="0"/>
    <s v="No"/>
    <n v="246"/>
    <x v="30"/>
    <s v="Caro"/>
    <s v="Precio Estadar"/>
    <s v="Apartamento"/>
    <s v="Alquiler"/>
    <d v="2023-12-26T00:00:00"/>
    <x v="69"/>
    <s v="https://www.properati.com.pe/detalle/14032-32-9f24-26f469ea761b-25a290cf-ad7e-4a0d"/>
  </r>
  <r>
    <s v="Apartamento en alquiler en Ur. Prolongacion Benavides"/>
    <s v="Ur. Prolongacion Benavides"/>
    <x v="4"/>
    <s v="Lima"/>
    <x v="0"/>
    <n v="1400"/>
    <n v="140"/>
    <x v="2"/>
    <n v="1"/>
    <x v="0"/>
    <s v="No"/>
    <n v="60"/>
    <x v="5"/>
    <s v="Economico"/>
    <s v="Precio Estadar"/>
    <s v="Apartamento"/>
    <s v="Alquiler"/>
    <d v="2024-05-05T00:00:00"/>
    <x v="70"/>
    <s v="https://www.properati.com.pe/detalle/14032-32-fd22-647bbc82daad-449a5824-bef7-45a5"/>
  </r>
  <r>
    <s v="Apartamento en alquiler en Ur. La Calera De La Merced"/>
    <s v="Ur. La Calera De La Merced"/>
    <x v="10"/>
    <s v="Lima"/>
    <x v="0"/>
    <n v="1800"/>
    <n v="180"/>
    <x v="0"/>
    <n v="1"/>
    <x v="0"/>
    <s v="Sí"/>
    <n v="70"/>
    <x v="10"/>
    <s v="Economico"/>
    <s v="Precio Estadar"/>
    <s v="Apartamento"/>
    <s v="Alquiler"/>
    <d v="2023-06-10T00:00:00"/>
    <x v="71"/>
    <s v="https://www.properati.com.pe/detalle/14032-32-3f7e-c5d6ab5e3884-f2382ad6-9e80-4c36"/>
  </r>
  <r>
    <s v="Apartamento en alquiler en San Isidro"/>
    <s v="San Isidro"/>
    <x v="5"/>
    <s v="Lima"/>
    <x v="0"/>
    <n v="10360"/>
    <n v="1036"/>
    <x v="1"/>
    <n v="5"/>
    <x v="0"/>
    <s v="No"/>
    <n v="280"/>
    <x v="0"/>
    <s v="Caro"/>
    <s v="Precio Estadar"/>
    <s v="Apartamento"/>
    <s v="Alquiler"/>
    <d v="2024-02-28T00:00:00"/>
    <x v="72"/>
    <s v="https://www.properati.com.pe/detalle/14032-32-d5fa-45fb7d5f4e4f-756c4a8e-9d89-4be5"/>
  </r>
  <r>
    <s v="Apartamento en alquiler en Ur. La Calera De La Merced"/>
    <s v="Ur. La Calera De La Merced"/>
    <x v="10"/>
    <s v="Lima"/>
    <x v="0"/>
    <n v="1600"/>
    <n v="160"/>
    <x v="2"/>
    <n v="1"/>
    <x v="1"/>
    <s v="Sí"/>
    <n v="65"/>
    <x v="25"/>
    <s v="Economico"/>
    <s v="Precio Estadar"/>
    <s v="Apartamento"/>
    <s v="Alquiler"/>
    <d v="2024-09-30T00:00:00"/>
    <x v="71"/>
    <s v="https://www.properati.com.pe/detalle/14032-32-a8d6-7b429a332f52-de4dea4e-a638-44f5"/>
  </r>
  <r>
    <s v="Apartamento en alquiler en Ur. Residencial Salamanca"/>
    <s v="Ur. Residencial Salamanca"/>
    <x v="18"/>
    <s v="Lima"/>
    <x v="0"/>
    <n v="1800"/>
    <n v="180"/>
    <x v="1"/>
    <n v="2"/>
    <x v="1"/>
    <s v="Sí"/>
    <n v="105"/>
    <x v="6"/>
    <s v="Economico"/>
    <s v="Precio Estadar"/>
    <s v="Apartamento"/>
    <s v="Alquiler"/>
    <d v="2023-01-01T00:00:00"/>
    <x v="44"/>
    <s v="https://www.properati.com.pe/detalle/14032-32-f91-227f95c1a249-f2156d3e-8ba4-461b"/>
  </r>
  <r>
    <s v="Casa en alquiler en Ur. Los Portales Del Naranjal"/>
    <s v="Ur. Los Portales Del Naranjal"/>
    <x v="28"/>
    <s v="Lima"/>
    <x v="0"/>
    <n v="6000"/>
    <n v="600"/>
    <x v="7"/>
    <n v="7"/>
    <x v="1"/>
    <s v="Sí"/>
    <n v="209"/>
    <x v="20"/>
    <s v="Caro"/>
    <s v="Precio Estadar"/>
    <s v="Casa"/>
    <s v="Alquiler"/>
    <d v="2023-04-08T00:00:00"/>
    <x v="73"/>
    <s v="https://www.properati.com.pe/detalle/14032-32-4d32-cafe545b1eda-f0a325ac-a319-4754"/>
  </r>
  <r>
    <s v="Apartamento en alquiler en Ur. San Eugenio"/>
    <s v="Ur. San Eugenio"/>
    <x v="3"/>
    <s v="Lima"/>
    <x v="0"/>
    <n v="2100"/>
    <n v="210"/>
    <x v="2"/>
    <n v="1"/>
    <x v="0"/>
    <s v="No"/>
    <n v="53"/>
    <x v="9"/>
    <s v="Economico"/>
    <s v="Precio Estadar"/>
    <s v="Apartamento"/>
    <s v="Alquiler"/>
    <d v="2023-01-03T00:00:00"/>
    <x v="33"/>
    <s v="https://www.properati.com.pe/detalle/14032-32-f610-be4870f99d59-cc626831-9512-459d"/>
  </r>
  <r>
    <s v="Apartamento en alquiler en Santiago de Surco"/>
    <s v="Santiago de Surco"/>
    <x v="5"/>
    <s v="Lima"/>
    <x v="0"/>
    <n v="1300"/>
    <n v="130"/>
    <x v="2"/>
    <n v="1"/>
    <x v="0"/>
    <s v="No"/>
    <n v="35"/>
    <x v="10"/>
    <s v="Economico"/>
    <s v="Precio Estadar"/>
    <s v="Apartamento"/>
    <s v="Alquiler"/>
    <d v="2024-02-13T00:00:00"/>
    <x v="74"/>
    <s v="https://www.properati.com.pe/detalle/14032-32-7a6-e65427b53c33-63909916-95c5-492d"/>
  </r>
  <r>
    <s v="Apartamento en alquiler en Ur. Monterrico Norte"/>
    <s v="Ur. Monterrico Norte"/>
    <x v="11"/>
    <s v="Lima"/>
    <x v="0"/>
    <n v="4255"/>
    <n v="425.5"/>
    <x v="3"/>
    <n v="3"/>
    <x v="1"/>
    <s v="Sí"/>
    <n v="232"/>
    <x v="28"/>
    <s v="Caro"/>
    <s v="Precio Estadar"/>
    <s v="Apartamento"/>
    <s v="Alquiler"/>
    <d v="2024-09-11T00:00:00"/>
    <x v="61"/>
    <s v="https://www.properati.com.pe/detalle/14032-32-bb0-83c8bd20077a-97f9a96-8602-49e4"/>
  </r>
  <r>
    <s v="Apartamento en alquiler en La Calera De La Merced"/>
    <s v="La Calera De La Merced"/>
    <x v="5"/>
    <s v="Lima"/>
    <x v="0"/>
    <n v="2250"/>
    <n v="225"/>
    <x v="0"/>
    <n v="1"/>
    <x v="0"/>
    <s v="No"/>
    <n v="60"/>
    <x v="2"/>
    <s v="Economico"/>
    <s v="Precio Estadar"/>
    <s v="Apartamento"/>
    <s v="Alquiler"/>
    <d v="2024-09-06T00:00:00"/>
    <x v="6"/>
    <s v="https://www.properati.com.pe/detalle/14032-32-cf40-70836258a541-dd6c931e-adff-46cf"/>
  </r>
  <r>
    <s v="Apartamento en alquiler enMiraflores"/>
    <s v="Miraflores"/>
    <x v="5"/>
    <s v="Lima"/>
    <x v="0"/>
    <n v="7400"/>
    <n v="740"/>
    <x v="1"/>
    <n v="2"/>
    <x v="0"/>
    <s v="No"/>
    <n v="180"/>
    <x v="8"/>
    <s v="Caro"/>
    <s v="Precio Estadar"/>
    <s v="Apartamento"/>
    <s v="Alquiler"/>
    <d v="2023-07-06T00:00:00"/>
    <x v="6"/>
    <s v="https://www.properati.com.pe/detalle/14032-32-ba18-1f1b781b8aa7-2bf0c240-b8a0-120d"/>
  </r>
  <r>
    <s v="Apartamento en alquiler enMiraflores"/>
    <s v="Miraflores"/>
    <x v="5"/>
    <s v="Lima"/>
    <x v="0"/>
    <n v="3700"/>
    <n v="370"/>
    <x v="0"/>
    <n v="3"/>
    <x v="0"/>
    <s v="Sí"/>
    <n v="90"/>
    <x v="7"/>
    <s v="Caro"/>
    <s v="Precio Estadar"/>
    <s v="Apartamento"/>
    <s v="Alquiler"/>
    <d v="2024-05-06T00:00:00"/>
    <x v="75"/>
    <s v="https://www.properati.com.pe/detalle/14032-32-638f-9bf057c7d1ea-a3e93e6b-9dc5-4928"/>
  </r>
  <r>
    <s v="Apartamento en alquiler enLima"/>
    <s v="Lima"/>
    <x v="5"/>
    <s v="Lima"/>
    <x v="0"/>
    <n v="4070"/>
    <n v="407"/>
    <x v="1"/>
    <n v="2"/>
    <x v="1"/>
    <s v="Sí"/>
    <n v="155"/>
    <x v="16"/>
    <s v="Caro"/>
    <s v="Precio Estadar"/>
    <s v="Apartamento"/>
    <s v="Alquiler"/>
    <d v="2023-10-01T00:00:00"/>
    <x v="75"/>
    <s v="https://www.properati.com.pe/detalle/14032-32-f6e8-93d18bbfcf6e-57b71e0e-af03-4a71"/>
  </r>
  <r>
    <s v="Apartamento en alquiler en Comas"/>
    <s v="Comas"/>
    <x v="5"/>
    <s v="Lima"/>
    <x v="0"/>
    <n v="94"/>
    <n v="9.4"/>
    <x v="0"/>
    <n v="1"/>
    <x v="1"/>
    <s v="No"/>
    <n v="50"/>
    <x v="1"/>
    <s v="Economico"/>
    <s v="Precio Estadar"/>
    <s v="Apartamento"/>
    <s v="Alquiler"/>
    <d v="2024-03-27T00:00:00"/>
    <x v="66"/>
    <s v="https://www.properati.com.pe/detalle/14032-32-8b1a-a8a802700cc0-e402a7aa-8510-49eb"/>
  </r>
  <r>
    <s v="Apartamento en alquiler en Carabayllo"/>
    <s v="Carabayllo"/>
    <x v="5"/>
    <s v="Lima"/>
    <x v="0"/>
    <n v="1000"/>
    <n v="100"/>
    <x v="0"/>
    <n v="1"/>
    <x v="0"/>
    <s v="Sí"/>
    <n v="102"/>
    <x v="19"/>
    <s v="Economico"/>
    <s v="Precio Estadar"/>
    <s v="Apartamento"/>
    <s v="Alquiler"/>
    <d v="2023-06-10T00:00:00"/>
    <x v="66"/>
    <s v="https://www.properati.com.pe/detalle/14032-32-ce59-4f3523acbfcf-88d601b1-ab03-4e81"/>
  </r>
  <r>
    <s v="Apartamento en alquiler en Ur. Ciudad De Papel Iii Etapa"/>
    <s v="Ur. Ciudad De Papel Iii Etapa"/>
    <x v="16"/>
    <s v="Lima"/>
    <x v="0"/>
    <n v="1500"/>
    <n v="150"/>
    <x v="0"/>
    <n v="1"/>
    <x v="1"/>
    <s v="Sí"/>
    <n v="51"/>
    <x v="11"/>
    <s v="Economico"/>
    <s v="Precio Estadar"/>
    <s v="Apartamento"/>
    <s v="Alquiler"/>
    <d v="2024-12-01T00:00:00"/>
    <x v="66"/>
    <s v="https://www.properati.com.pe/detalle/14032-32-70e-d1a27d2483ca-83bae3b7-bf07-40cb"/>
  </r>
  <r>
    <s v="Apartamento en alquiler en Ur. Santa Raquel Sector A Zona Este"/>
    <s v="Ur. Santa Raquel Sector A Zona Este"/>
    <x v="21"/>
    <s v="Lima"/>
    <x v="0"/>
    <n v="2100"/>
    <n v="210"/>
    <x v="0"/>
    <n v="2"/>
    <x v="0"/>
    <s v="Sí"/>
    <n v="75"/>
    <x v="31"/>
    <s v="Economico"/>
    <s v="Precio Estadar"/>
    <s v="Apartamento"/>
    <s v="Alquiler"/>
    <d v="2024-11-02T00:00:00"/>
    <x v="66"/>
    <s v="https://www.properati.com.pe/detalle/14032-32-e6b9-7b2c1b43099d-2fbc4440-a453-4b3c"/>
  </r>
  <r>
    <s v="Apartamento en alquiler en UrbanizaciÃ³n La Floresta"/>
    <s v="UrbanizaciÃ³n La Floresta"/>
    <x v="29"/>
    <s v="Lima"/>
    <x v="0"/>
    <n v="2100"/>
    <n v="210"/>
    <x v="4"/>
    <n v="3"/>
    <x v="0"/>
    <s v="Sí"/>
    <n v="260"/>
    <x v="6"/>
    <s v="Economico"/>
    <s v="Buena Oferta"/>
    <s v="Apartamento"/>
    <s v="Alquiler"/>
    <d v="2024-08-10T00:00:00"/>
    <x v="66"/>
    <s v="https://www.properati.com.pe/detalle/14032-32-d536-2feda0ed05e9-e00776f3-9f00-43d7"/>
  </r>
  <r>
    <s v="Apartamento en alquiler en Co. Vipol El Alamo"/>
    <s v="Co. Vipol El Alamo"/>
    <x v="9"/>
    <s v="Lima"/>
    <x v="0"/>
    <n v="1000"/>
    <n v="100"/>
    <x v="1"/>
    <n v="1"/>
    <x v="1"/>
    <s v="Sí"/>
    <n v="61"/>
    <x v="3"/>
    <s v="Economico"/>
    <s v="Precio Estadar"/>
    <s v="Apartamento"/>
    <s v="Alquiler"/>
    <d v="2023-08-26T00:00:00"/>
    <x v="66"/>
    <s v="https://www.properati.com.pe/detalle/14032-32-5352-f26a72186595-99024ab6-8b08-4ad7"/>
  </r>
  <r>
    <s v="Casa en alquiler en Chorrillos"/>
    <s v="Chorrillos"/>
    <x v="5"/>
    <s v="Lima"/>
    <x v="0"/>
    <n v="5550"/>
    <n v="555"/>
    <x v="1"/>
    <n v="2"/>
    <x v="1"/>
    <s v="Sí"/>
    <n v="300"/>
    <x v="17"/>
    <s v="Caro"/>
    <s v="Precio Estadar"/>
    <s v="Casa"/>
    <s v="Alquiler"/>
    <d v="2024-10-13T00:00:00"/>
    <x v="15"/>
    <s v="https://www.properati.com.pe/detalle/14032-32-e07-bf3271812c72-a2f5fcd2-9a14-4c6e"/>
  </r>
  <r>
    <s v="Apartamento en alquiler en Pachacamac"/>
    <s v="Pachacamac"/>
    <x v="5"/>
    <s v="Lima"/>
    <x v="0"/>
    <n v="1200"/>
    <n v="120"/>
    <x v="0"/>
    <n v="1"/>
    <x v="1"/>
    <s v="Sí"/>
    <n v="60"/>
    <x v="6"/>
    <s v="Economico"/>
    <s v="Precio Estadar"/>
    <s v="Apartamento"/>
    <s v="Alquiler"/>
    <d v="2024-06-19T00:00:00"/>
    <x v="76"/>
    <s v="https://www.properati.com.pe/detalle/14032-32-b00-8bdf116291cf-f6fe9a9e-a118-40be"/>
  </r>
  <r>
    <s v="Apartamento en alquiler en Ah. Upis Ciudad DeLima"/>
    <s v="Ah. Upis Ciudad DeLima"/>
    <x v="9"/>
    <s v="Lima"/>
    <x v="0"/>
    <n v="55"/>
    <n v="5.5"/>
    <x v="2"/>
    <n v="1"/>
    <x v="1"/>
    <s v="No"/>
    <n v="40"/>
    <x v="11"/>
    <s v="Economico"/>
    <s v="Precio Estadar"/>
    <s v="Apartamento"/>
    <s v="Alquiler"/>
    <d v="2024-10-31T00:00:00"/>
    <x v="66"/>
    <s v="https://www.properati.com.pe/detalle/14032-32-1f79-a6690fe2f538-4715c793-bd51-4f08"/>
  </r>
  <r>
    <s v="Apartamento en alquiler en Ur. Chacarilla Santa Cruz"/>
    <s v="Ur. Chacarilla Santa Cruz"/>
    <x v="7"/>
    <s v="Lima"/>
    <x v="0"/>
    <n v="10360"/>
    <n v="1036"/>
    <x v="1"/>
    <n v="3"/>
    <x v="1"/>
    <s v="No"/>
    <n v="240"/>
    <x v="11"/>
    <s v="Caro"/>
    <s v="Precio Estadar"/>
    <s v="Apartamento"/>
    <s v="Alquiler"/>
    <d v="2023-05-08T00:00:00"/>
    <x v="34"/>
    <s v="https://www.properati.com.pe/detalle/14032-32-daf7-a61ccfc9fddd-bbd3af13-a20f-4159"/>
  </r>
  <r>
    <s v="Apartamento en alquiler en Ate"/>
    <s v="Ate"/>
    <x v="5"/>
    <s v="Lima"/>
    <x v="0"/>
    <n v="2400"/>
    <n v="240"/>
    <x v="4"/>
    <n v="3"/>
    <x v="1"/>
    <s v="Sí"/>
    <n v="130"/>
    <x v="6"/>
    <s v="Economico"/>
    <s v="Buena Oferta"/>
    <s v="Apartamento"/>
    <s v="Alquiler"/>
    <d v="2024-07-13T00:00:00"/>
    <x v="41"/>
    <s v="https://www.properati.com.pe/detalle/14032-32-3187-2f45d67fa70d-cd9c3e1-b299-44eb"/>
  </r>
  <r>
    <s v="Apartamento en alquiler en Ur. Chacarilla Del Estanque"/>
    <s v="Ur. Chacarilla Del Estanque"/>
    <x v="11"/>
    <s v="Lima"/>
    <x v="0"/>
    <n v="5550"/>
    <n v="555"/>
    <x v="1"/>
    <n v="3"/>
    <x v="1"/>
    <s v="No"/>
    <n v="140"/>
    <x v="13"/>
    <s v="Caro"/>
    <s v="Precio Estadar"/>
    <s v="Apartamento"/>
    <s v="Alquiler"/>
    <d v="2023-06-20T00:00:00"/>
    <x v="66"/>
    <s v="https://www.properati.com.pe/detalle/14032-32-290f-6b616d72b45f-c144a006-be81-4440"/>
  </r>
  <r>
    <s v="Casa en alquiler en Ur. Tungasuca"/>
    <s v="Ur. Tungasuca"/>
    <x v="30"/>
    <s v="Lima"/>
    <x v="0"/>
    <n v="4000"/>
    <n v="400"/>
    <x v="6"/>
    <n v="2"/>
    <x v="1"/>
    <s v="Sí"/>
    <n v="212"/>
    <x v="29"/>
    <s v="Caro"/>
    <s v="Precio Estadar"/>
    <s v="Casa"/>
    <s v="Alquiler"/>
    <d v="2024-09-14T00:00:00"/>
    <x v="66"/>
    <s v="https://www.properati.com.pe/detalle/14032-32-49a-7679ea5ac1b2-ccb0f80c-ab8e-4842"/>
  </r>
  <r>
    <s v="Apartamento en alquiler en Ur. San Felipe"/>
    <s v="Ur. San Felipe"/>
    <x v="22"/>
    <s v="Lima"/>
    <x v="0"/>
    <n v="3000"/>
    <n v="300"/>
    <x v="1"/>
    <n v="2"/>
    <x v="0"/>
    <s v="No"/>
    <n v="78"/>
    <x v="3"/>
    <s v="Caro"/>
    <s v="Precio Estadar"/>
    <s v="Apartamento"/>
    <s v="Alquiler"/>
    <d v="2023-08-04T00:00:00"/>
    <x v="10"/>
    <s v="https://www.properati.com.pe/detalle/14032-32-41bf-8de70edff6ef-3aa320d8-8807-4d16"/>
  </r>
  <r>
    <s v="Apartamento en alquiler en Ur. Santa Cruz"/>
    <s v="Ur. Santa Cruz"/>
    <x v="0"/>
    <s v="Lima"/>
    <x v="0"/>
    <n v="4810"/>
    <n v="481"/>
    <x v="1"/>
    <n v="3"/>
    <x v="1"/>
    <s v="No"/>
    <n v="130"/>
    <x v="2"/>
    <s v="Caro"/>
    <s v="Precio Estadar"/>
    <s v="Apartamento"/>
    <s v="Alquiler"/>
    <d v="2024-12-15T00:00:00"/>
    <x v="77"/>
    <s v="https://www.properati.com.pe/detalle/14032-32-7494-2cf5d25bb12a-b01b9fe7-aad6-4468"/>
  </r>
  <r>
    <s v="HabitaciÃ³n en alquiler en Ur. Pando V Etapa"/>
    <s v="Ur. Pando V Etapa"/>
    <x v="16"/>
    <s v="Lima"/>
    <x v="0"/>
    <n v="8"/>
    <n v="0.8"/>
    <x v="2"/>
    <n v="1"/>
    <x v="1"/>
    <s v="No"/>
    <n v="20"/>
    <x v="9"/>
    <s v="Economico"/>
    <s v="Precio Estadar"/>
    <s v="HabitaciÃ³n"/>
    <s v="Alquiler"/>
    <d v="2023-05-02T00:00:00"/>
    <x v="66"/>
    <s v="https://www.properati.com.pe/detalle/14032-32-c4a3-f0cc8376ba2a-93d1bf47-a875-41dd"/>
  </r>
  <r>
    <s v="HabitaciÃ³n en alquiler en Ur. Pando V Etapa"/>
    <s v="Ur. Pando V Etapa"/>
    <x v="16"/>
    <s v="Lima"/>
    <x v="0"/>
    <n v="5"/>
    <n v="0.5"/>
    <x v="2"/>
    <n v="1"/>
    <x v="0"/>
    <s v="No"/>
    <n v="8"/>
    <x v="9"/>
    <s v="Economico"/>
    <s v="Precio Estadar"/>
    <s v="HabitaciÃ³n"/>
    <s v="Alquiler"/>
    <d v="2023-12-22T00:00:00"/>
    <x v="66"/>
    <s v="https://www.properati.com.pe/detalle/14032-32-f4c1-d3fec18c18c6-8612b3a9-b846-465c"/>
  </r>
  <r>
    <s v="HabitaciÃ³n en alquiler en Ur. Pando V Etapa"/>
    <s v="Ur. Pando V Etapa"/>
    <x v="16"/>
    <s v="Lima"/>
    <x v="0"/>
    <n v="6"/>
    <n v="0.60000000000000009"/>
    <x v="2"/>
    <n v="1"/>
    <x v="1"/>
    <s v="No"/>
    <n v="18"/>
    <x v="9"/>
    <s v="Economico"/>
    <s v="Precio Estadar"/>
    <s v="HabitaciÃ³n"/>
    <s v="Alquiler"/>
    <d v="2024-07-12T00:00:00"/>
    <x v="66"/>
    <s v="https://www.properati.com.pe/detalle/14032-32-d9d8-9a88ea2c512b-e09d9e81-a58f-48a2"/>
  </r>
  <r>
    <s v="Apartamento en alquiler en Ur. La Planicie"/>
    <s v="Ur. La Planicie"/>
    <x v="24"/>
    <s v="Lima"/>
    <x v="0"/>
    <n v="3885"/>
    <n v="388.5"/>
    <x v="4"/>
    <n v="3"/>
    <x v="0"/>
    <s v="Sí"/>
    <n v="124"/>
    <x v="19"/>
    <s v="Caro"/>
    <s v="Precio Estadar"/>
    <s v="Apartamento"/>
    <s v="Alquiler"/>
    <d v="2023-04-03T00:00:00"/>
    <x v="66"/>
    <s v="https://www.properati.com.pe/detalle/14032-32-6156-5459dc0f56bf-15ca7353-b85a-4894"/>
  </r>
  <r>
    <s v="Apartamento en alquiler en Co. El Pacifico"/>
    <s v="Co. El Pacifico"/>
    <x v="28"/>
    <s v="Lima"/>
    <x v="0"/>
    <n v="1000"/>
    <n v="100"/>
    <x v="1"/>
    <n v="2"/>
    <x v="1"/>
    <s v="No"/>
    <n v="60"/>
    <x v="11"/>
    <s v="Economico"/>
    <s v="Precio Estadar"/>
    <s v="Apartamento"/>
    <s v="Alquiler"/>
    <d v="2024-10-15T00:00:00"/>
    <x v="66"/>
    <s v="https://www.properati.com.pe/detalle/14032-32-dffe-9baff6b3dae1-5258bc6-bc63-4816"/>
  </r>
  <r>
    <s v="HabitaciÃ³n en alquiler en Ur. Pando V Etapa"/>
    <s v="Ur. Pando V Etapa"/>
    <x v="16"/>
    <s v="Lima"/>
    <x v="0"/>
    <n v="55"/>
    <n v="5.5"/>
    <x v="2"/>
    <n v="1"/>
    <x v="1"/>
    <s v="Sí"/>
    <n v="15"/>
    <x v="9"/>
    <s v="Economico"/>
    <s v="Precio Estadar"/>
    <s v="HabitaciÃ³n"/>
    <s v="Alquiler"/>
    <d v="2023-09-27T00:00:00"/>
    <x v="66"/>
    <s v="https://www.properati.com.pe/detalle/14032-32-ce2-68463b3b3849-3026fc79-b49f-4bd2"/>
  </r>
  <r>
    <s v="Apartamento en alquiler en Sd. S/N"/>
    <s v="Sd. S/N"/>
    <x v="19"/>
    <s v="Lima"/>
    <x v="0"/>
    <n v="7"/>
    <n v="0.70000000000000007"/>
    <x v="1"/>
    <n v="1"/>
    <x v="1"/>
    <s v="Sí"/>
    <n v="58"/>
    <x v="1"/>
    <s v="Economico"/>
    <s v="Precio Estadar"/>
    <s v="Apartamento"/>
    <s v="Alquiler"/>
    <d v="2023-09-11T00:00:00"/>
    <x v="66"/>
    <s v="https://www.properati.com.pe/detalle/14032-32-977f-7a4ada1c9871-93d946dc-bce0-4a27"/>
  </r>
  <r>
    <s v="HabitaciÃ³n en alquiler en Ur. Pando V Etapa"/>
    <s v="Ur. Pando V Etapa"/>
    <x v="16"/>
    <s v="Lima"/>
    <x v="0"/>
    <n v="8"/>
    <n v="0.8"/>
    <x v="2"/>
    <n v="1"/>
    <x v="1"/>
    <s v="No"/>
    <n v="24"/>
    <x v="9"/>
    <s v="Economico"/>
    <s v="Precio Estadar"/>
    <s v="HabitaciÃ³n"/>
    <s v="Alquiler"/>
    <d v="2023-09-05T00:00:00"/>
    <x v="66"/>
    <s v="https://www.properati.com.pe/detalle/14032-32-2b9e-2ac0bbb905a0-6873cf5d-bde9-45f3"/>
  </r>
  <r>
    <s v="Apartamento en alquiler en Carabayllo"/>
    <s v="Carabayllo"/>
    <x v="5"/>
    <s v="Lima"/>
    <x v="0"/>
    <n v="75"/>
    <n v="7.5"/>
    <x v="1"/>
    <n v="2"/>
    <x v="1"/>
    <s v="No"/>
    <n v="70"/>
    <x v="3"/>
    <s v="Economico"/>
    <s v="Precio Estadar"/>
    <s v="Apartamento"/>
    <s v="Alquiler"/>
    <d v="2024-05-26T00:00:00"/>
    <x v="66"/>
    <s v="https://www.properati.com.pe/detalle/14032-32-cc9-a45707ecf165-607af432-8794-4191"/>
  </r>
  <r>
    <s v="Apartamento en alquiler en Carabayllo"/>
    <s v="Carabayllo"/>
    <x v="5"/>
    <s v="Lima"/>
    <x v="0"/>
    <n v="6"/>
    <n v="0.60000000000000009"/>
    <x v="0"/>
    <n v="1"/>
    <x v="0"/>
    <s v="Sí"/>
    <n v="65"/>
    <x v="3"/>
    <s v="Economico"/>
    <s v="Precio Estadar"/>
    <s v="Apartamento"/>
    <s v="Alquiler"/>
    <d v="2024-07-10T00:00:00"/>
    <x v="66"/>
    <s v="https://www.properati.com.pe/detalle/14032-32-7323-7128994db1bf-bf56fdef-8afa-4dfb"/>
  </r>
  <r>
    <s v="Casa en alquiler en Ur. Risso"/>
    <s v="Ur. Risso"/>
    <x v="3"/>
    <s v="Lima"/>
    <x v="0"/>
    <n v="12950"/>
    <n v="1295"/>
    <x v="8"/>
    <n v="4"/>
    <x v="0"/>
    <s v="Sí"/>
    <n v="350"/>
    <x v="32"/>
    <s v="Caro"/>
    <s v="Precio Estadar"/>
    <s v="Casa"/>
    <s v="Alquiler"/>
    <d v="2023-09-02T00:00:00"/>
    <x v="66"/>
    <s v="https://www.properati.com.pe/detalle/14032-32-bdc2-b1a21ca9c90c-bed2c5a6-ac0c-417e"/>
  </r>
  <r>
    <s v="Apartamento en alquiler en Ur. La Alborada Ii Etapa"/>
    <s v="Ur. La Alborada Ii Etapa"/>
    <x v="9"/>
    <s v="Lima"/>
    <x v="0"/>
    <n v="8"/>
    <n v="0.8"/>
    <x v="1"/>
    <n v="1"/>
    <x v="0"/>
    <s v="No"/>
    <n v="60"/>
    <x v="17"/>
    <s v="Economico"/>
    <s v="Precio Estadar"/>
    <s v="Apartamento"/>
    <s v="Alquiler"/>
    <d v="2024-09-30T00:00:00"/>
    <x v="66"/>
    <s v="https://www.properati.com.pe/detalle/14032-32-bcfa-10c33d2eac9e-8e755e25-97f1-490c"/>
  </r>
  <r>
    <s v="Apartamento en alquiler en Ur. Ingenieria"/>
    <s v="Ur. Ingenieria"/>
    <x v="28"/>
    <s v="Lima"/>
    <x v="0"/>
    <n v="88"/>
    <n v="8.8000000000000007"/>
    <x v="1"/>
    <n v="2"/>
    <x v="1"/>
    <s v="No"/>
    <n v="40"/>
    <x v="19"/>
    <s v="Economico"/>
    <s v="Precio Estadar"/>
    <s v="Apartamento"/>
    <s v="Alquiler"/>
    <d v="2023-11-30T00:00:00"/>
    <x v="66"/>
    <s v="https://www.properati.com.pe/detalle/14032-32-2544-cb5dc039adc3-fdf2bdae-a917-4326"/>
  </r>
  <r>
    <s v="Apartamento en alquiler en Ur. Prolongacion Benavides"/>
    <s v="Ur. Prolongacion Benavides"/>
    <x v="4"/>
    <s v="Lima"/>
    <x v="0"/>
    <n v="2000"/>
    <n v="200"/>
    <x v="1"/>
    <n v="2"/>
    <x v="0"/>
    <s v="No"/>
    <n v="75"/>
    <x v="17"/>
    <s v="Economico"/>
    <s v="Precio Estadar"/>
    <s v="Apartamento"/>
    <s v="Alquiler"/>
    <d v="2024-04-07T00:00:00"/>
    <x v="66"/>
    <s v="https://www.properati.com.pe/detalle/14032-32-effb-668b90a486c6-1088c5eb-8c03-4afe"/>
  </r>
  <r>
    <s v="Casa en alquiler en Ur. Jacaranda"/>
    <s v="Ur. Jacaranda"/>
    <x v="11"/>
    <s v="Lima"/>
    <x v="0"/>
    <n v="6660"/>
    <n v="666"/>
    <x v="1"/>
    <n v="3"/>
    <x v="0"/>
    <s v="Sí"/>
    <n v="250"/>
    <x v="33"/>
    <s v="Caro"/>
    <s v="Precio Estadar"/>
    <s v="Casa"/>
    <s v="Alquiler"/>
    <d v="2023-12-18T00:00:00"/>
    <x v="66"/>
    <s v="https://www.properati.com.pe/detalle/14032-32-80ac-4eb48396460d-83674852-92aa-425a"/>
  </r>
  <r>
    <s v="Apartamento en alquiler en Hu. Cercado DeMiraflores"/>
    <s v="Hu. Cercado DeMiraflores"/>
    <x v="0"/>
    <s v="Lima"/>
    <x v="0"/>
    <n v="3700"/>
    <n v="370"/>
    <x v="1"/>
    <n v="2"/>
    <x v="0"/>
    <s v="Sí"/>
    <n v="125"/>
    <x v="28"/>
    <s v="Caro"/>
    <s v="Precio Estadar"/>
    <s v="Apartamento"/>
    <s v="Alquiler"/>
    <d v="2023-10-26T00:00:00"/>
    <x v="36"/>
    <s v="https://www.properati.com.pe/detalle/14032-32-c59e-6af57e34eca1-18053513-8ad0-4d02"/>
  </r>
  <r>
    <s v="Apartamento en alquiler en Ur. Balta"/>
    <s v="Ur. Balta"/>
    <x v="0"/>
    <s v="Lima"/>
    <x v="0"/>
    <n v="2200"/>
    <n v="220"/>
    <x v="2"/>
    <n v="1"/>
    <x v="0"/>
    <s v="No"/>
    <n v="55"/>
    <x v="17"/>
    <s v="Economico"/>
    <s v="Precio Estadar"/>
    <s v="Apartamento"/>
    <s v="Alquiler"/>
    <d v="2023-05-01T00:00:00"/>
    <x v="78"/>
    <s v="https://www.properati.com.pe/detalle/14032-32-85a7-b3c861d3a2b7-927fe6c4-bf75-4f73"/>
  </r>
  <r>
    <s v="Apartamento en alquiler en Ur. San Isidro"/>
    <s v="Ur. San Isidro"/>
    <x v="7"/>
    <s v="Lima"/>
    <x v="0"/>
    <n v="5550"/>
    <n v="555"/>
    <x v="0"/>
    <n v="3"/>
    <x v="0"/>
    <s v="No"/>
    <n v="183"/>
    <x v="13"/>
    <s v="Caro"/>
    <s v="Precio Estadar"/>
    <s v="Apartamento"/>
    <s v="Alquiler"/>
    <d v="2023-05-24T00:00:00"/>
    <x v="33"/>
    <s v="https://www.properati.com.pe/detalle/14032-32-eaa9-823454b5b116-af290f4c-bd52-417a"/>
  </r>
  <r>
    <s v="Casa en alquiler en Sachaca"/>
    <s v="Sachaca"/>
    <x v="1"/>
    <s v="Arequipa "/>
    <x v="3"/>
    <n v="3500"/>
    <n v="175"/>
    <x v="1"/>
    <n v="4"/>
    <x v="0"/>
    <s v="No"/>
    <n v="800"/>
    <x v="19"/>
    <s v="Caro"/>
    <s v="Precio Estadar"/>
    <s v="Casa"/>
    <s v="Alquiler"/>
    <d v="2024-08-12T00:00:00"/>
    <x v="79"/>
    <s v="https://www.properati.com.pe/detalle/14032-32-6ce4-77955d857a53-b473c850-a9e9-120d"/>
  </r>
  <r>
    <s v="Casa en alquiler en Ur. Valle Hermoso Este"/>
    <s v="Ur. Valle Hermoso Este"/>
    <x v="4"/>
    <s v="Lima"/>
    <x v="0"/>
    <n v="7030"/>
    <n v="703"/>
    <x v="4"/>
    <n v="3"/>
    <x v="0"/>
    <s v="Sí"/>
    <n v="280"/>
    <x v="34"/>
    <s v="Caro"/>
    <s v="Precio Estadar"/>
    <s v="Casa"/>
    <s v="Alquiler"/>
    <d v="2023-02-24T00:00:00"/>
    <x v="80"/>
    <s v="https://www.properati.com.pe/detalle/14032-32-646a-7cf8e73d21d3-87a59781-af76-4e28"/>
  </r>
  <r>
    <s v="Apartamento en alquiler en Ur. Balta"/>
    <s v="Ur. Balta"/>
    <x v="0"/>
    <s v="Lima"/>
    <x v="0"/>
    <n v="2553"/>
    <n v="255.3"/>
    <x v="0"/>
    <n v="2"/>
    <x v="1"/>
    <s v="Sí"/>
    <n v="60"/>
    <x v="0"/>
    <s v="Caro"/>
    <s v="Precio Estadar"/>
    <s v="Apartamento"/>
    <s v="Alquiler"/>
    <d v="2024-02-17T00:00:00"/>
    <x v="81"/>
    <s v="https://www.properati.com.pe/detalle/14032-32-ba40-e43e7527e994-decba1fd-9a35-456b"/>
  </r>
  <r>
    <s v="Apartamento en alquiler en Ur. Balta"/>
    <s v="Ur. Balta"/>
    <x v="0"/>
    <s v="Lima"/>
    <x v="0"/>
    <n v="3700"/>
    <n v="370"/>
    <x v="1"/>
    <n v="4"/>
    <x v="1"/>
    <s v="No"/>
    <n v="120"/>
    <x v="12"/>
    <s v="Caro"/>
    <s v="Precio Estadar"/>
    <s v="Apartamento"/>
    <s v="Alquiler"/>
    <d v="2024-08-16T00:00:00"/>
    <x v="10"/>
    <s v="https://www.properati.com.pe/detalle/14032-32-1abc-d574af44a7b-471bcff5-ae70-4ef2"/>
  </r>
  <r>
    <s v="Apartamento en alquiler en Ur. Balta"/>
    <s v="Ur. Balta"/>
    <x v="0"/>
    <s v="Lima"/>
    <x v="0"/>
    <n v="3700"/>
    <n v="370"/>
    <x v="1"/>
    <n v="4"/>
    <x v="0"/>
    <s v="Sí"/>
    <n v="120"/>
    <x v="12"/>
    <s v="Caro"/>
    <s v="Precio Estadar"/>
    <s v="Apartamento"/>
    <s v="Alquiler"/>
    <d v="2023-05-21T00:00:00"/>
    <x v="10"/>
    <s v="https://www.properati.com.pe/detalle/14032-32-5f34-2cb9cb9de99-94233060-b7d5-4099"/>
  </r>
  <r>
    <s v="Apartamento en alquiler en Ur. Balta"/>
    <s v="Ur. Balta"/>
    <x v="0"/>
    <s v="Lima"/>
    <x v="0"/>
    <n v="3700"/>
    <n v="370"/>
    <x v="1"/>
    <n v="4"/>
    <x v="0"/>
    <s v="Sí"/>
    <n v="120"/>
    <x v="12"/>
    <s v="Caro"/>
    <s v="Precio Estadar"/>
    <s v="Apartamento"/>
    <s v="Alquiler"/>
    <d v="2024-01-20T00:00:00"/>
    <x v="10"/>
    <s v="https://www.properati.com.pe/detalle/14032-32-dc8e-bd09dfbec13e-9117ab38-b075-46cd"/>
  </r>
  <r>
    <s v="Apartamento en alquiler en Punta Negra"/>
    <s v="Punta Negra"/>
    <x v="5"/>
    <s v="Lima"/>
    <x v="0"/>
    <n v="1450"/>
    <n v="145"/>
    <x v="0"/>
    <n v="2"/>
    <x v="1"/>
    <s v="Sí"/>
    <n v="46"/>
    <x v="9"/>
    <s v="Economico"/>
    <s v="Precio Estadar"/>
    <s v="Apartamento"/>
    <s v="Alquiler"/>
    <d v="2024-09-15T00:00:00"/>
    <x v="58"/>
    <s v="https://www.properati.com.pe/detalle/14032-32-5d84-d91f4423ebfc-a989bf0f-9fd2-4253"/>
  </r>
  <r>
    <s v="Apartamento en alquiler en Ur. Santa Ines"/>
    <s v="Ur. Santa Ines"/>
    <x v="7"/>
    <s v="Lima"/>
    <x v="0"/>
    <n v="5550"/>
    <n v="555"/>
    <x v="1"/>
    <n v="3"/>
    <x v="0"/>
    <s v="No"/>
    <n v="175"/>
    <x v="13"/>
    <s v="Caro"/>
    <s v="Precio Estadar"/>
    <s v="Apartamento"/>
    <s v="Alquiler"/>
    <d v="2023-06-25T00:00:00"/>
    <x v="82"/>
    <s v="https://www.properati.com.pe/detalle/14032-32-b545-bde684e638e9-6c4ce74a-a458-4739"/>
  </r>
  <r>
    <s v="Apartamento en alquiler en Ur. San Cesar Etapa I"/>
    <s v="Ur. San Cesar Etapa I"/>
    <x v="21"/>
    <s v="Lima"/>
    <x v="0"/>
    <n v="4440"/>
    <n v="444"/>
    <x v="0"/>
    <n v="3"/>
    <x v="0"/>
    <s v="No"/>
    <n v="124"/>
    <x v="27"/>
    <s v="Caro"/>
    <s v="Precio Estadar"/>
    <s v="Apartamento"/>
    <s v="Alquiler"/>
    <d v="2024-05-23T00:00:00"/>
    <x v="83"/>
    <s v="https://www.properati.com.pe/detalle/14032-32-2be3-e5d8b3e62770-4f45264-b50c-4b0d"/>
  </r>
  <r>
    <s v="Apartamento en alquiler en Ur. Orrantia Del Mar"/>
    <s v="Ur. Orrantia Del Mar"/>
    <x v="7"/>
    <s v="Lima"/>
    <x v="0"/>
    <n v="1700"/>
    <n v="170"/>
    <x v="2"/>
    <n v="1"/>
    <x v="1"/>
    <s v="No"/>
    <n v="40"/>
    <x v="30"/>
    <s v="Economico"/>
    <s v="Precio Estadar"/>
    <s v="Apartamento"/>
    <s v="Alquiler"/>
    <d v="2023-07-12T00:00:00"/>
    <x v="84"/>
    <s v="https://www.properati.com.pe/detalle/14032-32-8a7c-1c11ba48cc18-81dd7f90-89f5-44fe"/>
  </r>
  <r>
    <s v="Casa de playa en alquiler en Hu. Rivera Norte"/>
    <s v="Hu. Rivera Norte"/>
    <x v="31"/>
    <s v="Lima"/>
    <x v="0"/>
    <n v="20350"/>
    <n v="2035"/>
    <x v="6"/>
    <n v="5"/>
    <x v="1"/>
    <s v="No"/>
    <n v="200"/>
    <x v="10"/>
    <s v="Caro"/>
    <s v="Precio Estadar"/>
    <s v="Casa de playa"/>
    <s v="Alquiler"/>
    <d v="2024-11-01T00:00:00"/>
    <x v="58"/>
    <s v="https://www.properati.com.pe/detalle/14032-32-8b71-27fc0d1436f-51e09056-8231-455d"/>
  </r>
  <r>
    <s v="Apartamento en alquiler en Ur. Maranga Etapa Iv"/>
    <s v="Ur. Maranga Etapa Iv"/>
    <x v="16"/>
    <s v="Lima"/>
    <x v="0"/>
    <n v="1600"/>
    <n v="160"/>
    <x v="0"/>
    <n v="1"/>
    <x v="1"/>
    <s v="No"/>
    <n v="90"/>
    <x v="2"/>
    <s v="Economico"/>
    <s v="Precio Estadar"/>
    <s v="Apartamento"/>
    <s v="Alquiler"/>
    <d v="2023-06-15T00:00:00"/>
    <x v="85"/>
    <s v="https://www.properati.com.pe/detalle/14032-32-fec7-9bcda504b860-944b4897-bcae-5003"/>
  </r>
  <r>
    <s v="Apartamento en alquiler en Ah. Totorita"/>
    <s v="Ah. Totorita"/>
    <x v="6"/>
    <s v="Lima"/>
    <x v="0"/>
    <n v="1100"/>
    <n v="110"/>
    <x v="0"/>
    <n v="1"/>
    <x v="1"/>
    <s v="No"/>
    <n v="51"/>
    <x v="3"/>
    <s v="Economico"/>
    <s v="Precio Estadar"/>
    <s v="Apartamento"/>
    <s v="Alquiler"/>
    <d v="2023-03-13T00:00:00"/>
    <x v="33"/>
    <s v="https://www.properati.com.pe/detalle/14032-32-50b6-4e78439653be-f09d925c-af70-4691"/>
  </r>
  <r>
    <s v="Apartamento en alquiler en Rimac"/>
    <s v="Rimac"/>
    <x v="5"/>
    <s v="Lima"/>
    <x v="0"/>
    <n v="1500"/>
    <n v="150"/>
    <x v="0"/>
    <n v="2"/>
    <x v="0"/>
    <s v="Sí"/>
    <n v="65"/>
    <x v="3"/>
    <s v="Economico"/>
    <s v="Precio Estadar"/>
    <s v="Apartamento"/>
    <s v="Alquiler"/>
    <d v="2024-11-27T00:00:00"/>
    <x v="33"/>
    <s v="https://www.properati.com.pe/detalle/14032-32-fb76-a9840a852a2a-d1910a47-b5b1-49b1"/>
  </r>
  <r>
    <s v="Apartamento en alquiler en Ur. El Derby"/>
    <s v="Ur. El Derby"/>
    <x v="4"/>
    <s v="Lima"/>
    <x v="0"/>
    <n v="2775"/>
    <n v="277.5"/>
    <x v="0"/>
    <n v="2"/>
    <x v="0"/>
    <s v="Sí"/>
    <n v="70"/>
    <x v="9"/>
    <s v="Caro"/>
    <s v="Precio Estadar"/>
    <s v="Apartamento"/>
    <s v="Alquiler"/>
    <d v="2024-06-25T00:00:00"/>
    <x v="86"/>
    <s v="https://www.properati.com.pe/detalle/14032-32-b0df-4e5bf22aefba-328c3f30-a1bc-4482"/>
  </r>
  <r>
    <s v="Casa en alquiler en Ur. San Joaquin"/>
    <s v="Ur. San Joaquin"/>
    <x v="32"/>
    <s v=" Callao"/>
    <x v="2"/>
    <n v="6800"/>
    <n v="340"/>
    <x v="4"/>
    <n v="4"/>
    <x v="1"/>
    <s v="No"/>
    <n v="500"/>
    <x v="15"/>
    <s v="Caro"/>
    <s v="Precio Estadar"/>
    <s v="Casa"/>
    <s v="Alquiler"/>
    <d v="2024-07-24T00:00:00"/>
    <x v="87"/>
    <s v="https://www.properati.com.pe/detalle/14032-32-9913-ebc519e8200c-42b07e14-b5a0-4855"/>
  </r>
  <r>
    <s v="Apartamento en alquiler en Ur. El Derby"/>
    <s v="Ur. El Derby"/>
    <x v="4"/>
    <s v="Lima"/>
    <x v="0"/>
    <n v="2775"/>
    <n v="277.5"/>
    <x v="0"/>
    <n v="2"/>
    <x v="1"/>
    <s v="Sí"/>
    <n v="70"/>
    <x v="9"/>
    <s v="Caro"/>
    <s v="Precio Estadar"/>
    <s v="Apartamento"/>
    <s v="Alquiler"/>
    <d v="2024-07-19T00:00:00"/>
    <x v="86"/>
    <s v="https://www.properati.com.pe/detalle/14032-32-2732-1baec3acc30a-4a16d6cb-a582-4075"/>
  </r>
  <r>
    <s v="Apartamento en alquiler en Ur. Orrantia Del Mar"/>
    <s v="Ur. Orrantia Del Mar"/>
    <x v="7"/>
    <s v="Lima"/>
    <x v="0"/>
    <n v="3515"/>
    <n v="351.5"/>
    <x v="1"/>
    <n v="2"/>
    <x v="1"/>
    <s v="No"/>
    <n v="100"/>
    <x v="30"/>
    <s v="Caro"/>
    <s v="Precio Estadar"/>
    <s v="Apartamento"/>
    <s v="Alquiler"/>
    <d v="2024-01-16T00:00:00"/>
    <x v="74"/>
    <s v="https://www.properati.com.pe/detalle/14032-32-5e28-996bb85253b2-886857fc-8eac-4d5c"/>
  </r>
  <r>
    <s v="Apartamento en alquiler en La Victoria"/>
    <s v="La Victoria"/>
    <x v="5"/>
    <s v="Lima"/>
    <x v="0"/>
    <n v="2400"/>
    <n v="240"/>
    <x v="0"/>
    <n v="2"/>
    <x v="0"/>
    <s v="Sí"/>
    <n v="60"/>
    <x v="9"/>
    <s v="Economico"/>
    <s v="Precio Estadar"/>
    <s v="Apartamento"/>
    <s v="Alquiler"/>
    <d v="2024-06-17T00:00:00"/>
    <x v="55"/>
    <s v="https://www.properati.com.pe/detalle/14032-32-6931-53ad62bdd577-a65639bd-bd32-3c00"/>
  </r>
  <r>
    <s v="Apartamento en alquiler en La Victoria"/>
    <s v="La Victoria"/>
    <x v="5"/>
    <s v="Lima"/>
    <x v="0"/>
    <n v="1700"/>
    <n v="170"/>
    <x v="2"/>
    <n v="1"/>
    <x v="0"/>
    <s v="Sí"/>
    <n v="36"/>
    <x v="9"/>
    <s v="Economico"/>
    <s v="Precio Estadar"/>
    <s v="Apartamento"/>
    <s v="Alquiler"/>
    <d v="2024-05-24T00:00:00"/>
    <x v="55"/>
    <s v="https://www.properati.com.pe/detalle/14032-32-c05b-ea14df1cbf88-fa28c150-a74f-3b1c"/>
  </r>
  <r>
    <s v="Apartamento en alquiler en Hu. Cercado DeMiraflores"/>
    <s v="Hu. Cercado DeMiraflores"/>
    <x v="0"/>
    <s v="Lima"/>
    <x v="0"/>
    <n v="3213"/>
    <n v="321.3"/>
    <x v="0"/>
    <n v="3"/>
    <x v="0"/>
    <s v="Sí"/>
    <n v="125"/>
    <x v="35"/>
    <s v="Caro"/>
    <s v="Precio Estadar"/>
    <s v="Apartamento"/>
    <s v="Alquiler"/>
    <d v="2024-08-31T00:00:00"/>
    <x v="88"/>
    <s v="https://www.properati.com.pe/detalle/14032-32-662b-cc5836dea45b-43710f55-b421-3aa3"/>
  </r>
  <r>
    <s v="Apartamento en alquiler en Cerro Colorado"/>
    <s v="Cerro Colorado"/>
    <x v="1"/>
    <s v="Arequipa "/>
    <x v="3"/>
    <n v="1900"/>
    <n v="95"/>
    <x v="1"/>
    <n v="4"/>
    <x v="1"/>
    <s v="Sí"/>
    <n v="108"/>
    <x v="3"/>
    <s v="Economico"/>
    <s v="Precio Estadar"/>
    <s v="Apartamento"/>
    <s v="Alquiler"/>
    <d v="2024-07-30T00:00:00"/>
    <x v="55"/>
    <s v="https://www.properati.com.pe/detalle/14032-32-83dc-3eff7823112-b283b2eb-b102-3838"/>
  </r>
  <r>
    <s v="Apartamento en alquiler en Ur. Oyague"/>
    <s v="Ur. Oyague"/>
    <x v="25"/>
    <s v="Lima"/>
    <x v="0"/>
    <n v="2300"/>
    <n v="230"/>
    <x v="0"/>
    <n v="2"/>
    <x v="1"/>
    <s v="Sí"/>
    <n v="70"/>
    <x v="2"/>
    <s v="Economico"/>
    <s v="Precio Estadar"/>
    <s v="Apartamento"/>
    <s v="Alquiler"/>
    <d v="2023-03-07T00:00:00"/>
    <x v="88"/>
    <s v="https://www.properati.com.pe/detalle/14032-32-c90c-655c1dbb7f80-b7bb4464-8f82-3e82"/>
  </r>
  <r>
    <s v="Apartamento en alquiler en Ur.Limatambo"/>
    <s v="Ur.Limatambo"/>
    <x v="7"/>
    <s v="Lima"/>
    <x v="0"/>
    <n v="3400"/>
    <n v="340"/>
    <x v="0"/>
    <n v="2"/>
    <x v="0"/>
    <s v="Sí"/>
    <n v="86"/>
    <x v="6"/>
    <s v="Caro"/>
    <s v="Precio Estadar"/>
    <s v="Apartamento"/>
    <s v="Alquiler"/>
    <d v="2024-09-06T00:00:00"/>
    <x v="89"/>
    <s v="https://www.properati.com.pe/detalle/14032-32-3f2b-e6bcc73bc11b-333b93b-bddb-3f78"/>
  </r>
  <r>
    <s v="Apartamento en alquiler en Ur. Los Recaudadores"/>
    <s v="Ur. Los Recaudadores"/>
    <x v="18"/>
    <s v="Lima"/>
    <x v="0"/>
    <n v="2200"/>
    <n v="220"/>
    <x v="1"/>
    <n v="2"/>
    <x v="1"/>
    <s v="No"/>
    <n v="85"/>
    <x v="5"/>
    <s v="Economico"/>
    <s v="Precio Estadar"/>
    <s v="Apartamento"/>
    <s v="Alquiler"/>
    <d v="2024-11-24T00:00:00"/>
    <x v="29"/>
    <s v="https://www.properati.com.pe/detalle/14032-32-1cbe-bc6010987191-2cfde5d3-83da-4d65"/>
  </r>
  <r>
    <s v="Apartamento en alquiler en Sd. S/N"/>
    <s v="Sd. S/N"/>
    <x v="13"/>
    <s v="Lima"/>
    <x v="0"/>
    <n v="3663"/>
    <n v="366.3"/>
    <x v="1"/>
    <n v="3"/>
    <x v="1"/>
    <s v="No"/>
    <n v="106"/>
    <x v="3"/>
    <s v="Caro"/>
    <s v="Precio Estadar"/>
    <s v="Apartamento"/>
    <s v="Alquiler"/>
    <d v="2023-11-27T00:00:00"/>
    <x v="29"/>
    <s v="https://www.properati.com.pe/detalle/14032-32-6e07-f27f9f70a6ed-1eb11940-926c-40a6"/>
  </r>
  <r>
    <s v="Apartamento en alquiler en Santa Cruz"/>
    <s v="Santa Cruz"/>
    <x v="33"/>
    <s v="Lima"/>
    <x v="0"/>
    <n v="2775"/>
    <n v="277.5"/>
    <x v="1"/>
    <n v="2"/>
    <x v="0"/>
    <s v="No"/>
    <n v="80"/>
    <x v="20"/>
    <s v="Caro"/>
    <s v="Precio Estadar"/>
    <s v="Apartamento"/>
    <s v="Alquiler"/>
    <d v="2023-01-29T00:00:00"/>
    <x v="86"/>
    <s v="https://www.properati.com.pe/detalle/14032-32-3291-5153393fa53c-87c1d546-badf-43d6"/>
  </r>
  <r>
    <s v="Apartamento en alquiler en Ur. Maranga Etapa Iii"/>
    <s v="Ur. Maranga Etapa Iii"/>
    <x v="16"/>
    <s v="Lima"/>
    <x v="0"/>
    <n v="1400"/>
    <n v="140"/>
    <x v="0"/>
    <n v="1"/>
    <x v="1"/>
    <s v="Sí"/>
    <n v="70"/>
    <x v="19"/>
    <s v="Economico"/>
    <s v="Precio Estadar"/>
    <s v="Apartamento"/>
    <s v="Alquiler"/>
    <d v="2024-05-29T00:00:00"/>
    <x v="90"/>
    <s v="https://www.properati.com.pe/detalle/14032-32-7b7d-dad5ccf57619-761be31b-bc96-501e"/>
  </r>
  <r>
    <s v="Apartamento en alquiler en Ur. Santa Cruz"/>
    <s v="Ur. Santa Cruz"/>
    <x v="0"/>
    <s v="Lima"/>
    <x v="0"/>
    <n v="4070"/>
    <n v="407"/>
    <x v="2"/>
    <n v="1"/>
    <x v="1"/>
    <s v="Sí"/>
    <n v="120"/>
    <x v="6"/>
    <s v="Caro"/>
    <s v="Precio Estadar"/>
    <s v="Apartamento"/>
    <s v="Alquiler"/>
    <d v="2024-01-23T00:00:00"/>
    <x v="6"/>
    <s v="https://www.properati.com.pe/detalle/14032-32-94e4-7400017644e-fc22b402-9a0f-45d8"/>
  </r>
  <r>
    <s v="Casa en alquiler en Santa Cruz de Flores"/>
    <s v="Santa Cruz de Flores"/>
    <x v="34"/>
    <s v="Lima"/>
    <x v="0"/>
    <n v="3000"/>
    <n v="300"/>
    <x v="4"/>
    <n v="5"/>
    <x v="0"/>
    <s v="Sí"/>
    <n v="1400"/>
    <x v="2"/>
    <s v="Caro"/>
    <s v="Precio Estadar"/>
    <s v="Casa"/>
    <s v="Alquiler"/>
    <d v="2024-11-20T00:00:00"/>
    <x v="16"/>
    <s v="https://www.properati.com.pe/detalle/14032-32-d998-c7bcf6ab6cda-ea662900-b0f7-120d"/>
  </r>
  <r>
    <s v="Apartamento en alquiler en Ur. Santa Cruz"/>
    <s v="Ur. Santa Cruz"/>
    <x v="0"/>
    <s v="Lima"/>
    <x v="0"/>
    <n v="5365"/>
    <n v="536.5"/>
    <x v="0"/>
    <n v="3"/>
    <x v="1"/>
    <s v="Sí"/>
    <n v="121"/>
    <x v="23"/>
    <s v="Caro"/>
    <s v="Precio Estadar"/>
    <s v="Apartamento"/>
    <s v="Alquiler"/>
    <d v="2023-02-01T00:00:00"/>
    <x v="51"/>
    <s v="https://www.properati.com.pe/detalle/14032-32-13bc-c9853a53d7e2-d25f18e2-88e3-459f"/>
  </r>
  <r>
    <s v="Apartamento en alquiler en Ur. El Derby"/>
    <s v="Ur. El Derby"/>
    <x v="4"/>
    <s v="Lima"/>
    <x v="0"/>
    <n v="2590"/>
    <n v="259"/>
    <x v="2"/>
    <n v="2"/>
    <x v="1"/>
    <s v="Sí"/>
    <n v="45"/>
    <x v="9"/>
    <s v="Caro"/>
    <s v="Precio Estadar"/>
    <s v="Apartamento"/>
    <s v="Alquiler"/>
    <d v="2023-01-21T00:00:00"/>
    <x v="91"/>
    <s v="https://www.properati.com.pe/detalle/14032-32-6962-21062d9166b3-8e1616a-8086-4dfa"/>
  </r>
  <r>
    <s v="Apartamento en alquiler en Ur. S/N"/>
    <s v="Ur. S/N"/>
    <x v="3"/>
    <s v="Lima"/>
    <x v="0"/>
    <n v="1800"/>
    <n v="180"/>
    <x v="0"/>
    <n v="1"/>
    <x v="1"/>
    <s v="No"/>
    <n v="65"/>
    <x v="2"/>
    <s v="Economico"/>
    <s v="Precio Estadar"/>
    <s v="Apartamento"/>
    <s v="Alquiler"/>
    <d v="2023-10-28T00:00:00"/>
    <x v="92"/>
    <s v="https://www.properati.com.pe/detalle/14032-32-551b-37dc49682ef8-778e8f6c-aace-4125"/>
  </r>
  <r>
    <s v="Apartamento en alquiler en Ur. El Derby"/>
    <s v="Ur. El Derby"/>
    <x v="4"/>
    <s v="Lima"/>
    <x v="0"/>
    <n v="3300"/>
    <n v="330"/>
    <x v="0"/>
    <n v="2"/>
    <x v="1"/>
    <s v="Sí"/>
    <n v="60"/>
    <x v="9"/>
    <s v="Caro"/>
    <s v="Precio Estadar"/>
    <s v="Apartamento"/>
    <s v="Alquiler"/>
    <d v="2024-02-01T00:00:00"/>
    <x v="91"/>
    <s v="https://www.properati.com.pe/detalle/14032-32-fb6d-6bed5cfd8b41-643a90cd-b846-4cf9"/>
  </r>
  <r>
    <s v="Apartamento en alquiler en San Felipe"/>
    <s v="San Felipe"/>
    <x v="5"/>
    <s v="Lima"/>
    <x v="0"/>
    <n v="3700"/>
    <n v="370"/>
    <x v="0"/>
    <n v="3"/>
    <x v="0"/>
    <s v="Sí"/>
    <n v="126"/>
    <x v="16"/>
    <s v="Caro"/>
    <s v="Precio Estadar"/>
    <s v="Apartamento"/>
    <s v="Alquiler"/>
    <d v="2024-11-09T00:00:00"/>
    <x v="51"/>
    <s v="https://www.properati.com.pe/detalle/14032-32-63fa-d75a9032dfc7-a172e92c-aaf7-4bf0"/>
  </r>
  <r>
    <s v="Apartamento en alquiler en Ur. S/N"/>
    <s v="Ur. S/N"/>
    <x v="3"/>
    <s v="Lima"/>
    <x v="0"/>
    <n v="1900"/>
    <n v="190"/>
    <x v="0"/>
    <n v="1"/>
    <x v="1"/>
    <s v="No"/>
    <n v="65"/>
    <x v="2"/>
    <s v="Economico"/>
    <s v="Precio Estadar"/>
    <s v="Apartamento"/>
    <s v="Alquiler"/>
    <d v="2024-04-13T00:00:00"/>
    <x v="92"/>
    <s v="https://www.properati.com.pe/detalle/14032-32-6042-bc6cca06fe11-593f02bc-9a61-4aaa"/>
  </r>
  <r>
    <s v="Apartamento en alquiler en Ur. San Borja"/>
    <s v="Ur. San Borja"/>
    <x v="11"/>
    <s v="Lima"/>
    <x v="0"/>
    <n v="2405"/>
    <n v="240.5"/>
    <x v="0"/>
    <n v="2"/>
    <x v="1"/>
    <s v="Sí"/>
    <n v="60"/>
    <x v="27"/>
    <s v="Economico"/>
    <s v="Precio Estadar"/>
    <s v="Apartamento"/>
    <s v="Alquiler"/>
    <d v="2024-12-26T00:00:00"/>
    <x v="93"/>
    <s v="https://www.properati.com.pe/detalle/14032-32-878b-543a5f2e66a8-e680c195-9e6d-4d2e"/>
  </r>
  <r>
    <s v="Casa en alquiler en Ur. Primavera"/>
    <s v="Ur. Primavera"/>
    <x v="13"/>
    <s v="Lima"/>
    <x v="0"/>
    <n v="4440"/>
    <n v="444"/>
    <x v="4"/>
    <n v="2"/>
    <x v="1"/>
    <s v="No"/>
    <n v="80"/>
    <x v="36"/>
    <s v="Caro"/>
    <s v="Precio Estadar"/>
    <s v="Casa"/>
    <s v="Alquiler"/>
    <d v="2024-06-13T00:00:00"/>
    <x v="10"/>
    <s v="https://www.properati.com.pe/detalle/14032-32-e988-671b51ad0d05-9a46bf51-869a-43ec"/>
  </r>
  <r>
    <s v="Apartamento en alquiler en Ur. San Isidro"/>
    <s v="Ur. San Isidro"/>
    <x v="7"/>
    <s v="Lima"/>
    <x v="0"/>
    <n v="4255"/>
    <n v="425.5"/>
    <x v="0"/>
    <n v="2"/>
    <x v="0"/>
    <s v="No"/>
    <n v="130"/>
    <x v="0"/>
    <s v="Caro"/>
    <s v="Precio Estadar"/>
    <s v="Apartamento"/>
    <s v="Alquiler"/>
    <d v="2024-01-11T00:00:00"/>
    <x v="51"/>
    <s v="https://www.properati.com.pe/detalle/14032-32-e8aa-767e44a2b490-46e93fcf-8ac2-40a5"/>
  </r>
  <r>
    <s v="Apartamento en alquiler en Sector 3"/>
    <s v="Sector 3"/>
    <x v="5"/>
    <s v="Lima"/>
    <x v="0"/>
    <n v="4810"/>
    <n v="481"/>
    <x v="1"/>
    <n v="2"/>
    <x v="1"/>
    <s v="No"/>
    <n v="160"/>
    <x v="8"/>
    <s v="Caro"/>
    <s v="Precio Estadar"/>
    <s v="Apartamento"/>
    <s v="Alquiler"/>
    <d v="2024-01-07T00:00:00"/>
    <x v="94"/>
    <s v="https://www.properati.com.pe/detalle/14032-32-962d-5e2b343e7355-c47abfb6-8d82-48f2"/>
  </r>
  <r>
    <s v="Apartamento en alquiler en Ag. La Paz"/>
    <s v="Ag. La Paz"/>
    <x v="16"/>
    <s v="Lima"/>
    <x v="0"/>
    <n v="1750"/>
    <n v="175"/>
    <x v="1"/>
    <n v="2"/>
    <x v="1"/>
    <s v="Sí"/>
    <n v="80"/>
    <x v="13"/>
    <s v="Economico"/>
    <s v="Precio Estadar"/>
    <s v="Apartamento"/>
    <s v="Alquiler"/>
    <d v="2023-01-02T00:00:00"/>
    <x v="85"/>
    <s v="https://www.properati.com.pe/detalle/14032-32-9b78-4d8496242ca6-238a58f0-91c6-120d"/>
  </r>
  <r>
    <s v="Apartamento en alquiler en Ur. Santa Felicia"/>
    <s v="Ur. Santa Felicia"/>
    <x v="21"/>
    <s v="Lima"/>
    <x v="0"/>
    <n v="1776"/>
    <n v="177.60000000000002"/>
    <x v="2"/>
    <n v="1"/>
    <x v="0"/>
    <s v="No"/>
    <n v="45"/>
    <x v="0"/>
    <s v="Economico"/>
    <s v="Precio Estadar"/>
    <s v="Apartamento"/>
    <s v="Alquiler"/>
    <d v="2023-07-13T00:00:00"/>
    <x v="95"/>
    <s v="https://www.properati.com.pe/detalle/14032-32-efa4-529b60903d51-866e4439-89b1-47e1"/>
  </r>
  <r>
    <s v="Apartamento en alquiler en Ur. Country Club"/>
    <s v="Ur. Country Club"/>
    <x v="7"/>
    <s v="Lima"/>
    <x v="0"/>
    <n v="2960"/>
    <n v="296"/>
    <x v="0"/>
    <n v="2"/>
    <x v="0"/>
    <s v="No"/>
    <n v="120"/>
    <x v="17"/>
    <s v="Caro"/>
    <s v="Precio Estadar"/>
    <s v="Apartamento"/>
    <s v="Alquiler"/>
    <d v="2024-01-05T00:00:00"/>
    <x v="96"/>
    <s v="https://www.properati.com.pe/detalle/14032-32-26e2-9685fe1d507-50c99715-8f45-4a3a"/>
  </r>
  <r>
    <s v="Apartamento en alquiler en Ur. Country Club"/>
    <s v="Ur. Country Club"/>
    <x v="7"/>
    <s v="Lima"/>
    <x v="0"/>
    <n v="6290"/>
    <n v="629"/>
    <x v="1"/>
    <n v="3"/>
    <x v="0"/>
    <s v="No"/>
    <n v="160"/>
    <x v="13"/>
    <s v="Caro"/>
    <s v="Precio Estadar"/>
    <s v="Apartamento"/>
    <s v="Alquiler"/>
    <d v="2023-02-01T00:00:00"/>
    <x v="72"/>
    <s v="https://www.properati.com.pe/detalle/14032-32-4e2c-857814eee6df-7636074d-a6c9-4c25"/>
  </r>
  <r>
    <s v="Apartamento en alquiler en Ur. Orrantia"/>
    <s v="Ur. Orrantia"/>
    <x v="7"/>
    <s v="Lima"/>
    <x v="0"/>
    <n v="2035"/>
    <n v="203.5"/>
    <x v="2"/>
    <n v="1"/>
    <x v="1"/>
    <s v="No"/>
    <n v="46"/>
    <x v="20"/>
    <s v="Economico"/>
    <s v="Precio Estadar"/>
    <s v="Apartamento"/>
    <s v="Alquiler"/>
    <d v="2024-03-05T00:00:00"/>
    <x v="96"/>
    <s v="https://www.properati.com.pe/detalle/14032-32-270c-6dc4531ddd70-9a3f5ddd-9c03-4911"/>
  </r>
  <r>
    <s v="Apartamento en alquiler en Ur. America"/>
    <s v="Ur. America"/>
    <x v="0"/>
    <s v="Lima"/>
    <x v="0"/>
    <n v="3330"/>
    <n v="333"/>
    <x v="0"/>
    <n v="2"/>
    <x v="0"/>
    <s v="Sí"/>
    <n v="100"/>
    <x v="20"/>
    <s v="Caro"/>
    <s v="Precio Estadar"/>
    <s v="Apartamento"/>
    <s v="Alquiler"/>
    <d v="2023-07-09T00:00:00"/>
    <x v="6"/>
    <s v="https://www.properati.com.pe/detalle/14032-32-d8c9-2d992ccedc6d-5b23d140-9325-120d"/>
  </r>
  <r>
    <s v="Casa en alquiler enMiraflores"/>
    <s v="Miraflores"/>
    <x v="5"/>
    <s v="Lima"/>
    <x v="0"/>
    <n v="3900"/>
    <n v="390"/>
    <x v="3"/>
    <n v="3"/>
    <x v="0"/>
    <s v="Sí"/>
    <n v="500"/>
    <x v="7"/>
    <s v="Caro"/>
    <s v="Precio Estadar"/>
    <s v="Casa"/>
    <s v="Alquiler"/>
    <d v="2023-04-25T00:00:00"/>
    <x v="13"/>
    <s v="https://www.properati.com.pe/detalle/14032-32-c51f-a36b6aa39cd0-71b734f0-8268-120d"/>
  </r>
  <r>
    <s v="Apartamento en alquiler en Ur. Chacarilla Del Estanque"/>
    <s v="Ur. Chacarilla Del Estanque"/>
    <x v="11"/>
    <s v="Lima"/>
    <x v="0"/>
    <n v="5365"/>
    <n v="536.5"/>
    <x v="1"/>
    <n v="2"/>
    <x v="1"/>
    <s v="Sí"/>
    <n v="192"/>
    <x v="19"/>
    <s v="Caro"/>
    <s v="Precio Estadar"/>
    <s v="Apartamento"/>
    <s v="Alquiler"/>
    <d v="2023-07-25T00:00:00"/>
    <x v="97"/>
    <s v="https://www.properati.com.pe/detalle/14032-32-cff4-f8a8bcb1496-eaa27506-997f-4779"/>
  </r>
  <r>
    <s v="Apartamento en alquiler en Ur. America"/>
    <s v="Ur. America"/>
    <x v="0"/>
    <s v="Lima"/>
    <x v="0"/>
    <n v="2000"/>
    <n v="200"/>
    <x v="2"/>
    <n v="1"/>
    <x v="1"/>
    <s v="Sí"/>
    <n v="52"/>
    <x v="37"/>
    <s v="Economico"/>
    <s v="Precio Estadar"/>
    <s v="Apartamento"/>
    <s v="Alquiler"/>
    <d v="2024-07-22T00:00:00"/>
    <x v="30"/>
    <s v="https://www.properati.com.pe/detalle/14032-32-d876-956870f986d-749b1140-b7c6-120d"/>
  </r>
  <r>
    <s v="Apartamento en alquiler en Surquillo"/>
    <s v="Surquillo"/>
    <x v="5"/>
    <s v="Lima"/>
    <x v="0"/>
    <n v="1900"/>
    <n v="190"/>
    <x v="0"/>
    <n v="1"/>
    <x v="1"/>
    <s v="No"/>
    <n v="62"/>
    <x v="8"/>
    <s v="Economico"/>
    <s v="Precio Estadar"/>
    <s v="Apartamento"/>
    <s v="Alquiler"/>
    <d v="2024-09-24T00:00:00"/>
    <x v="98"/>
    <s v="https://www.properati.com.pe/detalle/14032-32-92eb-f4b5e4678034-462f0435-9df1-4991"/>
  </r>
  <r>
    <s v="Apartamento en alquiler en Ur. San Miguel"/>
    <s v="Ur. San Miguel"/>
    <x v="16"/>
    <s v="Lima"/>
    <x v="0"/>
    <n v="1350"/>
    <n v="135"/>
    <x v="0"/>
    <n v="1"/>
    <x v="0"/>
    <s v="No"/>
    <n v="86"/>
    <x v="0"/>
    <s v="Economico"/>
    <s v="Precio Estadar"/>
    <s v="Apartamento"/>
    <s v="Alquiler"/>
    <d v="2023-12-08T00:00:00"/>
    <x v="38"/>
    <s v="https://www.properati.com.pe/detalle/14032-32-6e35-199e778ba6e5-f8389640-a96f-120d"/>
  </r>
  <r>
    <s v="Apartamento en alquiler en Ah. Los Jazmines Del Naranjal"/>
    <s v="Ah. Los Jazmines Del Naranjal"/>
    <x v="29"/>
    <s v="Lima"/>
    <x v="0"/>
    <n v="1150"/>
    <n v="115"/>
    <x v="0"/>
    <n v="1"/>
    <x v="1"/>
    <s v="Sí"/>
    <n v="85"/>
    <x v="11"/>
    <s v="Economico"/>
    <s v="Precio Estadar"/>
    <s v="Apartamento"/>
    <s v="Alquiler"/>
    <d v="2023-09-21T00:00:00"/>
    <x v="10"/>
    <s v="https://www.properati.com.pe/detalle/14032-32-76e9-7951952c197e-33cf760b-b051-4f61"/>
  </r>
  <r>
    <s v="Apartamento en alquiler en Ur. Parque Internacional De Industria Y Comercio"/>
    <s v="Ur. Parque Internacional De Industria Y Comercio"/>
    <x v="20"/>
    <s v=" Callao"/>
    <x v="2"/>
    <n v="1500"/>
    <n v="75"/>
    <x v="0"/>
    <n v="2"/>
    <x v="0"/>
    <s v="No"/>
    <n v="60"/>
    <x v="8"/>
    <s v="Economico"/>
    <s v="Precio Estadar"/>
    <s v="Apartamento"/>
    <s v="Alquiler"/>
    <d v="2023-08-25T00:00:00"/>
    <x v="99"/>
    <s v="https://www.properati.com.pe/detalle/14032-32-f0f0-8ef8e7028479-7b4822ab-aa60-4ca3"/>
  </r>
  <r>
    <s v="Casa en alquiler en Ur. Rinconada Del Lago Etapa Ii"/>
    <s v="Ur. Rinconada Del Lago Etapa Ii"/>
    <x v="21"/>
    <s v="Lima"/>
    <x v="0"/>
    <n v="10528"/>
    <n v="1052.8"/>
    <x v="8"/>
    <n v="4"/>
    <x v="1"/>
    <s v="No"/>
    <n v="369"/>
    <x v="31"/>
    <s v="Caro"/>
    <s v="Precio Estadar"/>
    <s v="Casa"/>
    <s v="Alquiler"/>
    <d v="2024-03-13T00:00:00"/>
    <x v="100"/>
    <s v="https://www.properati.com.pe/detalle/14032-32-bfc6-5b3df02cb5a7-78d12914-8d1d-4f96"/>
  </r>
  <r>
    <s v="Apartamento en alquiler en Ur. Cahuache"/>
    <s v="Ur. Cahuache"/>
    <x v="35"/>
    <s v="Lima"/>
    <x v="0"/>
    <n v="2500"/>
    <n v="250"/>
    <x v="1"/>
    <n v="1"/>
    <x v="0"/>
    <s v="Sí"/>
    <n v="120"/>
    <x v="20"/>
    <s v="Economico"/>
    <s v="Precio Estadar"/>
    <s v="Apartamento"/>
    <s v="Alquiler"/>
    <d v="2023-11-30T00:00:00"/>
    <x v="35"/>
    <s v="https://www.properati.com.pe/detalle/14032-32-a1b5-12c4a40e664e-3218e785-9bee-4200"/>
  </r>
  <r>
    <s v="Apartamento en alquiler en Ur. Leuro"/>
    <s v="Ur. Leuro"/>
    <x v="0"/>
    <s v="Lima"/>
    <x v="0"/>
    <n v="2331"/>
    <n v="233.10000000000002"/>
    <x v="2"/>
    <n v="1"/>
    <x v="0"/>
    <s v="Sí"/>
    <n v="60"/>
    <x v="5"/>
    <s v="Economico"/>
    <s v="Precio Estadar"/>
    <s v="Apartamento"/>
    <s v="Alquiler"/>
    <d v="2023-01-20T00:00:00"/>
    <x v="101"/>
    <s v="https://www.properati.com.pe/detalle/14032-32-6a3a-4fcbd024845f-93c5c692-8ab1-42b9"/>
  </r>
  <r>
    <s v="Apartamento en alquiler en Ur. Los Cedros De Villa Etapa Viii"/>
    <s v="Ur. Los Cedros De Villa Etapa Viii"/>
    <x v="8"/>
    <s v="Lima"/>
    <x v="0"/>
    <n v="1750"/>
    <n v="175"/>
    <x v="1"/>
    <n v="2"/>
    <x v="1"/>
    <s v="No"/>
    <n v="100"/>
    <x v="30"/>
    <s v="Economico"/>
    <s v="Precio Estadar"/>
    <s v="Apartamento"/>
    <s v="Alquiler"/>
    <d v="2023-12-30T00:00:00"/>
    <x v="102"/>
    <s v="https://www.properati.com.pe/detalle/14032-32-cdcc-87e6a8297e90-f2c2e020-b445-120d"/>
  </r>
  <r>
    <s v="Apartamento en alquiler en Urb Residencial Valle Hermoso"/>
    <s v="Urb Residencial Valle Hermoso"/>
    <x v="5"/>
    <s v="Lima"/>
    <x v="0"/>
    <n v="3700"/>
    <n v="370"/>
    <x v="1"/>
    <n v="4"/>
    <x v="0"/>
    <s v="No"/>
    <n v="175"/>
    <x v="19"/>
    <s v="Caro"/>
    <s v="Precio Estadar"/>
    <s v="Apartamento"/>
    <s v="Alquiler"/>
    <d v="2023-07-06T00:00:00"/>
    <x v="51"/>
    <s v="https://www.properati.com.pe/detalle/14032-32-f4f7-f3e6e8f8e37d-6e4e10e7-9cc2-4705"/>
  </r>
  <r>
    <s v="Apartamento en alquiler en Ur. Balta"/>
    <s v="Ur. Balta"/>
    <x v="0"/>
    <s v="Lima"/>
    <x v="0"/>
    <n v="9213"/>
    <n v="921.30000000000007"/>
    <x v="1"/>
    <n v="3"/>
    <x v="0"/>
    <s v="Sí"/>
    <n v="240"/>
    <x v="15"/>
    <s v="Caro"/>
    <s v="Precio Estadar"/>
    <s v="Apartamento"/>
    <s v="Alquiler"/>
    <d v="2024-08-08T00:00:00"/>
    <x v="100"/>
    <s v="https://www.properati.com.pe/detalle/14032-32-3bb6-7a09abeac4ff-88a1c0b7-8a42-4879"/>
  </r>
  <r>
    <s v="Apartamento en alquiler en Ur. San Isidro"/>
    <s v="Ur. San Isidro"/>
    <x v="7"/>
    <s v="Lima"/>
    <x v="0"/>
    <n v="2700"/>
    <n v="270"/>
    <x v="0"/>
    <n v="2"/>
    <x v="0"/>
    <s v="No"/>
    <n v="68"/>
    <x v="20"/>
    <s v="Caro"/>
    <s v="Precio Estadar"/>
    <s v="Apartamento"/>
    <s v="Alquiler"/>
    <d v="2023-10-01T00:00:00"/>
    <x v="103"/>
    <s v="https://www.properati.com.pe/detalle/14032-32-27a2-5ef3eb2766e9-c9c23a68-a285-4e75"/>
  </r>
  <r>
    <s v="Apartamento en alquiler en Ur. Confraternidad"/>
    <s v="Ur. Confraternidad"/>
    <x v="2"/>
    <s v="Lima"/>
    <x v="0"/>
    <n v="2393.9"/>
    <n v="239.39000000000001"/>
    <x v="2"/>
    <n v="1"/>
    <x v="1"/>
    <s v="Sí"/>
    <n v="40"/>
    <x v="30"/>
    <s v="Economico"/>
    <s v="Precio Estadar"/>
    <s v="Apartamento"/>
    <s v="Alquiler"/>
    <d v="2023-08-12T00:00:00"/>
    <x v="67"/>
    <s v="https://www.properati.com.pe/detalle/14032-32-d55-7a7b6caaf43f-5fa1f3-b072-3f99"/>
  </r>
  <r>
    <s v="Apartamento en alquiler en Ur. Santa Rosa"/>
    <s v="Ur. Santa Rosa"/>
    <x v="7"/>
    <s v="Lima"/>
    <x v="0"/>
    <n v="12950"/>
    <n v="1295"/>
    <x v="4"/>
    <n v="5"/>
    <x v="1"/>
    <s v="No"/>
    <n v="504"/>
    <x v="8"/>
    <s v="Caro"/>
    <s v="Precio Estadar"/>
    <s v="Apartamento"/>
    <s v="Alquiler"/>
    <d v="2024-01-06T00:00:00"/>
    <x v="72"/>
    <s v="https://www.properati.com.pe/detalle/14032-32-3e0-f282faf7e3e6-a827f502-a0bc-47ed"/>
  </r>
  <r>
    <s v="Apartamento en alquiler en Urb la Calera de Monterrico"/>
    <s v="Urb la Calera de Monterrico"/>
    <x v="5"/>
    <s v="Lima"/>
    <x v="0"/>
    <n v="2200"/>
    <n v="220"/>
    <x v="1"/>
    <n v="2"/>
    <x v="1"/>
    <s v="Sí"/>
    <n v="75"/>
    <x v="17"/>
    <s v="Economico"/>
    <s v="Precio Estadar"/>
    <s v="Apartamento"/>
    <s v="Alquiler"/>
    <d v="2023-09-12T00:00:00"/>
    <x v="104"/>
    <s v="https://www.properati.com.pe/detalle/14032-32-4781-5d297dd7c76b-9f3b4f46-bef8-40d0"/>
  </r>
  <r>
    <s v="Apartamento en alquiler en Ur. Las Magnolias"/>
    <s v="Ur. Las Magnolias"/>
    <x v="4"/>
    <s v="Lima"/>
    <x v="0"/>
    <n v="3515"/>
    <n v="351.5"/>
    <x v="1"/>
    <n v="3"/>
    <x v="1"/>
    <s v="No"/>
    <n v="126"/>
    <x v="13"/>
    <s v="Caro"/>
    <s v="Precio Estadar"/>
    <s v="Apartamento"/>
    <s v="Alquiler"/>
    <d v="2024-12-13T00:00:00"/>
    <x v="105"/>
    <s v="https://www.properati.com.pe/detalle/14032-32-5ac9-df17a65a74dd-a1659662-81d1-45ce"/>
  </r>
  <r>
    <s v="Apartamento en alquiler en Ur. America"/>
    <s v="Ur. America"/>
    <x v="0"/>
    <s v="Lima"/>
    <x v="0"/>
    <n v="2775"/>
    <n v="277.5"/>
    <x v="0"/>
    <n v="2"/>
    <x v="0"/>
    <s v="No"/>
    <n v="64"/>
    <x v="8"/>
    <s v="Caro"/>
    <s v="Precio Estadar"/>
    <s v="Apartamento"/>
    <s v="Alquiler"/>
    <d v="2023-09-13T00:00:00"/>
    <x v="106"/>
    <s v="https://www.properati.com.pe/detalle/14032-32-464e-3071bca72ba0-87c879a6-bbb1-4765"/>
  </r>
  <r>
    <s v="Apartamento en alquiler en Ur. Risso"/>
    <s v="Ur. Risso"/>
    <x v="3"/>
    <s v="Lima"/>
    <x v="0"/>
    <n v="1900"/>
    <n v="190"/>
    <x v="2"/>
    <n v="1"/>
    <x v="0"/>
    <s v="No"/>
    <n v="64"/>
    <x v="17"/>
    <s v="Economico"/>
    <s v="Precio Estadar"/>
    <s v="Apartamento"/>
    <s v="Alquiler"/>
    <d v="2024-03-28T00:00:00"/>
    <x v="106"/>
    <s v="https://www.properati.com.pe/detalle/14032-32-c93c-917e2b394e7a-21bb31e3-8195-4a40"/>
  </r>
  <r>
    <s v="Apartamento en alquiler en Hu. Cercado DeMiraflores"/>
    <s v="Hu. Cercado DeMiraflores"/>
    <x v="0"/>
    <s v="Lima"/>
    <x v="0"/>
    <n v="2200"/>
    <n v="220"/>
    <x v="2"/>
    <n v="1"/>
    <x v="1"/>
    <s v="Sí"/>
    <n v="45"/>
    <x v="10"/>
    <s v="Economico"/>
    <s v="Precio Estadar"/>
    <s v="Apartamento"/>
    <s v="Alquiler"/>
    <d v="2024-08-08T00:00:00"/>
    <x v="106"/>
    <s v="https://www.properati.com.pe/detalle/14032-32-a84e-e69a3681355c-ae4ac21f-9cdf-402c"/>
  </r>
  <r>
    <s v="Apartamento en alquiler en Ur. San Borja"/>
    <s v="Ur. San Borja"/>
    <x v="11"/>
    <s v="Lima"/>
    <x v="0"/>
    <n v="1000"/>
    <n v="100"/>
    <x v="2"/>
    <n v="1"/>
    <x v="1"/>
    <s v="Sí"/>
    <n v="40"/>
    <x v="17"/>
    <s v="Economico"/>
    <s v="Precio Estadar"/>
    <s v="Apartamento"/>
    <s v="Alquiler"/>
    <d v="2023-05-04T00:00:00"/>
    <x v="45"/>
    <s v="https://www.properati.com.pe/detalle/14032-32-3e86-e94212b918fe-f7459d85-b549-4d36"/>
  </r>
  <r>
    <s v="Apartamento en alquiler en Ur. Santa Ines"/>
    <s v="Ur. Santa Ines"/>
    <x v="7"/>
    <s v="Lima"/>
    <x v="0"/>
    <n v="6660"/>
    <n v="666"/>
    <x v="1"/>
    <n v="2"/>
    <x v="0"/>
    <s v="No"/>
    <n v="255"/>
    <x v="7"/>
    <s v="Caro"/>
    <s v="Precio Estadar"/>
    <s v="Apartamento"/>
    <s v="Alquiler"/>
    <d v="2023-03-19T00:00:00"/>
    <x v="36"/>
    <s v="https://www.properati.com.pe/detalle/14032-32-861e-51ebd3d4560e-8d3e0474-b66d-4ee1"/>
  </r>
  <r>
    <s v="Apartamento en alquiler en Ah. Nuevo Lurin Iv Etapa"/>
    <s v="Ah. Nuevo Lurin Iv Etapa"/>
    <x v="36"/>
    <s v="Lima"/>
    <x v="0"/>
    <n v="1350"/>
    <n v="135"/>
    <x v="0"/>
    <n v="1"/>
    <x v="1"/>
    <s v="No"/>
    <n v="60"/>
    <x v="13"/>
    <s v="Economico"/>
    <s v="Precio Estadar"/>
    <s v="Apartamento"/>
    <s v="Alquiler"/>
    <d v="2023-09-08T00:00:00"/>
    <x v="44"/>
    <s v="https://www.properati.com.pe/detalle/14032-32-6767-e5e67f175a22-96e2af59-9b32-4b79"/>
  </r>
  <r>
    <s v="Casa en alquiler en Ur. Nuevo Chorrillos"/>
    <s v="Ur. Nuevo Chorrillos"/>
    <x v="8"/>
    <s v="Lima"/>
    <x v="0"/>
    <n v="3200"/>
    <n v="320"/>
    <x v="1"/>
    <n v="2"/>
    <x v="1"/>
    <s v="Sí"/>
    <n v="107"/>
    <x v="38"/>
    <s v="Caro"/>
    <s v="Precio Estadar"/>
    <s v="Casa"/>
    <s v="Alquiler"/>
    <d v="2024-09-25T00:00:00"/>
    <x v="107"/>
    <s v="https://www.properati.com.pe/detalle/14032-32-9f2a-bfa8a1182dfe-fab2e7c5-b787-4456"/>
  </r>
  <r>
    <s v="Apartamento en alquiler en Ah. Nuevo Lurin I Etapa"/>
    <s v="Ah. Nuevo Lurin I Etapa"/>
    <x v="36"/>
    <s v="Lima"/>
    <x v="0"/>
    <n v="9"/>
    <n v="0.9"/>
    <x v="2"/>
    <n v="1"/>
    <x v="1"/>
    <s v="Sí"/>
    <n v="21"/>
    <x v="8"/>
    <s v="Economico"/>
    <s v="Precio Estadar"/>
    <s v="Apartamento"/>
    <s v="Alquiler"/>
    <d v="2023-06-17T00:00:00"/>
    <x v="44"/>
    <s v="https://www.properati.com.pe/detalle/14032-32-f0dc-8eaf1cb4d43c-e0c06e61-a0b0-45c5"/>
  </r>
  <r>
    <s v="Apartamento en alquiler en Ur. Valle Hermoso Residencial (San Demetrio De Monterrico)"/>
    <s v="Ur. Valle Hermoso Residencial (San Demetrio De Monterrico)"/>
    <x v="4"/>
    <s v="Lima"/>
    <x v="0"/>
    <n v="3700"/>
    <n v="370"/>
    <x v="1"/>
    <n v="2"/>
    <x v="0"/>
    <s v="Sí"/>
    <n v="145"/>
    <x v="15"/>
    <s v="Caro"/>
    <s v="Precio Estadar"/>
    <s v="Apartamento"/>
    <s v="Alquiler"/>
    <d v="2024-03-01T00:00:00"/>
    <x v="108"/>
    <s v="https://www.properati.com.pe/detalle/14032-32-c7ad-b92d111f57b6-86d567db-ba6b-4469"/>
  </r>
  <r>
    <s v="Apartamento en alquiler en Santa Cruz"/>
    <s v="Santa Cruz"/>
    <x v="33"/>
    <s v="Lima"/>
    <x v="0"/>
    <n v="3885"/>
    <n v="388.5"/>
    <x v="0"/>
    <n v="2"/>
    <x v="0"/>
    <s v="No"/>
    <n v="110"/>
    <x v="17"/>
    <s v="Caro"/>
    <s v="Precio Estadar"/>
    <s v="Apartamento"/>
    <s v="Alquiler"/>
    <d v="2023-08-29T00:00:00"/>
    <x v="109"/>
    <s v="https://www.properati.com.pe/detalle/14032-32-982a-5446ecb84376-9ad63248-8fae-413b"/>
  </r>
  <r>
    <s v="Apartamento en alquiler en Ur. Leuro"/>
    <s v="Ur. Leuro"/>
    <x v="0"/>
    <s v="Lima"/>
    <x v="0"/>
    <n v="2775"/>
    <n v="277.5"/>
    <x v="0"/>
    <n v="2"/>
    <x v="1"/>
    <s v="No"/>
    <n v="70"/>
    <x v="7"/>
    <s v="Caro"/>
    <s v="Precio Estadar"/>
    <s v="Apartamento"/>
    <s v="Alquiler"/>
    <d v="2023-01-28T00:00:00"/>
    <x v="6"/>
    <s v="https://www.properati.com.pe/detalle/14032-32-d42a-33cfa9e4777b-e68216a0-9712-120d"/>
  </r>
  <r>
    <s v="Apartamento en alquiler en Ur. La Capilla (U-3)"/>
    <s v="Ur. La Capilla (U-3)"/>
    <x v="21"/>
    <s v="Lima"/>
    <x v="0"/>
    <n v="3145"/>
    <n v="314.5"/>
    <x v="4"/>
    <n v="4"/>
    <x v="1"/>
    <s v="Sí"/>
    <n v="164"/>
    <x v="38"/>
    <s v="Caro"/>
    <s v="Precio Estadar"/>
    <s v="Apartamento"/>
    <s v="Alquiler"/>
    <d v="2024-02-14T00:00:00"/>
    <x v="100"/>
    <s v="https://www.properati.com.pe/detalle/14032-32-8aed-86338fe224e1-1cbf6b5f-b767-429f"/>
  </r>
  <r>
    <s v="Apartamento en alquiler en Ur. Santa Beatriz"/>
    <s v="Ur. Santa Beatriz"/>
    <x v="5"/>
    <s v="Lima"/>
    <x v="0"/>
    <n v="2200"/>
    <n v="220"/>
    <x v="0"/>
    <n v="2"/>
    <x v="0"/>
    <s v="No"/>
    <n v="69"/>
    <x v="27"/>
    <s v="Economico"/>
    <s v="Precio Estadar"/>
    <s v="Apartamento"/>
    <s v="Alquiler"/>
    <d v="2023-03-24T00:00:00"/>
    <x v="110"/>
    <s v="https://www.properati.com.pe/detalle/14032-32-f27e-4836530bc66d-1f639ca3-a015-4ba6"/>
  </r>
  <r>
    <s v="Apartamento en alquiler en Urb la ViÃ±ita"/>
    <s v="Urb la ViÃ±ita"/>
    <x v="5"/>
    <s v="Lima"/>
    <x v="0"/>
    <n v="2960"/>
    <n v="296"/>
    <x v="0"/>
    <n v="2"/>
    <x v="0"/>
    <s v="No"/>
    <n v="82"/>
    <x v="12"/>
    <s v="Caro"/>
    <s v="Precio Estadar"/>
    <s v="Apartamento"/>
    <s v="Alquiler"/>
    <d v="2023-09-27T00:00:00"/>
    <x v="111"/>
    <s v="https://www.properati.com.pe/detalle/14032-32-5809-6a4dc00e2f75-5912a42f-bab1-44c4"/>
  </r>
  <r>
    <s v="Apartamento en alquiler enLima"/>
    <s v="Lima"/>
    <x v="5"/>
    <s v="Lima"/>
    <x v="0"/>
    <n v="4070"/>
    <n v="407"/>
    <x v="1"/>
    <n v="3"/>
    <x v="0"/>
    <s v="Sí"/>
    <n v="155"/>
    <x v="15"/>
    <s v="Caro"/>
    <s v="Precio Estadar"/>
    <s v="Apartamento"/>
    <s v="Alquiler"/>
    <d v="2024-10-21T00:00:00"/>
    <x v="75"/>
    <s v="https://www.properati.com.pe/detalle/14032-32-4df8-ddec11b0518c-45d904af-b781-4971"/>
  </r>
  <r>
    <s v="Casa en alquiler en Ur. America"/>
    <s v="Ur. America"/>
    <x v="0"/>
    <s v="Lima"/>
    <x v="0"/>
    <n v="7400"/>
    <n v="740"/>
    <x v="9"/>
    <n v="4"/>
    <x v="1"/>
    <s v="Sí"/>
    <n v="300"/>
    <x v="7"/>
    <s v="Caro"/>
    <s v="Precio Estadar"/>
    <s v="Casa"/>
    <s v="Alquiler"/>
    <d v="2024-10-28T00:00:00"/>
    <x v="111"/>
    <s v="https://www.properati.com.pe/detalle/14032-32-4fe0-f7d0d0c988b4-50c08739-a685-47f1"/>
  </r>
  <r>
    <s v="Apartamento en alquiler en As. Apu"/>
    <s v="As. Apu"/>
    <x v="29"/>
    <s v="Lima"/>
    <x v="0"/>
    <n v="1200"/>
    <n v="120"/>
    <x v="0"/>
    <n v="1"/>
    <x v="0"/>
    <s v="Sí"/>
    <n v="80"/>
    <x v="20"/>
    <s v="Economico"/>
    <s v="Precio Estadar"/>
    <s v="Apartamento"/>
    <s v="Alquiler"/>
    <d v="2023-11-06T00:00:00"/>
    <x v="33"/>
    <s v="https://www.properati.com.pe/detalle/14032-32-1133-1b646ba89264-a1ad34db-81f6-43da"/>
  </r>
  <r>
    <s v="Apartamento en alquiler en Ur. Mariscal Castilla"/>
    <s v="Ur. Mariscal Castilla"/>
    <x v="11"/>
    <s v="Lima"/>
    <x v="0"/>
    <n v="2960"/>
    <n v="296"/>
    <x v="1"/>
    <n v="4"/>
    <x v="1"/>
    <s v="Sí"/>
    <n v="129"/>
    <x v="15"/>
    <s v="Caro"/>
    <s v="Precio Estadar"/>
    <s v="Apartamento"/>
    <s v="Alquiler"/>
    <d v="2024-08-11T00:00:00"/>
    <x v="112"/>
    <s v="https://www.properati.com.pe/detalle/14032-32-8af7-1cdb06d9c0f3-b3b3d36-af41-42b8"/>
  </r>
  <r>
    <s v="Apartamento en alquiler enLima"/>
    <s v="Lima"/>
    <x v="5"/>
    <s v="Lima"/>
    <x v="0"/>
    <n v="1100"/>
    <n v="110"/>
    <x v="0"/>
    <n v="1"/>
    <x v="1"/>
    <s v="Sí"/>
    <n v="50"/>
    <x v="12"/>
    <s v="Economico"/>
    <s v="Precio Estadar"/>
    <s v="Apartamento"/>
    <s v="Alquiler"/>
    <d v="2023-05-03T00:00:00"/>
    <x v="113"/>
    <s v="https://www.properati.com.pe/detalle/14032-32-87a2-4e50213a8b02-5466f069-84ea-4f8a"/>
  </r>
  <r>
    <s v="Apartamento en alquiler en Ur. Villa Jardin"/>
    <s v="Ur. Villa Jardin"/>
    <x v="35"/>
    <s v="Lima"/>
    <x v="0"/>
    <n v="1580"/>
    <n v="158"/>
    <x v="0"/>
    <n v="1"/>
    <x v="1"/>
    <s v="No"/>
    <n v="70"/>
    <x v="15"/>
    <s v="Economico"/>
    <s v="Precio Estadar"/>
    <s v="Apartamento"/>
    <s v="Alquiler"/>
    <d v="2024-06-24T00:00:00"/>
    <x v="105"/>
    <s v="https://www.properati.com.pe/detalle/14032-32-7610-879441525815-991b6bb0-b39c-4c43"/>
  </r>
  <r>
    <s v="Apartamento en alquiler en Ur. Risso"/>
    <s v="Ur. Risso"/>
    <x v="3"/>
    <s v="Lima"/>
    <x v="0"/>
    <n v="3330"/>
    <n v="333"/>
    <x v="0"/>
    <n v="2"/>
    <x v="1"/>
    <s v="No"/>
    <n v="91"/>
    <x v="10"/>
    <s v="Caro"/>
    <s v="Precio Estadar"/>
    <s v="Apartamento"/>
    <s v="Alquiler"/>
    <d v="2024-08-28T00:00:00"/>
    <x v="114"/>
    <s v="https://www.properati.com.pe/detalle/14032-32-a797-f9bd39e02be4-bace4340-98a9-120d"/>
  </r>
  <r>
    <s v="Apartamento en alquiler en Ur. San Luis"/>
    <s v="Ur. San Luis"/>
    <x v="0"/>
    <s v="Lima"/>
    <x v="0"/>
    <n v="4070"/>
    <n v="407"/>
    <x v="1"/>
    <n v="2"/>
    <x v="0"/>
    <s v="No"/>
    <n v="120"/>
    <x v="19"/>
    <s v="Caro"/>
    <s v="Precio Estadar"/>
    <s v="Apartamento"/>
    <s v="Alquiler"/>
    <d v="2023-09-23T00:00:00"/>
    <x v="23"/>
    <s v="https://www.properati.com.pe/detalle/14032-32-99ef-15950a9156f9-dd4b40b7-be45-4356"/>
  </r>
  <r>
    <s v="Apartamento en alquiler en Ur. Balta"/>
    <s v="Ur. Balta"/>
    <x v="0"/>
    <s v="Lima"/>
    <x v="0"/>
    <n v="2664"/>
    <n v="266.40000000000003"/>
    <x v="2"/>
    <n v="2"/>
    <x v="0"/>
    <s v="Sí"/>
    <n v="58"/>
    <x v="8"/>
    <s v="Caro"/>
    <s v="Precio Estadar"/>
    <s v="Apartamento"/>
    <s v="Alquiler"/>
    <d v="2024-02-01T00:00:00"/>
    <x v="115"/>
    <s v="https://www.properati.com.pe/detalle/14032-32-63b8-83193a53f23d-cfc11f56-b09a-4599"/>
  </r>
  <r>
    <s v="Apartamento en alquiler en Bellavista"/>
    <s v="Bellavista"/>
    <x v="20"/>
    <s v=" Callao "/>
    <x v="4"/>
    <n v="1600"/>
    <n v="80"/>
    <x v="1"/>
    <n v="2"/>
    <x v="0"/>
    <s v="Sí"/>
    <n v="67"/>
    <x v="16"/>
    <s v="Economico"/>
    <s v="Precio Estadar"/>
    <s v="Apartamento"/>
    <s v="Alquiler"/>
    <d v="2024-02-18T00:00:00"/>
    <x v="116"/>
    <s v="https://www.properati.com.pe/detalle/14032-32-e3ff-4f3da0620725-770adc6b-b9e7-4e00"/>
  </r>
  <r>
    <s v="Casa en alquiler en Ah. Los Perales"/>
    <s v="Ah. Los Perales"/>
    <x v="27"/>
    <s v="Lima"/>
    <x v="0"/>
    <n v="3500"/>
    <n v="350"/>
    <x v="3"/>
    <n v="3"/>
    <x v="1"/>
    <s v="Sí"/>
    <n v="122"/>
    <x v="16"/>
    <s v="Caro"/>
    <s v="Precio Estadar"/>
    <s v="Casa"/>
    <s v="Alquiler"/>
    <d v="2024-11-21T00:00:00"/>
    <x v="106"/>
    <s v="https://www.properati.com.pe/detalle/14032-32-9dc1-9277ce03e2f7-357138d8-af3d-4084"/>
  </r>
  <r>
    <s v="Casa de playa en alquiler en Lurin"/>
    <s v="Lurin"/>
    <x v="5"/>
    <s v="Lima"/>
    <x v="0"/>
    <n v="3145"/>
    <n v="314.5"/>
    <x v="3"/>
    <n v="4"/>
    <x v="0"/>
    <s v="Sí"/>
    <n v="200"/>
    <x v="7"/>
    <s v="Caro"/>
    <s v="Precio Estadar"/>
    <s v="Casa de playa"/>
    <s v="Alquiler"/>
    <d v="2024-03-29T00:00:00"/>
    <x v="11"/>
    <s v="https://www.properati.com.pe/detalle/14032-32-fad6-1b3e1bbd6de6-6ecb41a1-b67d-43bd"/>
  </r>
  <r>
    <s v="Apartamento en alquiler en Pj. Tomasa Tito Condemayta"/>
    <s v="Pj. Tomasa Tito Condemayta"/>
    <x v="1"/>
    <s v="Arequipa"/>
    <x v="1"/>
    <n v="3200"/>
    <n v="160"/>
    <x v="0"/>
    <n v="2"/>
    <x v="0"/>
    <s v="No"/>
    <n v="135"/>
    <x v="0"/>
    <s v="Caro"/>
    <s v="Precio Estadar"/>
    <s v="Apartamento"/>
    <s v="Alquiler"/>
    <d v="2024-02-22T00:00:00"/>
    <x v="117"/>
    <s v="https://www.properati.com.pe/detalle/14032-32-d450-675226aa0892-2b3166f0-a35d-120d"/>
  </r>
  <r>
    <s v="Apartamento en alquiler en San Isidro"/>
    <s v="San Isidro"/>
    <x v="5"/>
    <s v="Lima"/>
    <x v="0"/>
    <n v="4588"/>
    <n v="458.8"/>
    <x v="0"/>
    <n v="3"/>
    <x v="1"/>
    <s v="No"/>
    <n v="151"/>
    <x v="6"/>
    <s v="Caro"/>
    <s v="Precio Estadar"/>
    <s v="Apartamento"/>
    <s v="Alquiler"/>
    <d v="2024-12-25T00:00:00"/>
    <x v="100"/>
    <s v="https://www.properati.com.pe/detalle/14032-32-14e9-cafb0bf6f567-95e32e30-b236-4ca6"/>
  </r>
  <r>
    <s v="Apartamento en alquiler en Santa Cruz"/>
    <s v="Santa Cruz"/>
    <x v="12"/>
    <s v="Lima"/>
    <x v="0"/>
    <n v="4995"/>
    <n v="499.5"/>
    <x v="0"/>
    <n v="2"/>
    <x v="1"/>
    <s v="Sí"/>
    <n v="115"/>
    <x v="17"/>
    <s v="Caro"/>
    <s v="Precio Estadar"/>
    <s v="Apartamento"/>
    <s v="Alquiler"/>
    <d v="2024-10-22T00:00:00"/>
    <x v="17"/>
    <s v="https://www.properati.com.pe/detalle/14032-32-23a8-8a7646cd4d2a-a804ec2c-a774-4dba"/>
  </r>
  <r>
    <s v="Apartamento en alquiler en Hu. Cercado DeMiraflores"/>
    <s v="Hu. Cercado DeMiraflores"/>
    <x v="0"/>
    <s v="Lima"/>
    <x v="0"/>
    <n v="9620"/>
    <n v="962"/>
    <x v="1"/>
    <n v="2"/>
    <x v="0"/>
    <s v="No"/>
    <n v="250"/>
    <x v="38"/>
    <s v="Caro"/>
    <s v="Precio Estadar"/>
    <s v="Apartamento"/>
    <s v="Alquiler"/>
    <d v="2024-02-26T00:00:00"/>
    <x v="36"/>
    <s v="https://www.properati.com.pe/detalle/14032-32-aa31-a4c4f016ec7d-97ceb562-863a-48b1"/>
  </r>
  <r>
    <s v="Apartamento en alquiler en La Victoria"/>
    <s v="La Victoria"/>
    <x v="5"/>
    <s v="Lima"/>
    <x v="0"/>
    <n v="2300"/>
    <n v="230"/>
    <x v="0"/>
    <n v="1"/>
    <x v="0"/>
    <s v="No"/>
    <n v="65"/>
    <x v="19"/>
    <s v="Economico"/>
    <s v="Precio Estadar"/>
    <s v="Apartamento"/>
    <s v="Alquiler"/>
    <d v="2023-03-14T00:00:00"/>
    <x v="21"/>
    <s v="https://www.properati.com.pe/detalle/14032-32-5916-d8c55f663eae-17eabd7e-81f7-4bf6"/>
  </r>
  <r>
    <s v="Apartamento en alquiler enMiraflores"/>
    <s v="Miraflores"/>
    <x v="1"/>
    <s v="Arequipa"/>
    <x v="1"/>
    <n v="3700"/>
    <n v="185"/>
    <x v="2"/>
    <n v="1"/>
    <x v="0"/>
    <s v="No"/>
    <n v="62"/>
    <x v="18"/>
    <s v="Caro"/>
    <s v="Precio Estadar"/>
    <s v="Apartamento"/>
    <s v="Alquiler"/>
    <d v="2023-09-11T00:00:00"/>
    <x v="118"/>
    <s v="https://www.properati.com.pe/detalle/14032-32-6316-2cd24a1f1f6f-223f1ab-88df-4da6"/>
  </r>
  <r>
    <s v="Apartamento en alquiler en Ur. San Antonio"/>
    <s v="Ur. San Antonio"/>
    <x v="0"/>
    <s v="Lima"/>
    <x v="0"/>
    <n v="2220"/>
    <n v="222"/>
    <x v="2"/>
    <n v="1"/>
    <x v="0"/>
    <s v="Sí"/>
    <n v="72"/>
    <x v="8"/>
    <s v="Economico"/>
    <s v="Precio Estadar"/>
    <s v="Apartamento"/>
    <s v="Alquiler"/>
    <d v="2024-06-18T00:00:00"/>
    <x v="119"/>
    <s v="https://www.properati.com.pe/detalle/14032-32-2ff-af96e6125dc7-acbb3d09-95d9-419d"/>
  </r>
  <r>
    <s v="Apartamento en alquiler en Ur. Santa Cruz"/>
    <s v="Ur. Santa Cruz"/>
    <x v="0"/>
    <s v="Lima"/>
    <x v="0"/>
    <n v="3330"/>
    <n v="333"/>
    <x v="2"/>
    <n v="1"/>
    <x v="0"/>
    <s v="Sí"/>
    <n v="90"/>
    <x v="15"/>
    <s v="Caro"/>
    <s v="Precio Estadar"/>
    <s v="Apartamento"/>
    <s v="Alquiler"/>
    <d v="2024-12-24T00:00:00"/>
    <x v="36"/>
    <s v="https://www.properati.com.pe/detalle/14032-32-2d6b-e4496cf1cfb0-fa8e6a23-b436-4c70"/>
  </r>
  <r>
    <s v="Apartamento en alquiler en Ur. San Isidro"/>
    <s v="Ur. San Isidro"/>
    <x v="7"/>
    <s v="Lima"/>
    <x v="0"/>
    <n v="2700"/>
    <n v="270"/>
    <x v="0"/>
    <n v="2"/>
    <x v="0"/>
    <s v="No"/>
    <n v="62"/>
    <x v="10"/>
    <s v="Caro"/>
    <s v="Precio Estadar"/>
    <s v="Apartamento"/>
    <s v="Alquiler"/>
    <d v="2023-07-09T00:00:00"/>
    <x v="83"/>
    <s v="https://www.properati.com.pe/detalle/14032-32-ef00-eb2bc763034e-f11679a9-abab-4248"/>
  </r>
  <r>
    <s v="Apartamento en alquiler en Ur. San Isidro"/>
    <s v="Ur. San Isidro"/>
    <x v="7"/>
    <s v="Lima"/>
    <x v="0"/>
    <n v="2220"/>
    <n v="222"/>
    <x v="2"/>
    <n v="1"/>
    <x v="0"/>
    <s v="Sí"/>
    <n v="50"/>
    <x v="13"/>
    <s v="Economico"/>
    <s v="Precio Estadar"/>
    <s v="Apartamento"/>
    <s v="Alquiler"/>
    <d v="2024-08-17T00:00:00"/>
    <x v="111"/>
    <s v="https://www.properati.com.pe/detalle/14032-32-5c1c-8e19b1cba6be-f1049f36-84db-420b"/>
  </r>
  <r>
    <s v="Apartamento en alquiler en As. Los Rosales"/>
    <s v="As. Los Rosales"/>
    <x v="21"/>
    <s v="Lima"/>
    <x v="0"/>
    <n v="2000"/>
    <n v="200"/>
    <x v="1"/>
    <n v="1"/>
    <x v="0"/>
    <s v="Sí"/>
    <n v="78"/>
    <x v="6"/>
    <s v="Economico"/>
    <s v="Precio Estadar"/>
    <s v="Apartamento"/>
    <s v="Alquiler"/>
    <d v="2023-12-07T00:00:00"/>
    <x v="120"/>
    <s v="https://www.properati.com.pe/detalle/14032-32-b2dc-5d463da1e347-bd44e712-a320-420e"/>
  </r>
  <r>
    <s v="Apartamento en alquiler en Ur. Las Gardenias"/>
    <s v="Ur. Las Gardenias"/>
    <x v="4"/>
    <s v="Lima"/>
    <x v="0"/>
    <n v="1650"/>
    <n v="165"/>
    <x v="2"/>
    <n v="1"/>
    <x v="1"/>
    <s v="No"/>
    <n v="40"/>
    <x v="38"/>
    <s v="Economico"/>
    <s v="Precio Estadar"/>
    <s v="Apartamento"/>
    <s v="Alquiler"/>
    <d v="2024-07-05T00:00:00"/>
    <x v="31"/>
    <s v="https://www.properati.com.pe/detalle/14032-32-d5c4-7d4880c48aa7-86651e20-854b-120d"/>
  </r>
  <r>
    <s v="Apartamento en alquiler en Ur. America"/>
    <s v="Ur. America"/>
    <x v="0"/>
    <s v="Lima"/>
    <x v="0"/>
    <n v="2900"/>
    <n v="290"/>
    <x v="0"/>
    <n v="3"/>
    <x v="0"/>
    <s v="No"/>
    <n v="93"/>
    <x v="6"/>
    <s v="Caro"/>
    <s v="Precio Estadar"/>
    <s v="Apartamento"/>
    <s v="Alquiler"/>
    <d v="2023-09-27T00:00:00"/>
    <x v="121"/>
    <s v="https://www.properati.com.pe/detalle/14032-32-d329-d2bbf9c8f8a1-8f28ff42-b27a-458b"/>
  </r>
  <r>
    <s v="Apartamento en alquiler en Ur. America"/>
    <s v="Ur. America"/>
    <x v="0"/>
    <s v="Lima"/>
    <x v="0"/>
    <n v="2590"/>
    <n v="259"/>
    <x v="0"/>
    <n v="2"/>
    <x v="0"/>
    <s v="Sí"/>
    <n v="82"/>
    <x v="27"/>
    <s v="Caro"/>
    <s v="Precio Estadar"/>
    <s v="Apartamento"/>
    <s v="Alquiler"/>
    <d v="2024-01-26T00:00:00"/>
    <x v="122"/>
    <s v="https://www.properati.com.pe/detalle/14032-32-4e83-9c6105d70f23-c445dd71-8442-4449"/>
  </r>
  <r>
    <s v="Apartamento en alquiler en Ur. Maranga Etapa V"/>
    <s v="Ur. Maranga Etapa V"/>
    <x v="16"/>
    <s v="Lima"/>
    <x v="0"/>
    <n v="2500"/>
    <n v="250"/>
    <x v="1"/>
    <n v="2"/>
    <x v="1"/>
    <s v="Sí"/>
    <n v="76"/>
    <x v="15"/>
    <s v="Economico"/>
    <s v="Precio Estadar"/>
    <s v="Apartamento"/>
    <s v="Alquiler"/>
    <d v="2024-08-15T00:00:00"/>
    <x v="123"/>
    <s v="https://www.properati.com.pe/detalle/14032-32-4d9c-1a33d8ba03e6-c27e9f19-831b-42d7"/>
  </r>
  <r>
    <s v="Apartamento en alquiler en Ur. Santa Ines"/>
    <s v="Ur. Santa Ines"/>
    <x v="7"/>
    <s v="Lima"/>
    <x v="0"/>
    <n v="11100"/>
    <n v="1110"/>
    <x v="1"/>
    <n v="3"/>
    <x v="0"/>
    <s v="No"/>
    <n v="330"/>
    <x v="20"/>
    <s v="Caro"/>
    <s v="Precio Estadar"/>
    <s v="Apartamento"/>
    <s v="Alquiler"/>
    <d v="2024-04-12T00:00:00"/>
    <x v="52"/>
    <s v="https://www.properati.com.pe/detalle/14032-32-6b9e-6d907aca1971-dde10f21-a2d4-4ab5"/>
  </r>
  <r>
    <s v="Apartamento en alquiler en Urb Cercado deMiraflores"/>
    <s v="Urb Cercado deMiraflores"/>
    <x v="5"/>
    <s v="Lima"/>
    <x v="0"/>
    <n v="4440"/>
    <n v="444"/>
    <x v="4"/>
    <n v="3"/>
    <x v="0"/>
    <s v="Sí"/>
    <n v="200"/>
    <x v="18"/>
    <s v="Caro"/>
    <s v="Precio Estadar"/>
    <s v="Apartamento"/>
    <s v="Alquiler"/>
    <d v="2024-11-03T00:00:00"/>
    <x v="51"/>
    <s v="https://www.properati.com.pe/detalle/14032-32-3659-cdabd5a73b16-aa1645e4-b6be-42d4"/>
  </r>
  <r>
    <s v="Apartamento en alquiler en Ur. San Borja"/>
    <s v="Ur. San Borja"/>
    <x v="11"/>
    <s v="Lima"/>
    <x v="0"/>
    <n v="9250"/>
    <n v="925"/>
    <x v="4"/>
    <n v="4"/>
    <x v="1"/>
    <s v="No"/>
    <n v="260"/>
    <x v="38"/>
    <s v="Caro"/>
    <s v="Precio Estadar"/>
    <s v="Apartamento"/>
    <s v="Alquiler"/>
    <d v="2023-02-27T00:00:00"/>
    <x v="52"/>
    <s v="https://www.properati.com.pe/detalle/14032-32-d913-94ae49df9d8a-30b10197-8a9b-498f"/>
  </r>
  <r>
    <s v="Apartamento en alquiler en Ur. Country Club"/>
    <s v="Ur. Country Club"/>
    <x v="7"/>
    <s v="Lima"/>
    <x v="0"/>
    <n v="9620"/>
    <n v="962"/>
    <x v="1"/>
    <n v="3"/>
    <x v="1"/>
    <s v="Sí"/>
    <n v="202"/>
    <x v="20"/>
    <s v="Caro"/>
    <s v="Precio Estadar"/>
    <s v="Apartamento"/>
    <s v="Alquiler"/>
    <d v="2024-01-03T00:00:00"/>
    <x v="52"/>
    <s v="https://www.properati.com.pe/detalle/14032-32-5fba-1ed6e7cb31f5-4c9a32a1-9c51-4215"/>
  </r>
  <r>
    <s v="Apartamento en alquiler en Ur. Javier Prado (Cahuache)"/>
    <s v="Ur. Javier Prado (Cahuache)"/>
    <x v="11"/>
    <s v="Lima"/>
    <x v="0"/>
    <n v="2700"/>
    <n v="270"/>
    <x v="0"/>
    <n v="2"/>
    <x v="1"/>
    <s v="Sí"/>
    <n v="170"/>
    <x v="10"/>
    <s v="Caro"/>
    <s v="Precio Estadar"/>
    <s v="Apartamento"/>
    <s v="Alquiler"/>
    <d v="2023-04-07T00:00:00"/>
    <x v="124"/>
    <s v="https://www.properati.com.pe/detalle/14032-32-75b-7adb20ef03e9-137e3cd3-8ad9-46a0"/>
  </r>
  <r>
    <s v="Apartamento en alquiler en Ur. Pedregal De Higuereta(San Atanacio De Pedregal)"/>
    <s v="Ur. Pedregal De Higuereta(San Atanacio De Pedregal)"/>
    <x v="10"/>
    <s v="Lima"/>
    <x v="0"/>
    <n v="2600"/>
    <n v="260"/>
    <x v="0"/>
    <n v="2"/>
    <x v="1"/>
    <s v="No"/>
    <n v="72"/>
    <x v="27"/>
    <s v="Caro"/>
    <s v="Precio Estadar"/>
    <s v="Apartamento"/>
    <s v="Alquiler"/>
    <d v="2023-02-12T00:00:00"/>
    <x v="52"/>
    <s v="https://www.properati.com.pe/detalle/14032-32-c2ac-e0970ba1a14-259df03a-bea4-4bf6"/>
  </r>
  <r>
    <s v="Casa en alquiler en San Bartolo"/>
    <s v="San Bartolo"/>
    <x v="5"/>
    <s v="Lima"/>
    <x v="0"/>
    <n v="2000"/>
    <n v="200"/>
    <x v="1"/>
    <n v="3"/>
    <x v="0"/>
    <s v="No"/>
    <n v="512"/>
    <x v="38"/>
    <s v="Economico"/>
    <s v="Precio Estadar"/>
    <s v="Casa"/>
    <s v="Alquiler"/>
    <d v="2023-05-24T00:00:00"/>
    <x v="125"/>
    <s v="https://www.properati.com.pe/detalle/14032-32-346a-49a2c279b599-1278fedf-a6b5-4147"/>
  </r>
  <r>
    <s v="Apartamento en alquiler en Ur. Country Club"/>
    <s v="Ur. Country Club"/>
    <x v="7"/>
    <s v="Lima"/>
    <x v="0"/>
    <n v="4810"/>
    <n v="481"/>
    <x v="2"/>
    <n v="2"/>
    <x v="1"/>
    <s v="No"/>
    <n v="104"/>
    <x v="10"/>
    <s v="Caro"/>
    <s v="Precio Estadar"/>
    <s v="Apartamento"/>
    <s v="Alquiler"/>
    <d v="2023-03-07T00:00:00"/>
    <x v="52"/>
    <s v="https://www.properati.com.pe/detalle/14032-32-5a3c-28ce484939ca-5053660d-a709-4fce"/>
  </r>
  <r>
    <s v="Apartamento en alquiler en Ur. Orrantia Del Mar"/>
    <s v="Ur. Orrantia Del Mar"/>
    <x v="7"/>
    <s v="Lima"/>
    <x v="0"/>
    <n v="2405"/>
    <n v="240.5"/>
    <x v="2"/>
    <n v="1"/>
    <x v="0"/>
    <s v="No"/>
    <m/>
    <x v="17"/>
    <s v="Economico"/>
    <s v="Precio Estadar"/>
    <s v="Apartamento"/>
    <s v="Alquiler"/>
    <d v="2024-09-05T00:00:00"/>
    <x v="126"/>
    <s v="https://www.properati.com.pe/detalle/14032-32-32f9-7565c00a91f5-a8d9545c-8157-38a8"/>
  </r>
  <r>
    <s v="Apartamento en alquiler en Bellavista"/>
    <s v="Bellavista"/>
    <x v="20"/>
    <s v=" Callao "/>
    <x v="4"/>
    <n v="1650"/>
    <n v="82.5"/>
    <x v="1"/>
    <n v="2"/>
    <x v="1"/>
    <s v="No"/>
    <n v="67"/>
    <x v="10"/>
    <s v="Economico"/>
    <s v="Precio Estadar"/>
    <s v="Apartamento"/>
    <s v="Alquiler"/>
    <d v="2023-06-17T00:00:00"/>
    <x v="116"/>
    <s v="https://www.properati.com.pe/detalle/14032-32-3e30-3a2831e7de31-6a2242a7-a6e0-4b38"/>
  </r>
  <r>
    <s v="Apartamento en alquiler en Ba. Del Medico"/>
    <s v="Ba. Del Medico"/>
    <x v="10"/>
    <s v="Lima"/>
    <x v="0"/>
    <n v="2700"/>
    <n v="270"/>
    <x v="1"/>
    <n v="2"/>
    <x v="0"/>
    <s v="Sí"/>
    <n v="75"/>
    <x v="38"/>
    <s v="Caro"/>
    <s v="Precio Estadar"/>
    <s v="Apartamento"/>
    <s v="Alquiler"/>
    <d v="2024-07-12T00:00:00"/>
    <x v="127"/>
    <s v="https://www.properati.com.pe/detalle/14032-32-36b0-635bd058d5d-71a43e0d-bd4d-46eb"/>
  </r>
  <r>
    <s v="Apartamento en alquiler en Ur. Balta"/>
    <s v="Ur. Balta"/>
    <x v="0"/>
    <s v="Lima"/>
    <x v="0"/>
    <n v="4440"/>
    <n v="444"/>
    <x v="1"/>
    <n v="2"/>
    <x v="0"/>
    <s v="Sí"/>
    <n v="160"/>
    <x v="10"/>
    <s v="Caro"/>
    <s v="Precio Estadar"/>
    <s v="Apartamento"/>
    <s v="Alquiler"/>
    <d v="2024-11-26T00:00:00"/>
    <x v="52"/>
    <s v="https://www.properati.com.pe/detalle/14032-32-986b-c268aadca15b-8b54110b-8645-44b0"/>
  </r>
  <r>
    <s v="Apartamento en alquiler en Ur. San Felipe"/>
    <s v="Ur. San Felipe"/>
    <x v="22"/>
    <s v="Lima"/>
    <x v="0"/>
    <n v="2800"/>
    <n v="280"/>
    <x v="1"/>
    <n v="3"/>
    <x v="0"/>
    <s v="Sí"/>
    <n v="83"/>
    <x v="0"/>
    <s v="Caro"/>
    <s v="Precio Estadar"/>
    <s v="Apartamento"/>
    <s v="Alquiler"/>
    <d v="2023-12-12T00:00:00"/>
    <x v="50"/>
    <s v="https://www.properati.com.pe/detalle/14032-32-5610-84a3ea723047-cd8c1d58-ac42-4d7a"/>
  </r>
  <r>
    <s v="Apartamento en alquiler en Ur. La ViÃ±ita"/>
    <s v="Ur. La ViÃ±ita"/>
    <x v="2"/>
    <s v="Lima"/>
    <x v="0"/>
    <n v="2300"/>
    <n v="230"/>
    <x v="2"/>
    <n v="1"/>
    <x v="1"/>
    <s v="No"/>
    <n v="41"/>
    <x v="16"/>
    <s v="Economico"/>
    <s v="Precio Estadar"/>
    <s v="Apartamento"/>
    <s v="Alquiler"/>
    <d v="2024-09-17T00:00:00"/>
    <x v="128"/>
    <s v="https://www.properati.com.pe/detalle/14032-32-e38-edf848e8f79f-2df19a7-a1eb-4303"/>
  </r>
  <r>
    <s v="Casa en alquiler en San Borja"/>
    <s v="San Borja"/>
    <x v="5"/>
    <s v="Lima"/>
    <x v="0"/>
    <n v="8880"/>
    <n v="888"/>
    <x v="4"/>
    <n v="3"/>
    <x v="0"/>
    <s v="No"/>
    <n v="301"/>
    <x v="12"/>
    <s v="Caro"/>
    <s v="Precio Estadar"/>
    <s v="Casa"/>
    <s v="Alquiler"/>
    <d v="2024-12-03T00:00:00"/>
    <x v="129"/>
    <s v="https://www.properati.com.pe/detalle/14032-32-9dd0-ba9e04e28cb4-c6c644b8-ab9b-4f45"/>
  </r>
  <r>
    <s v="Apartamento en alquiler en Ur. America"/>
    <s v="Ur. America"/>
    <x v="0"/>
    <s v="Lima"/>
    <x v="0"/>
    <n v="4440"/>
    <n v="444"/>
    <x v="0"/>
    <n v="4"/>
    <x v="0"/>
    <s v="Sí"/>
    <n v="150"/>
    <x v="6"/>
    <s v="Caro"/>
    <s v="Precio Estadar"/>
    <s v="Apartamento"/>
    <s v="Alquiler"/>
    <d v="2024-04-12T00:00:00"/>
    <x v="59"/>
    <s v="https://www.properati.com.pe/detalle/14032-32-6d1a-4f2a631e9425-ebd247d9-bbc3-408a"/>
  </r>
  <r>
    <s v="Casa en alquiler en Punta Hermosa"/>
    <s v="Punta Hermosa"/>
    <x v="5"/>
    <s v="Lima"/>
    <x v="0"/>
    <n v="2000"/>
    <n v="200"/>
    <x v="1"/>
    <n v="3"/>
    <x v="0"/>
    <s v="No"/>
    <n v="512"/>
    <x v="12"/>
    <s v="Economico"/>
    <s v="Precio Estadar"/>
    <s v="Casa"/>
    <s v="Alquiler"/>
    <d v="2023-12-15T00:00:00"/>
    <x v="125"/>
    <s v="https://www.properati.com.pe/detalle/14032-32-d59d-a75386f29790-53c17b92-a69a-4173"/>
  </r>
  <r>
    <s v="Apartamento en alquiler en Ur. El Rosal"/>
    <s v="Ur. El Rosal"/>
    <x v="0"/>
    <s v="Lima"/>
    <x v="0"/>
    <n v="3700"/>
    <n v="370"/>
    <x v="0"/>
    <n v="3"/>
    <x v="1"/>
    <s v="No"/>
    <n v="106"/>
    <x v="19"/>
    <s v="Caro"/>
    <s v="Precio Estadar"/>
    <s v="Apartamento"/>
    <s v="Alquiler"/>
    <d v="2023-08-29T00:00:00"/>
    <x v="0"/>
    <s v="https://www.properati.com.pe/detalle/14032-32-a40b-8be85815d288-986a51c0-9e22-120d"/>
  </r>
  <r>
    <s v="Apartamento en alquiler en Ur. Chacarilla Del Estanque"/>
    <s v="Ur. Chacarilla Del Estanque"/>
    <x v="4"/>
    <s v="Lima"/>
    <x v="0"/>
    <n v="5000"/>
    <n v="500"/>
    <x v="1"/>
    <n v="3"/>
    <x v="1"/>
    <s v="No"/>
    <n v="135"/>
    <x v="6"/>
    <s v="Caro"/>
    <s v="Precio Estadar"/>
    <s v="Apartamento"/>
    <s v="Alquiler"/>
    <d v="2024-05-18T00:00:00"/>
    <x v="130"/>
    <s v="https://www.properati.com.pe/detalle/14032-32-d4f0-15ecaaf9dade-9e3605c0-aa0e-120d"/>
  </r>
  <r>
    <s v="Apartamento en alquiler en Ur. Balta"/>
    <s v="Ur. Balta"/>
    <x v="0"/>
    <s v="Lima"/>
    <x v="0"/>
    <n v="5920"/>
    <n v="592"/>
    <x v="1"/>
    <n v="2"/>
    <x v="1"/>
    <s v="No"/>
    <n v="144"/>
    <x v="38"/>
    <s v="Caro"/>
    <s v="Precio Estadar"/>
    <s v="Apartamento"/>
    <s v="Alquiler"/>
    <d v="2023-05-28T00:00:00"/>
    <x v="15"/>
    <s v="https://www.properati.com.pe/detalle/14032-32-509d-191e0ca9c86f-83438c79-bc63-4ffc"/>
  </r>
  <r>
    <s v="Casa en alquiler en Ur. Javier Prado (Cahuache)"/>
    <s v="Ur. Javier Prado (Cahuache)"/>
    <x v="11"/>
    <s v="Lima"/>
    <x v="0"/>
    <n v="6290"/>
    <n v="629"/>
    <x v="9"/>
    <n v="9"/>
    <x v="1"/>
    <s v="Sí"/>
    <n v="200"/>
    <x v="20"/>
    <s v="Caro"/>
    <s v="Precio Estadar"/>
    <s v="Casa"/>
    <s v="Alquiler"/>
    <d v="2023-09-04T00:00:00"/>
    <x v="23"/>
    <s v="https://www.properati.com.pe/detalle/14032-32-195a-5e02d83a21b-989fca48-9fa2-47d9"/>
  </r>
  <r>
    <s v="Apartamento en alquiler en Hu. Cercado DeMiraflores"/>
    <s v="Hu. Cercado DeMiraflores"/>
    <x v="0"/>
    <s v="Lima"/>
    <x v="0"/>
    <n v="3515"/>
    <n v="351.5"/>
    <x v="1"/>
    <n v="2"/>
    <x v="1"/>
    <s v="Sí"/>
    <n v="119"/>
    <x v="6"/>
    <s v="Caro"/>
    <s v="Precio Estadar"/>
    <s v="Apartamento"/>
    <s v="Alquiler"/>
    <d v="2023-06-10T00:00:00"/>
    <x v="131"/>
    <s v="https://www.properati.com.pe/detalle/14032-32-155-c4a4df80c6f7-c9633850-a6ef-4800"/>
  </r>
  <r>
    <s v="Apartamento en alquiler en Ur. San Juan Sector A"/>
    <s v="Ur. San Juan Sector A"/>
    <x v="14"/>
    <s v="Lima"/>
    <x v="0"/>
    <n v="1700"/>
    <n v="170"/>
    <x v="4"/>
    <n v="3"/>
    <x v="0"/>
    <s v="No"/>
    <n v="80"/>
    <x v="7"/>
    <s v="Economico"/>
    <s v="Buena Oferta"/>
    <s v="Apartamento"/>
    <s v="Alquiler"/>
    <d v="2023-03-11T00:00:00"/>
    <x v="132"/>
    <s v="https://www.properati.com.pe/detalle/14032-32-d4cd-4b2e66054c72-b4183750-a599-120d"/>
  </r>
  <r>
    <s v="Casa en alquiler en San Bartolo"/>
    <s v="San Bartolo"/>
    <x v="5"/>
    <s v="Lima"/>
    <x v="0"/>
    <n v="4070"/>
    <n v="407"/>
    <x v="1"/>
    <n v="3"/>
    <x v="0"/>
    <s v="Sí"/>
    <n v="180"/>
    <x v="12"/>
    <s v="Caro"/>
    <s v="Precio Estadar"/>
    <s v="Casa"/>
    <s v="Alquiler"/>
    <d v="2024-05-25T00:00:00"/>
    <x v="125"/>
    <s v="https://www.properati.com.pe/detalle/14032-32-d4c3-9fea81837217-a51de150-99e7-120d"/>
  </r>
  <r>
    <s v="Apartamento en alquiler en Ur. San Antonio"/>
    <s v="Ur. San Antonio"/>
    <x v="0"/>
    <s v="Lima"/>
    <x v="0"/>
    <n v="5180"/>
    <n v="518"/>
    <x v="1"/>
    <n v="4"/>
    <x v="0"/>
    <s v="No"/>
    <n v="210"/>
    <x v="27"/>
    <s v="Caro"/>
    <s v="Precio Estadar"/>
    <s v="Apartamento"/>
    <s v="Alquiler"/>
    <d v="2024-08-09T00:00:00"/>
    <x v="93"/>
    <s v="https://www.properati.com.pe/detalle/14032-32-1c87-391426fddf66-e9c9d2ce-af70-4c3e"/>
  </r>
  <r>
    <s v="Apartamento en alquiler en Surco"/>
    <s v="Surco"/>
    <x v="4"/>
    <s v="Lima"/>
    <x v="0"/>
    <n v="4625"/>
    <n v="462.5"/>
    <x v="1"/>
    <n v="3"/>
    <x v="1"/>
    <s v="No"/>
    <n v="150"/>
    <x v="12"/>
    <s v="Caro"/>
    <s v="Precio Estadar"/>
    <s v="Apartamento"/>
    <s v="Alquiler"/>
    <d v="2023-11-24T00:00:00"/>
    <x v="5"/>
    <s v="https://www.properati.com.pe/detalle/14032-32-fc6f-65a3aade433-608d0dca-8d68-4482"/>
  </r>
  <r>
    <s v="Apartamento en alquiler en Zona 7-B"/>
    <s v="Zona 7-B"/>
    <x v="37"/>
    <s v="Lima"/>
    <x v="0"/>
    <n v="2923"/>
    <n v="292.3"/>
    <x v="1"/>
    <n v="3"/>
    <x v="1"/>
    <s v="No"/>
    <n v="150"/>
    <x v="6"/>
    <s v="Caro"/>
    <s v="Precio Estadar"/>
    <s v="Apartamento"/>
    <s v="Alquiler"/>
    <d v="2023-09-24T00:00:00"/>
    <x v="7"/>
    <s v="https://www.properati.com.pe/detalle/14032-32-85b4-a0b1767245a2-14132992-b702-3cec"/>
  </r>
  <r>
    <s v="Apartamento en alquiler en Ur. Tambo De Monterrico"/>
    <s v="Ur. Tambo De Monterrico"/>
    <x v="4"/>
    <s v="Lima"/>
    <x v="0"/>
    <n v="2775"/>
    <n v="277.5"/>
    <x v="2"/>
    <n v="1"/>
    <x v="1"/>
    <s v="Sí"/>
    <n v="77"/>
    <x v="27"/>
    <s v="Caro"/>
    <s v="Precio Estadar"/>
    <s v="Apartamento"/>
    <s v="Alquiler"/>
    <d v="2024-08-22T00:00:00"/>
    <x v="60"/>
    <s v="https://www.properati.com.pe/detalle/14032-32-641a-fba22f787c53-69bad766-baf1-3c3f"/>
  </r>
  <r>
    <s v="Apartamento en alquiler en El Palomar"/>
    <s v="El Palomar"/>
    <x v="5"/>
    <s v="Lima"/>
    <x v="0"/>
    <n v="2400"/>
    <n v="240"/>
    <x v="0"/>
    <n v="1"/>
    <x v="0"/>
    <s v="Sí"/>
    <n v="70"/>
    <x v="38"/>
    <s v="Economico"/>
    <s v="Precio Estadar"/>
    <s v="Apartamento"/>
    <s v="Alquiler"/>
    <d v="2023-12-28T00:00:00"/>
    <x v="133"/>
    <s v="https://www.properati.com.pe/detalle/14032-32-f7c2-a57c99e2d64e-622ca061-9c0b-42a7"/>
  </r>
  <r>
    <s v="Apartamento en alquiler en Chacra Rios Sur"/>
    <s v="Chacra Rios Sur"/>
    <x v="5"/>
    <s v="Lima"/>
    <x v="0"/>
    <n v="1746"/>
    <n v="174.60000000000002"/>
    <x v="1"/>
    <n v="2"/>
    <x v="1"/>
    <s v="Sí"/>
    <n v="69"/>
    <x v="15"/>
    <s v="Economico"/>
    <s v="Precio Estadar"/>
    <s v="Apartamento"/>
    <s v="Alquiler"/>
    <d v="2023-03-05T00:00:00"/>
    <x v="134"/>
    <s v="https://www.properati.com.pe/detalle/14032-32-b444-8eca2654c3ff-d9f25185-84d4-4de1"/>
  </r>
  <r>
    <s v="HabitaciÃ³n en alquiler en Ur. Los Cedros De Villa Etapa I"/>
    <s v="Ur. Los Cedros De Villa Etapa I"/>
    <x v="8"/>
    <s v="Lima"/>
    <x v="0"/>
    <n v="7"/>
    <n v="0.70000000000000007"/>
    <x v="2"/>
    <n v="1"/>
    <x v="0"/>
    <s v="No"/>
    <n v="20"/>
    <x v="0"/>
    <s v="Economico"/>
    <s v="Precio Estadar"/>
    <s v="HabitaciÃ³n"/>
    <s v="Alquiler"/>
    <d v="2024-12-01T00:00:00"/>
    <x v="135"/>
    <s v="https://www.properati.com.pe/detalle/14032-32-5336-67e32e639926-5a384685-aabc-434b"/>
  </r>
  <r>
    <s v="Apartamento en alquiler en Santiago de Surco"/>
    <s v="Santiago de Surco"/>
    <x v="5"/>
    <s v="Lima"/>
    <x v="0"/>
    <n v="2405"/>
    <n v="240.5"/>
    <x v="1"/>
    <n v="3"/>
    <x v="0"/>
    <s v="Sí"/>
    <n v="165"/>
    <x v="19"/>
    <s v="Economico"/>
    <s v="Precio Estadar"/>
    <s v="Apartamento"/>
    <s v="Alquiler"/>
    <d v="2024-06-18T00:00:00"/>
    <x v="81"/>
    <s v="https://www.properati.com.pe/detalle/14032-32-58e8-8cc1e1f50e9d-d125f49d-bb7b-408f"/>
  </r>
  <r>
    <s v="Apartamento en alquiler en Hu. Cercado DeMiraflores"/>
    <s v="Hu. Cercado DeMiraflores"/>
    <x v="0"/>
    <s v="Lima"/>
    <x v="0"/>
    <n v="4255"/>
    <n v="425.5"/>
    <x v="0"/>
    <n v="2"/>
    <x v="0"/>
    <s v="Sí"/>
    <m/>
    <x v="20"/>
    <s v="Caro"/>
    <s v="Precio Estadar"/>
    <s v="Apartamento"/>
    <s v="Alquiler"/>
    <d v="2023-04-02T00:00:00"/>
    <x v="81"/>
    <s v="https://www.properati.com.pe/detalle/14032-32-51b1-f3e266034274-af578030-9357-4bf3"/>
  </r>
  <r>
    <s v="Apartamento en alquiler en Ur. Balta"/>
    <s v="Ur. Balta"/>
    <x v="0"/>
    <s v="Lima"/>
    <x v="0"/>
    <n v="3515"/>
    <n v="351.5"/>
    <x v="1"/>
    <n v="3"/>
    <x v="1"/>
    <s v="Sí"/>
    <n v="100"/>
    <x v="6"/>
    <s v="Caro"/>
    <s v="Precio Estadar"/>
    <s v="Apartamento"/>
    <s v="Alquiler"/>
    <d v="2024-09-01T00:00:00"/>
    <x v="81"/>
    <s v="https://www.properati.com.pe/detalle/14032-32-f196-96855865fc61-4020a42-bfab-4e6a"/>
  </r>
  <r>
    <s v="Apartamento en alquiler en Hu. Cercado DeMiraflores"/>
    <s v="Hu. Cercado DeMiraflores"/>
    <x v="0"/>
    <s v="Lima"/>
    <x v="0"/>
    <n v="3515"/>
    <n v="351.5"/>
    <x v="2"/>
    <n v="2"/>
    <x v="0"/>
    <s v="Sí"/>
    <n v="140"/>
    <x v="13"/>
    <s v="Caro"/>
    <s v="Precio Estadar"/>
    <s v="Apartamento"/>
    <s v="Alquiler"/>
    <d v="2024-10-15T00:00:00"/>
    <x v="81"/>
    <s v="https://www.properati.com.pe/detalle/14032-32-731-5f35de0e2628-80c49181-bf59-4340"/>
  </r>
  <r>
    <s v="Apartamento en alquiler en Ur. Linda Vista De Monterrico"/>
    <s v="Ur. Linda Vista De Monterrico"/>
    <x v="18"/>
    <s v="Lima"/>
    <x v="0"/>
    <n v="2200"/>
    <n v="220"/>
    <x v="1"/>
    <n v="2"/>
    <x v="0"/>
    <s v="Sí"/>
    <n v="95"/>
    <x v="10"/>
    <s v="Economico"/>
    <s v="Precio Estadar"/>
    <s v="Apartamento"/>
    <s v="Alquiler"/>
    <d v="2023-10-09T00:00:00"/>
    <x v="136"/>
    <s v="https://www.properati.com.pe/detalle/14032-32-7bc6-406b3624b095-145738c6-8a69-4734"/>
  </r>
  <r>
    <s v="Apartamento en alquiler en Ur. Miramar"/>
    <s v="Ur. Miramar"/>
    <x v="16"/>
    <s v="Lima"/>
    <x v="0"/>
    <n v="3700"/>
    <n v="370"/>
    <x v="1"/>
    <n v="3"/>
    <x v="1"/>
    <s v="Sí"/>
    <n v="125"/>
    <x v="13"/>
    <s v="Caro"/>
    <s v="Precio Estadar"/>
    <s v="Apartamento"/>
    <s v="Alquiler"/>
    <d v="2024-05-27T00:00:00"/>
    <x v="95"/>
    <s v="https://www.properati.com.pe/detalle/14032-32-b3f7-675b2c763b9c-54315af8-bbf7-4a61"/>
  </r>
  <r>
    <s v="Apartamento en alquiler en Ur. Miramar"/>
    <s v="Ur. Miramar"/>
    <x v="16"/>
    <s v="Lima"/>
    <x v="0"/>
    <n v="1900"/>
    <n v="190"/>
    <x v="1"/>
    <n v="2"/>
    <x v="1"/>
    <s v="Sí"/>
    <n v="62"/>
    <x v="7"/>
    <s v="Economico"/>
    <s v="Precio Estadar"/>
    <s v="Apartamento"/>
    <s v="Alquiler"/>
    <d v="2023-07-15T00:00:00"/>
    <x v="10"/>
    <s v="https://www.properati.com.pe/detalle/14032-32-d249-7a1a26a0ce25-241e1fc8-9492-454b"/>
  </r>
  <r>
    <s v="Apartamento en alquiler en Ur. Leuro"/>
    <s v="Ur. Leuro"/>
    <x v="0"/>
    <s v="Lima"/>
    <x v="0"/>
    <n v="3500"/>
    <n v="350"/>
    <x v="1"/>
    <n v="3"/>
    <x v="1"/>
    <s v="Sí"/>
    <n v="95"/>
    <x v="8"/>
    <s v="Caro"/>
    <s v="Precio Estadar"/>
    <s v="Apartamento"/>
    <s v="Alquiler"/>
    <d v="2023-11-08T00:00:00"/>
    <x v="106"/>
    <s v="https://www.properati.com.pe/detalle/14032-32-e719-ee35f6e1123b-d2e68ab7-a24e-4a1e"/>
  </r>
  <r>
    <s v="Apartamento en alquiler en Ur. Confraternidad"/>
    <s v="Ur. Confraternidad"/>
    <x v="2"/>
    <s v="Lima"/>
    <x v="0"/>
    <n v="2590"/>
    <n v="259"/>
    <x v="2"/>
    <n v="1"/>
    <x v="1"/>
    <s v="Sí"/>
    <n v="41"/>
    <x v="13"/>
    <s v="Caro"/>
    <s v="Precio Estadar"/>
    <s v="Apartamento"/>
    <s v="Alquiler"/>
    <d v="2024-03-04T00:00:00"/>
    <x v="63"/>
    <s v="https://www.properati.com.pe/detalle/14032-32-3a25-cef39a06585d-9fa08e1-b59b-4c01"/>
  </r>
  <r>
    <s v="Apartamento en alquiler en Petit Jean OcharÃ¡n"/>
    <s v="Petit Jean OcharÃ¡n"/>
    <x v="38"/>
    <s v="Lima"/>
    <x v="0"/>
    <n v="2590"/>
    <n v="259"/>
    <x v="2"/>
    <n v="2"/>
    <x v="0"/>
    <s v="Sí"/>
    <n v="60"/>
    <x v="13"/>
    <s v="Caro"/>
    <s v="Precio Estadar"/>
    <s v="Apartamento"/>
    <s v="Alquiler"/>
    <d v="2023-07-14T00:00:00"/>
    <x v="17"/>
    <s v="https://www.properati.com.pe/detalle/14032-32-62f1-a3c63539229c-b372b85e-be6e-417c"/>
  </r>
  <r>
    <s v="Apartamento en alquiler en Hu. Cercado DeMiraflores"/>
    <s v="Hu. Cercado DeMiraflores"/>
    <x v="0"/>
    <s v="Lima"/>
    <x v="0"/>
    <n v="3441"/>
    <n v="344.1"/>
    <x v="0"/>
    <n v="3"/>
    <x v="0"/>
    <s v="No"/>
    <n v="130"/>
    <x v="27"/>
    <s v="Caro"/>
    <s v="Precio Estadar"/>
    <s v="Apartamento"/>
    <s v="Alquiler"/>
    <d v="2024-03-01T00:00:00"/>
    <x v="65"/>
    <s v="https://www.properati.com.pe/detalle/14032-32-e72e-2607a9c3e82e-4d9ce001-ab48-441c"/>
  </r>
  <r>
    <s v="Apartamento en alquiler en San Isidro"/>
    <s v="San Isidro"/>
    <x v="5"/>
    <s v="Lima"/>
    <x v="0"/>
    <n v="4810"/>
    <n v="481"/>
    <x v="0"/>
    <n v="2"/>
    <x v="1"/>
    <s v="Sí"/>
    <n v="154"/>
    <x v="17"/>
    <s v="Caro"/>
    <s v="Precio Estadar"/>
    <s v="Apartamento"/>
    <s v="Alquiler"/>
    <d v="2023-10-09T00:00:00"/>
    <x v="137"/>
    <s v="https://www.properati.com.pe/detalle/14032-32-2a7f-9bc5c87ff5fe-e01662f0-b74a-4715"/>
  </r>
  <r>
    <s v="Apartamento en alquiler en Zona 7-B"/>
    <s v="Zona 7-B"/>
    <x v="37"/>
    <s v="Lima"/>
    <x v="0"/>
    <n v="2900"/>
    <n v="290"/>
    <x v="1"/>
    <n v="3"/>
    <x v="0"/>
    <s v="No"/>
    <n v="150"/>
    <x v="17"/>
    <s v="Caro"/>
    <s v="Precio Estadar"/>
    <s v="Apartamento"/>
    <s v="Alquiler"/>
    <d v="2023-12-04T00:00:00"/>
    <x v="7"/>
    <s v="https://www.properati.com.pe/detalle/14032-32-e251-9d220862bd7c-fc68db45-a772-3df6"/>
  </r>
  <r>
    <s v="Apartamento en alquiler en Lurigancho"/>
    <s v="Lurigancho"/>
    <x v="5"/>
    <s v="Lima"/>
    <x v="0"/>
    <n v="1369"/>
    <n v="136.9"/>
    <x v="1"/>
    <n v="2"/>
    <x v="1"/>
    <s v="Sí"/>
    <n v="85"/>
    <x v="6"/>
    <s v="Economico"/>
    <s v="Precio Estadar"/>
    <s v="Apartamento"/>
    <s v="Alquiler"/>
    <d v="2024-08-18T00:00:00"/>
    <x v="25"/>
    <s v="https://www.properati.com.pe/detalle/14032-32-d3cf-8f9aff4ff713-4601f7bf-a69a-4508"/>
  </r>
  <r>
    <s v="Apartamento en alquiler en Hu. Cercado DeMiraflores"/>
    <s v="Hu. Cercado DeMiraflores"/>
    <x v="0"/>
    <s v="Lima"/>
    <x v="0"/>
    <n v="3330"/>
    <n v="333"/>
    <x v="0"/>
    <n v="3"/>
    <x v="1"/>
    <s v="No"/>
    <n v="180"/>
    <x v="15"/>
    <s v="Caro"/>
    <s v="Precio Estadar"/>
    <s v="Apartamento"/>
    <s v="Alquiler"/>
    <d v="2023-02-21T00:00:00"/>
    <x v="138"/>
    <s v="https://www.properati.com.pe/detalle/14032-32-21a-266fd34a1a6b-988b1322-b798-47a5"/>
  </r>
  <r>
    <s v="Apartamento en alquiler en Ur. Avitentel (Entel Peru)"/>
    <s v="Ur. Avitentel (Entel Peru)"/>
    <x v="14"/>
    <s v="Lima"/>
    <x v="0"/>
    <n v="1500"/>
    <n v="150"/>
    <x v="1"/>
    <n v="2"/>
    <x v="1"/>
    <s v="No"/>
    <n v="98"/>
    <x v="8"/>
    <s v="Economico"/>
    <s v="Precio Estadar"/>
    <s v="Apartamento"/>
    <s v="Alquiler"/>
    <d v="2024-07-22T00:00:00"/>
    <x v="139"/>
    <s v="https://www.properati.com.pe/detalle/14032-32-f68b-e147f5ba34b5-f8dc033-9ac9-44a5"/>
  </r>
  <r>
    <s v="Apartamento en alquiler en Ur. Chacarilla Santa Cruz"/>
    <s v="Ur. Chacarilla Santa Cruz"/>
    <x v="7"/>
    <s v="Lima"/>
    <x v="0"/>
    <n v="2923"/>
    <n v="292.3"/>
    <x v="0"/>
    <n v="3"/>
    <x v="0"/>
    <s v="Sí"/>
    <n v="63"/>
    <x v="6"/>
    <s v="Caro"/>
    <s v="Precio Estadar"/>
    <s v="Apartamento"/>
    <s v="Alquiler"/>
    <d v="2024-11-22T00:00:00"/>
    <x v="50"/>
    <s v="https://www.properati.com.pe/detalle/14032-32-d538-7ac0f7c8d12e-6c09cebd-bd50-42ee"/>
  </r>
  <r>
    <s v="Apartamento en alquiler en Ur. Tambo De Monterrico"/>
    <s v="Ur. Tambo De Monterrico"/>
    <x v="4"/>
    <s v="Lima"/>
    <x v="0"/>
    <n v="2960"/>
    <n v="296"/>
    <x v="0"/>
    <n v="2"/>
    <x v="0"/>
    <s v="No"/>
    <n v="72"/>
    <x v="27"/>
    <s v="Caro"/>
    <s v="Precio Estadar"/>
    <s v="Apartamento"/>
    <s v="Alquiler"/>
    <d v="2024-12-26T00:00:00"/>
    <x v="33"/>
    <s v="https://www.properati.com.pe/detalle/14032-32-56fa-ce620b302ade-f87722fc-8f54-43a3"/>
  </r>
  <r>
    <s v="Apartamento en alquiler en El Bosque"/>
    <s v="El Bosque"/>
    <x v="1"/>
    <s v="Arequipa"/>
    <x v="1"/>
    <n v="5920"/>
    <n v="296"/>
    <x v="1"/>
    <n v="5"/>
    <x v="0"/>
    <s v="Sí"/>
    <n v="250"/>
    <x v="18"/>
    <s v="Caro"/>
    <s v="Precio Estadar"/>
    <s v="Apartamento"/>
    <s v="Alquiler"/>
    <d v="2023-05-07T00:00:00"/>
    <x v="79"/>
    <s v="https://www.properati.com.pe/detalle/14032-32-d329-9720269d9d1b-c44647c0-a480-120d"/>
  </r>
  <r>
    <s v="Apartamento en alquiler en Ur. Balta"/>
    <s v="Ur. Balta"/>
    <x v="0"/>
    <s v="Lima"/>
    <x v="0"/>
    <n v="9250"/>
    <n v="925"/>
    <x v="1"/>
    <n v="4"/>
    <x v="1"/>
    <s v="Sí"/>
    <n v="200"/>
    <x v="7"/>
    <s v="Caro"/>
    <s v="Precio Estadar"/>
    <s v="Apartamento"/>
    <s v="Alquiler"/>
    <d v="2024-04-20T00:00:00"/>
    <x v="140"/>
    <s v="https://www.properati.com.pe/detalle/14032-32-b2f7-d3c31cf124d9-5b16b160-9cde-120d"/>
  </r>
  <r>
    <s v="Apartamento en alquiler en Ur. Parque Internacional De Industria Y Comercio"/>
    <s v="Ur. Parque Internacional De Industria Y Comercio"/>
    <x v="20"/>
    <s v=" Callao"/>
    <x v="2"/>
    <n v="1300"/>
    <n v="65"/>
    <x v="0"/>
    <n v="2"/>
    <x v="0"/>
    <s v="Sí"/>
    <n v="69"/>
    <x v="19"/>
    <s v="Economico"/>
    <s v="Precio Estadar"/>
    <s v="Apartamento"/>
    <s v="Alquiler"/>
    <d v="2023-03-30T00:00:00"/>
    <x v="141"/>
    <s v="https://www.properati.com.pe/detalle/14032-32-68b5-dbadf2d5bda6-f35fda06-b7c6-4ef5"/>
  </r>
  <r>
    <s v="Apartamento en alquiler en Ur. Leuro"/>
    <s v="Ur. Leuro"/>
    <x v="0"/>
    <s v="Lima"/>
    <x v="0"/>
    <n v="3100"/>
    <n v="310"/>
    <x v="1"/>
    <n v="3"/>
    <x v="1"/>
    <s v="No"/>
    <n v="103"/>
    <x v="17"/>
    <s v="Caro"/>
    <s v="Precio Estadar"/>
    <s v="Apartamento"/>
    <s v="Alquiler"/>
    <d v="2024-10-01T00:00:00"/>
    <x v="24"/>
    <s v="https://www.properati.com.pe/detalle/14032-32-ce43-57dcdd91750c-da29dae9-8d0f-4bb2"/>
  </r>
  <r>
    <s v="Apartamento en alquiler en Ur. La Capilla (U-2)"/>
    <s v="Ur. La Capilla (U-2)"/>
    <x v="21"/>
    <s v="Lima"/>
    <x v="0"/>
    <n v="1400"/>
    <n v="140"/>
    <x v="0"/>
    <n v="2"/>
    <x v="0"/>
    <s v="No"/>
    <n v="50"/>
    <x v="17"/>
    <s v="Economico"/>
    <s v="Precio Estadar"/>
    <s v="Apartamento"/>
    <s v="Alquiler"/>
    <d v="2023-10-07T00:00:00"/>
    <x v="136"/>
    <s v="https://www.properati.com.pe/detalle/14032-32-44b4-3da1faf56803-7a60d7e3-b7f0-4ed4"/>
  </r>
  <r>
    <s v="Apartamento en alquiler en Ur. Aurora"/>
    <s v="Ur. Aurora"/>
    <x v="0"/>
    <s v="Lima"/>
    <x v="0"/>
    <n v="4440"/>
    <n v="444"/>
    <x v="1"/>
    <n v="2"/>
    <x v="1"/>
    <s v="No"/>
    <n v="150"/>
    <x v="12"/>
    <s v="Caro"/>
    <s v="Precio Estadar"/>
    <s v="Apartamento"/>
    <s v="Alquiler"/>
    <d v="2024-11-18T00:00:00"/>
    <x v="23"/>
    <s v="https://www.properati.com.pe/detalle/14032-32-57c0-c9eb6ea28ffc-f9ab3854-8274-4b26"/>
  </r>
  <r>
    <s v="Apartamento en alquiler en Ur. Santa Cruz"/>
    <s v="Ur. Santa Cruz"/>
    <x v="0"/>
    <s v="Lima"/>
    <x v="0"/>
    <n v="7400"/>
    <n v="740"/>
    <x v="1"/>
    <n v="2"/>
    <x v="1"/>
    <s v="Sí"/>
    <n v="175"/>
    <x v="27"/>
    <s v="Caro"/>
    <s v="Precio Estadar"/>
    <s v="Apartamento"/>
    <s v="Alquiler"/>
    <d v="2023-07-28T00:00:00"/>
    <x v="74"/>
    <s v="https://www.properati.com.pe/detalle/14032-32-2bc6-fc3f3e5d3608-c891cf7e-be22-46fd"/>
  </r>
  <r>
    <s v="Apartamento en alquiler en Ur. America"/>
    <s v="Ur. America"/>
    <x v="0"/>
    <s v="Lima"/>
    <x v="0"/>
    <n v="3700"/>
    <n v="370"/>
    <x v="0"/>
    <n v="3"/>
    <x v="1"/>
    <s v="No"/>
    <n v="106"/>
    <x v="20"/>
    <s v="Caro"/>
    <s v="Precio Estadar"/>
    <s v="Apartamento"/>
    <s v="Alquiler"/>
    <d v="2024-09-22T00:00:00"/>
    <x v="142"/>
    <s v="https://www.properati.com.pe/detalle/14032-32-d24c-577331d3d019-5765b10-b702-120d"/>
  </r>
  <r>
    <s v="Apartamento en alquiler en Ur. Oyague"/>
    <s v="Ur. Oyague"/>
    <x v="25"/>
    <s v="Lima"/>
    <x v="0"/>
    <n v="2200"/>
    <n v="220"/>
    <x v="1"/>
    <n v="2"/>
    <x v="1"/>
    <s v="No"/>
    <n v="112"/>
    <x v="30"/>
    <s v="Economico"/>
    <s v="Precio Estadar"/>
    <s v="Apartamento"/>
    <s v="Alquiler"/>
    <d v="2024-04-06T00:00:00"/>
    <x v="10"/>
    <s v="https://www.properati.com.pe/detalle/14032-32-ec2b-7226305eb72e-466af862-9d35-42eb"/>
  </r>
  <r>
    <s v="Apartamento en alquiler en Ur. San Isidro"/>
    <s v="Ur. San Isidro"/>
    <x v="7"/>
    <s v="Lima"/>
    <x v="0"/>
    <n v="4625"/>
    <n v="462.5"/>
    <x v="1"/>
    <n v="2"/>
    <x v="0"/>
    <s v="No"/>
    <n v="150"/>
    <x v="16"/>
    <s v="Caro"/>
    <s v="Precio Estadar"/>
    <s v="Apartamento"/>
    <s v="Alquiler"/>
    <d v="2023-11-06T00:00:00"/>
    <x v="34"/>
    <s v="https://www.properati.com.pe/detalle/14032-32-139c-2a2d5f092748-cab56c2-83db-4448"/>
  </r>
  <r>
    <s v="Apartamento en alquiler en Ur. Aurora"/>
    <s v="Ur. Aurora"/>
    <x v="10"/>
    <s v="Lima"/>
    <x v="0"/>
    <n v="2800"/>
    <n v="280"/>
    <x v="0"/>
    <n v="2"/>
    <x v="1"/>
    <s v="Sí"/>
    <n v="78"/>
    <x v="13"/>
    <s v="Caro"/>
    <s v="Precio Estadar"/>
    <s v="Apartamento"/>
    <s v="Alquiler"/>
    <d v="2024-03-23T00:00:00"/>
    <x v="63"/>
    <s v="https://www.properati.com.pe/detalle/14032-32-c7d0-8d134af667ba-b6392442-a7c0-49bb"/>
  </r>
  <r>
    <s v="Apartamento en alquiler en Ur. Los Portales De Javier Prado Etapa Ii"/>
    <s v="Ur. Los Portales De Javier Prado Etapa Ii"/>
    <x v="18"/>
    <s v="Lima"/>
    <x v="0"/>
    <n v="1400"/>
    <n v="140"/>
    <x v="0"/>
    <n v="2"/>
    <x v="0"/>
    <s v="Sí"/>
    <n v="75"/>
    <x v="0"/>
    <s v="Economico"/>
    <s v="Precio Estadar"/>
    <s v="Apartamento"/>
    <s v="Alquiler"/>
    <d v="2023-03-31T00:00:00"/>
    <x v="41"/>
    <s v="https://www.properati.com.pe/detalle/14032-32-8cfc-29688a9003d5-38481e03-83a9-467a"/>
  </r>
  <r>
    <s v="Apartamento en alquiler en Ur. Monterrico Norte"/>
    <s v="Ur. Monterrico Norte"/>
    <x v="11"/>
    <s v="Lima"/>
    <x v="0"/>
    <n v="4255"/>
    <n v="425.5"/>
    <x v="1"/>
    <n v="3"/>
    <x v="1"/>
    <s v="Sí"/>
    <n v="139"/>
    <x v="30"/>
    <s v="Caro"/>
    <s v="Precio Estadar"/>
    <s v="Apartamento"/>
    <s v="Alquiler"/>
    <d v="2023-05-13T00:00:00"/>
    <x v="20"/>
    <s v="https://www.properati.com.pe/detalle/14032-32-de63-da2e8f822c52-c0aa7dd-9b21-4493"/>
  </r>
  <r>
    <s v="Apartamento en alquiler en Ur. San Miguel"/>
    <s v="Ur. San Miguel"/>
    <x v="16"/>
    <s v="Lima"/>
    <x v="0"/>
    <n v="1739"/>
    <n v="173.9"/>
    <x v="0"/>
    <n v="1"/>
    <x v="0"/>
    <s v="No"/>
    <n v="45"/>
    <x v="27"/>
    <s v="Economico"/>
    <s v="Precio Estadar"/>
    <s v="Apartamento"/>
    <s v="Alquiler"/>
    <d v="2024-10-23T00:00:00"/>
    <x v="83"/>
    <s v="https://www.properati.com.pe/detalle/14032-32-ee91-335980a8e24-1fca9418-b493-4451"/>
  </r>
  <r>
    <s v="Casa en alquiler en Cayma"/>
    <s v="Cayma"/>
    <x v="1"/>
    <s v="Arequipa "/>
    <x v="3"/>
    <n v="3000"/>
    <n v="150"/>
    <x v="1"/>
    <n v="3"/>
    <x v="1"/>
    <s v="No"/>
    <n v="165"/>
    <x v="19"/>
    <s v="Caro"/>
    <s v="Precio Estadar"/>
    <s v="Casa"/>
    <s v="Alquiler"/>
    <d v="2024-08-10T00:00:00"/>
    <x v="143"/>
    <s v="https://www.properati.com.pe/detalle/14032-32-ed26-1cfb47a90dbc-aafc5ac7-aaa5-4039"/>
  </r>
  <r>
    <s v="Apartamento en alquiler en Ur. San Ignacio"/>
    <s v="Ur. San Ignacio"/>
    <x v="2"/>
    <s v="Lima"/>
    <x v="0"/>
    <n v="2849"/>
    <n v="284.90000000000003"/>
    <x v="2"/>
    <n v="1"/>
    <x v="0"/>
    <s v="Sí"/>
    <n v="45"/>
    <x v="12"/>
    <s v="Caro"/>
    <s v="Precio Estadar"/>
    <s v="Apartamento"/>
    <s v="Alquiler"/>
    <d v="2024-09-26T00:00:00"/>
    <x v="83"/>
    <s v="https://www.properati.com.pe/detalle/14032-32-8a56-2a3ee9d4f543-1623684-a8aa-483b"/>
  </r>
  <r>
    <s v="Apartamento en alquiler en Ur. San Luis"/>
    <s v="Ur. San Luis"/>
    <x v="0"/>
    <s v="Lima"/>
    <x v="0"/>
    <n v="3145"/>
    <n v="314.5"/>
    <x v="0"/>
    <n v="1"/>
    <x v="1"/>
    <s v="No"/>
    <n v="73"/>
    <x v="16"/>
    <s v="Caro"/>
    <s v="Precio Estadar"/>
    <s v="Apartamento"/>
    <s v="Alquiler"/>
    <d v="2024-05-25T00:00:00"/>
    <x v="83"/>
    <s v="https://www.properati.com.pe/detalle/14032-32-c793-fafebc9ce007-364d074d-bfb2-4771"/>
  </r>
  <r>
    <s v="Apartamento en alquiler en Ur. Libertad"/>
    <s v="Ur. Libertad"/>
    <x v="16"/>
    <s v="Lima"/>
    <x v="0"/>
    <n v="2400"/>
    <n v="240"/>
    <x v="1"/>
    <n v="2"/>
    <x v="1"/>
    <s v="Sí"/>
    <n v="88"/>
    <x v="20"/>
    <s v="Economico"/>
    <s v="Precio Estadar"/>
    <s v="Apartamento"/>
    <s v="Alquiler"/>
    <d v="2024-07-13T00:00:00"/>
    <x v="116"/>
    <s v="https://www.properati.com.pe/detalle/14032-32-ed82-251856ecc93f-bc9f57dc-b5fb-4bb6"/>
  </r>
  <r>
    <s v="Apartamento en alquiler en Ur. Santa Cruz"/>
    <s v="Ur. Santa Cruz"/>
    <x v="0"/>
    <s v="Lima"/>
    <x v="0"/>
    <n v="9250"/>
    <n v="925"/>
    <x v="1"/>
    <n v="2"/>
    <x v="0"/>
    <s v="Sí"/>
    <n v="158"/>
    <x v="13"/>
    <s v="Caro"/>
    <s v="Precio Estadar"/>
    <s v="Apartamento"/>
    <s v="Alquiler"/>
    <d v="2023-03-31T00:00:00"/>
    <x v="36"/>
    <s v="https://www.properati.com.pe/detalle/14032-32-1379-8cc36064c339-c803db59-afd9-4d66"/>
  </r>
  <r>
    <s v="Apartamento en alquiler en Ur. Leuro"/>
    <s v="Ur. Leuro"/>
    <x v="0"/>
    <s v="Lima"/>
    <x v="0"/>
    <n v="2400"/>
    <n v="240"/>
    <x v="0"/>
    <n v="1"/>
    <x v="1"/>
    <s v="No"/>
    <n v="47"/>
    <x v="17"/>
    <s v="Economico"/>
    <s v="Precio Estadar"/>
    <s v="Apartamento"/>
    <s v="Alquiler"/>
    <d v="2024-02-11T00:00:00"/>
    <x v="144"/>
    <s v="https://www.properati.com.pe/detalle/14032-32-d8b6-6c80332ca53b-2894374f-8b56-43c9"/>
  </r>
  <r>
    <s v="Apartamento en alquiler en Urb Residencial Valle Hermoso"/>
    <s v="Urb Residencial Valle Hermoso"/>
    <x v="5"/>
    <s v="Lima"/>
    <x v="0"/>
    <n v="3700"/>
    <n v="370"/>
    <x v="1"/>
    <n v="4"/>
    <x v="1"/>
    <s v="Sí"/>
    <n v="175"/>
    <x v="38"/>
    <s v="Caro"/>
    <s v="Precio Estadar"/>
    <s v="Apartamento"/>
    <s v="Alquiler"/>
    <d v="2024-05-14T00:00:00"/>
    <x v="51"/>
    <s v="https://www.properati.com.pe/detalle/14032-32-af28-75ef1c134d6a-a212bb75-ab02-482b"/>
  </r>
  <r>
    <s v="Apartamento en alquiler en Ur. Orrantia"/>
    <s v="Ur. Orrantia"/>
    <x v="7"/>
    <s v="Lima"/>
    <x v="0"/>
    <n v="4810"/>
    <n v="481"/>
    <x v="0"/>
    <n v="3"/>
    <x v="1"/>
    <s v="No"/>
    <n v="154"/>
    <x v="6"/>
    <s v="Caro"/>
    <s v="Precio Estadar"/>
    <s v="Apartamento"/>
    <s v="Alquiler"/>
    <d v="2024-06-21T00:00:00"/>
    <x v="103"/>
    <s v="https://www.properati.com.pe/detalle/14032-32-7f93-9f3fa2423513-b796518b-9c2e-4f57"/>
  </r>
  <r>
    <s v="Casa de playa en alquiler en Punta Hermosa"/>
    <s v="Punta Hermosa"/>
    <x v="5"/>
    <s v="Lima"/>
    <x v="0"/>
    <n v="3700"/>
    <n v="370"/>
    <x v="1"/>
    <n v="3"/>
    <x v="0"/>
    <s v="Sí"/>
    <n v="126"/>
    <x v="7"/>
    <s v="Caro"/>
    <s v="Precio Estadar"/>
    <s v="Casa de playa"/>
    <s v="Alquiler"/>
    <d v="2024-06-05T00:00:00"/>
    <x v="145"/>
    <s v="https://www.properati.com.pe/detalle/14032-32-474c-15f2b335e3af-cf7e02f0-84bf-43bf"/>
  </r>
  <r>
    <s v="Apartamento en alquiler en Hu. Ex Fundo Monterrico Chico Parcela 2 (San Idelfonso Del Vivero)"/>
    <s v="Hu. Ex Fundo Monterrico Chico Parcela 2 (San Idelfonso Del Vivero)"/>
    <x v="4"/>
    <s v="Lima"/>
    <x v="0"/>
    <n v="4440"/>
    <n v="444"/>
    <x v="1"/>
    <n v="3"/>
    <x v="0"/>
    <s v="No"/>
    <n v="148"/>
    <x v="7"/>
    <s v="Caro"/>
    <s v="Precio Estadar"/>
    <s v="Apartamento"/>
    <s v="Alquiler"/>
    <d v="2023-08-17T00:00:00"/>
    <x v="86"/>
    <s v="https://www.properati.com.pe/detalle/14032-32-d458-f5b9c85f260a-797bd2c7-a879-4f48"/>
  </r>
  <r>
    <s v="Apartamento en alquiler enMiraflores"/>
    <s v="Miraflores"/>
    <x v="5"/>
    <s v="Lima"/>
    <x v="0"/>
    <n v="2590"/>
    <n v="259"/>
    <x v="2"/>
    <n v="1"/>
    <x v="1"/>
    <s v="Sí"/>
    <n v="54"/>
    <x v="10"/>
    <s v="Caro"/>
    <s v="Precio Estadar"/>
    <s v="Apartamento"/>
    <s v="Alquiler"/>
    <d v="2024-05-13T00:00:00"/>
    <x v="0"/>
    <s v="https://www.properati.com.pe/detalle/14032-32-d295-c18bd8bc6275-ebcbc520-951d-120d"/>
  </r>
  <r>
    <s v="Apartamento en alquiler en Hu. Ex Fundo Monterrico Chico Parcela 2 (San Idelfonso Del Vivero)"/>
    <s v="Hu. Ex Fundo Monterrico Chico Parcela 2 (San Idelfonso Del Vivero)"/>
    <x v="4"/>
    <s v="Lima"/>
    <x v="0"/>
    <n v="4440"/>
    <n v="444"/>
    <x v="1"/>
    <n v="2"/>
    <x v="0"/>
    <s v="No"/>
    <n v="150"/>
    <x v="8"/>
    <s v="Caro"/>
    <s v="Precio Estadar"/>
    <s v="Apartamento"/>
    <s v="Alquiler"/>
    <d v="2023-06-10T00:00:00"/>
    <x v="146"/>
    <s v="https://www.properati.com.pe/detalle/14032-32-1952-58223c36a5cc-852c91d5-a1a1-46e3"/>
  </r>
  <r>
    <s v="Apartamento en alquiler en San Isidro"/>
    <s v="San Isidro"/>
    <x v="5"/>
    <s v="Lima"/>
    <x v="0"/>
    <n v="4070"/>
    <n v="407"/>
    <x v="0"/>
    <n v="3"/>
    <x v="1"/>
    <s v="Sí"/>
    <n v="127"/>
    <x v="16"/>
    <s v="Caro"/>
    <s v="Precio Estadar"/>
    <s v="Apartamento"/>
    <s v="Alquiler"/>
    <d v="2023-06-18T00:00:00"/>
    <x v="122"/>
    <s v="https://www.properati.com.pe/detalle/14032-32-ad4b-7e53f1ac5b00-b00abff-8829-40b4"/>
  </r>
  <r>
    <s v="Apartamento en alquiler en Ur. Balta"/>
    <s v="Ur. Balta"/>
    <x v="0"/>
    <s v="Lima"/>
    <x v="0"/>
    <n v="3145"/>
    <n v="314.5"/>
    <x v="1"/>
    <n v="2"/>
    <x v="0"/>
    <s v="Sí"/>
    <n v="190"/>
    <x v="30"/>
    <s v="Caro"/>
    <s v="Precio Estadar"/>
    <s v="Apartamento"/>
    <s v="Alquiler"/>
    <d v="2024-11-08T00:00:00"/>
    <x v="122"/>
    <s v="https://www.properati.com.pe/detalle/14032-32-c44b-815467a519b3-785d63be-8457-40ce"/>
  </r>
  <r>
    <s v="Apartamento en alquiler en Ur. America"/>
    <s v="Ur. America"/>
    <x v="0"/>
    <s v="Lima"/>
    <x v="0"/>
    <n v="5920"/>
    <n v="592"/>
    <x v="0"/>
    <n v="3"/>
    <x v="1"/>
    <s v="No"/>
    <n v="104"/>
    <x v="38"/>
    <s v="Caro"/>
    <s v="Precio Estadar"/>
    <s v="Apartamento"/>
    <s v="Alquiler"/>
    <d v="2023-02-19T00:00:00"/>
    <x v="147"/>
    <s v="https://www.properati.com.pe/detalle/14032-32-cdde-691d178457ed-57fb2310-8768-120d"/>
  </r>
  <r>
    <s v="Casa en alquiler en Sa Martínde Porres"/>
    <s v="Sa Martínde Porres"/>
    <x v="5"/>
    <s v="Lima"/>
    <x v="0"/>
    <n v="12580"/>
    <n v="1258"/>
    <x v="8"/>
    <n v="8"/>
    <x v="1"/>
    <s v="Sí"/>
    <n v="465"/>
    <x v="38"/>
    <s v="Caro"/>
    <s v="Precio Estadar"/>
    <s v="Casa"/>
    <s v="Alquiler"/>
    <d v="2024-01-22T00:00:00"/>
    <x v="40"/>
    <s v="https://www.properati.com.pe/detalle/14032-32-da3a-b792384f7649-b778adf0-a3e1-4c1e"/>
  </r>
  <r>
    <s v="Apartamento en alquiler en Ur. Corpac"/>
    <s v="Ur. Corpac"/>
    <x v="7"/>
    <s v="Lima"/>
    <x v="0"/>
    <n v="2775"/>
    <n v="277.5"/>
    <x v="1"/>
    <n v="2"/>
    <x v="1"/>
    <s v="Sí"/>
    <n v="134"/>
    <x v="13"/>
    <s v="Caro"/>
    <s v="Precio Estadar"/>
    <s v="Apartamento"/>
    <s v="Alquiler"/>
    <d v="2023-02-22T00:00:00"/>
    <x v="148"/>
    <s v="https://www.properati.com.pe/detalle/14032-32-4849-32aa1e4190c7-32bda875-9ab9-4e4b"/>
  </r>
  <r>
    <s v="Apartamento en alquiler en Ur. La ViÃ±ita"/>
    <s v="Ur. La ViÃ±ita"/>
    <x v="2"/>
    <s v="Lima"/>
    <x v="0"/>
    <n v="2405"/>
    <n v="240.5"/>
    <x v="2"/>
    <n v="1"/>
    <x v="0"/>
    <s v="Sí"/>
    <n v="42"/>
    <x v="38"/>
    <s v="Economico"/>
    <s v="Precio Estadar"/>
    <s v="Apartamento"/>
    <s v="Alquiler"/>
    <d v="2023-09-10T00:00:00"/>
    <x v="63"/>
    <s v="https://www.properati.com.pe/detalle/14032-32-b843-af9eb64aaff0-fe810b82-8c8c-4c81"/>
  </r>
  <r>
    <s v="Apartamento en alquiler en Urb SeÃ±orial"/>
    <s v="Urb SeÃ±orial"/>
    <x v="1"/>
    <s v="Arequipa "/>
    <x v="3"/>
    <n v="1750"/>
    <n v="87.5"/>
    <x v="1"/>
    <n v="3"/>
    <x v="1"/>
    <s v="No"/>
    <n v="105"/>
    <x v="10"/>
    <s v="Economico"/>
    <s v="Precio Estadar"/>
    <s v="Apartamento"/>
    <s v="Alquiler"/>
    <d v="2024-04-08T00:00:00"/>
    <x v="149"/>
    <s v="https://www.properati.com.pe/detalle/14032-32-b2c0-9b6984ee2e40-36e9b35d-b153-489e"/>
  </r>
  <r>
    <s v="Casa en alquiler en Ur. El Palomar"/>
    <s v="Ur. El Palomar"/>
    <x v="7"/>
    <s v="Lima"/>
    <x v="0"/>
    <n v="9620"/>
    <n v="962"/>
    <x v="4"/>
    <n v="5"/>
    <x v="1"/>
    <s v="Sí"/>
    <n v="351"/>
    <x v="16"/>
    <s v="Caro"/>
    <s v="Precio Estadar"/>
    <s v="Casa"/>
    <s v="Alquiler"/>
    <d v="2023-06-24T00:00:00"/>
    <x v="91"/>
    <s v="https://www.properati.com.pe/detalle/14032-32-9430-c786f9b5843e-f3a8a0b8-bab0-48b7"/>
  </r>
  <r>
    <s v="Apartamento en alquiler en Ur. San Isidro"/>
    <s v="Ur. San Isidro"/>
    <x v="7"/>
    <s v="Lima"/>
    <x v="0"/>
    <n v="2294"/>
    <n v="229.4"/>
    <x v="2"/>
    <n v="1"/>
    <x v="0"/>
    <s v="Sí"/>
    <n v="49"/>
    <x v="38"/>
    <s v="Economico"/>
    <s v="Precio Estadar"/>
    <s v="Apartamento"/>
    <s v="Alquiler"/>
    <d v="2024-06-29T00:00:00"/>
    <x v="65"/>
    <s v="https://www.properati.com.pe/detalle/14032-32-d888-54606aac676f-72bdbc14-80f1-4b15"/>
  </r>
  <r>
    <s v="Casa en alquiler en San Isidro"/>
    <s v="San Isidro"/>
    <x v="5"/>
    <s v="Lima"/>
    <x v="0"/>
    <n v="7030"/>
    <n v="703"/>
    <x v="1"/>
    <n v="3"/>
    <x v="1"/>
    <s v="No"/>
    <n v="311"/>
    <x v="8"/>
    <s v="Caro"/>
    <s v="Precio Estadar"/>
    <s v="Casa"/>
    <s v="Alquiler"/>
    <d v="2023-06-02T00:00:00"/>
    <x v="54"/>
    <s v="https://www.properati.com.pe/detalle/14032-32-68d0-384e2e5eb19e-33b6ee76-8387-4057"/>
  </r>
  <r>
    <s v="Apartamento en alquiler en Ur. La ViÃ±ita"/>
    <s v="Ur. La ViÃ±ita"/>
    <x v="2"/>
    <s v="Lima"/>
    <x v="0"/>
    <n v="2405"/>
    <n v="240.5"/>
    <x v="2"/>
    <n v="1"/>
    <x v="0"/>
    <s v="Sí"/>
    <n v="51"/>
    <x v="13"/>
    <s v="Economico"/>
    <s v="Precio Estadar"/>
    <s v="Apartamento"/>
    <s v="Alquiler"/>
    <d v="2023-06-17T00:00:00"/>
    <x v="23"/>
    <s v="https://www.properati.com.pe/detalle/14032-32-3a64-1e7b4763a5e9-bd8c307f-9378-4956"/>
  </r>
  <r>
    <s v="Apartamento en alquiler en Magdalena del Mar"/>
    <s v="Magdalena del Mar"/>
    <x v="5"/>
    <s v="Lima"/>
    <x v="0"/>
    <n v="3626"/>
    <n v="362.6"/>
    <x v="1"/>
    <n v="2"/>
    <x v="0"/>
    <s v="Sí"/>
    <n v="126"/>
    <x v="8"/>
    <s v="Caro"/>
    <s v="Precio Estadar"/>
    <s v="Apartamento"/>
    <s v="Alquiler"/>
    <d v="2023-02-21T00:00:00"/>
    <x v="150"/>
    <s v="https://www.properati.com.pe/detalle/14032-32-d11f-d79deca05055-5c3e0660-b6d7-120d"/>
  </r>
  <r>
    <s v="Apartamento en alquiler en Ur. Aurora Este"/>
    <s v="Ur. Aurora Este"/>
    <x v="10"/>
    <s v="Lima"/>
    <x v="0"/>
    <n v="3300"/>
    <n v="330"/>
    <x v="4"/>
    <n v="3"/>
    <x v="0"/>
    <s v="Sí"/>
    <n v="160"/>
    <x v="0"/>
    <s v="Caro"/>
    <s v="Precio Estadar"/>
    <s v="Apartamento"/>
    <s v="Alquiler"/>
    <d v="2023-05-07T00:00:00"/>
    <x v="92"/>
    <s v="https://www.properati.com.pe/detalle/14032-32-5850-34c14bf9f410-493c716b-8eb2-44eb"/>
  </r>
  <r>
    <s v="Apartamento en alquiler en Ur. Armendariz"/>
    <s v="Ur. Armendariz"/>
    <x v="0"/>
    <s v="Lima"/>
    <x v="0"/>
    <n v="3500"/>
    <n v="350"/>
    <x v="1"/>
    <n v="3"/>
    <x v="0"/>
    <s v="Sí"/>
    <n v="125"/>
    <x v="17"/>
    <s v="Caro"/>
    <s v="Precio Estadar"/>
    <s v="Apartamento"/>
    <s v="Alquiler"/>
    <d v="2024-10-13T00:00:00"/>
    <x v="151"/>
    <s v="https://www.properati.com.pe/detalle/14032-32-c4e3-b9f848e679e8-943cc210-b912-120d"/>
  </r>
  <r>
    <s v="Apartamento en alquiler en Ur. La Huaca"/>
    <s v="Ur. La Huaca"/>
    <x v="17"/>
    <s v=" Callao"/>
    <x v="2"/>
    <n v="1500"/>
    <n v="75"/>
    <x v="1"/>
    <n v="2"/>
    <x v="1"/>
    <s v="No"/>
    <n v="57"/>
    <x v="17"/>
    <s v="Economico"/>
    <s v="Precio Estadar"/>
    <s v="Apartamento"/>
    <s v="Alquiler"/>
    <d v="2023-10-26T00:00:00"/>
    <x v="137"/>
    <s v="https://www.properati.com.pe/detalle/14032-32-6bcf-93d99a37b746-63d1e045-9b01-45ed"/>
  </r>
  <r>
    <s v="Apartamento en alquiler en Surquillo"/>
    <s v="Surquillo"/>
    <x v="5"/>
    <s v="Lima"/>
    <x v="0"/>
    <n v="1900"/>
    <n v="190"/>
    <x v="2"/>
    <n v="1"/>
    <x v="1"/>
    <s v="No"/>
    <n v="44"/>
    <x v="30"/>
    <s v="Economico"/>
    <s v="Precio Estadar"/>
    <s v="Apartamento"/>
    <s v="Alquiler"/>
    <d v="2023-02-16T00:00:00"/>
    <x v="6"/>
    <s v="https://www.properati.com.pe/detalle/14032-32-6fa7-ed0c1bbf0376-af106a10-a579-120d"/>
  </r>
  <r>
    <s v="Apartamento en alquiler en Ur. La Calera De Monterrico"/>
    <s v="Ur. La Calera De Monterrico"/>
    <x v="10"/>
    <s v="Lima"/>
    <x v="0"/>
    <n v="2400"/>
    <n v="240"/>
    <x v="1"/>
    <n v="2"/>
    <x v="1"/>
    <s v="No"/>
    <n v="75"/>
    <x v="30"/>
    <s v="Economico"/>
    <s v="Precio Estadar"/>
    <s v="Apartamento"/>
    <s v="Alquiler"/>
    <d v="2024-09-10T00:00:00"/>
    <x v="10"/>
    <s v="https://www.properati.com.pe/detalle/14032-32-220f-d57c5144bc45-764adc8c-9b53-4dd0"/>
  </r>
  <r>
    <s v="Apartamento en alquiler en Ur. San Felipe"/>
    <s v="Ur. San Felipe"/>
    <x v="22"/>
    <s v="Lima"/>
    <x v="0"/>
    <n v="2200"/>
    <n v="220"/>
    <x v="0"/>
    <n v="3"/>
    <x v="1"/>
    <s v="Sí"/>
    <n v="80"/>
    <x v="6"/>
    <s v="Economico"/>
    <s v="Precio Estadar"/>
    <s v="Apartamento"/>
    <s v="Alquiler"/>
    <d v="2024-04-29T00:00:00"/>
    <x v="88"/>
    <s v="https://www.properati.com.pe/detalle/14032-32-74e1-e57052d8a79a-5a150a61-96b9-3c01"/>
  </r>
  <r>
    <s v="Casa en alquiler en Sd. Aeropuerto De Collique"/>
    <s v="Sd. Aeropuerto De Collique"/>
    <x v="9"/>
    <s v="Lima"/>
    <x v="0"/>
    <n v="3200"/>
    <n v="320"/>
    <x v="4"/>
    <n v="2"/>
    <x v="1"/>
    <s v="No"/>
    <n v="140"/>
    <x v="13"/>
    <s v="Caro"/>
    <s v="Precio Estadar"/>
    <s v="Casa"/>
    <s v="Alquiler"/>
    <d v="2024-07-16T00:00:00"/>
    <x v="150"/>
    <s v="https://www.properati.com.pe/detalle/14032-32-bbd9-7db7ccf0d756-b533fb40-941e-120d"/>
  </r>
  <r>
    <s v="Apartamento en alquiler en Comas"/>
    <s v="Comas"/>
    <x v="5"/>
    <s v="Lima"/>
    <x v="0"/>
    <n v="1500"/>
    <n v="150"/>
    <x v="1"/>
    <n v="2"/>
    <x v="0"/>
    <s v="No"/>
    <n v="102"/>
    <x v="6"/>
    <s v="Economico"/>
    <s v="Precio Estadar"/>
    <s v="Apartamento"/>
    <s v="Alquiler"/>
    <d v="2024-03-20T00:00:00"/>
    <x v="152"/>
    <s v="https://www.properati.com.pe/detalle/14032-32-cdd5-4fb23686def2-fd3fe0d0-bb17-120d"/>
  </r>
  <r>
    <s v="Apartamento en alquiler en Ur. Los Chasquis Iii Etapa"/>
    <s v="Ur. Los Chasquis Iii Etapa"/>
    <x v="9"/>
    <s v="Lima"/>
    <x v="0"/>
    <n v="1350"/>
    <n v="135"/>
    <x v="1"/>
    <n v="2"/>
    <x v="0"/>
    <s v="No"/>
    <n v="76"/>
    <x v="16"/>
    <s v="Economico"/>
    <s v="Precio Estadar"/>
    <s v="Apartamento"/>
    <s v="Alquiler"/>
    <d v="2023-10-16T00:00:00"/>
    <x v="152"/>
    <s v="https://www.properati.com.pe/detalle/14032-32-7ab1-35fb8553b994-a30add15-b8f7-40d3"/>
  </r>
  <r>
    <s v="Apartamento en alquiler en Hu. Cercado DeMiraflores"/>
    <s v="Hu. Cercado DeMiraflores"/>
    <x v="0"/>
    <s v="Lima"/>
    <x v="0"/>
    <n v="2701"/>
    <n v="270.10000000000002"/>
    <x v="0"/>
    <n v="3"/>
    <x v="1"/>
    <s v="Sí"/>
    <n v="117"/>
    <x v="30"/>
    <s v="Caro"/>
    <s v="Precio Estadar"/>
    <s v="Apartamento"/>
    <s v="Alquiler"/>
    <d v="2024-05-04T00:00:00"/>
    <x v="33"/>
    <s v="https://www.properati.com.pe/detalle/14032-32-482c-61d40690ab70-372523ee-bcc3-42de"/>
  </r>
  <r>
    <s v="Apartamento en alquiler en Los Frutales"/>
    <s v="Los Frutales"/>
    <x v="1"/>
    <s v="Arequipa"/>
    <x v="1"/>
    <n v="2000"/>
    <n v="100"/>
    <x v="2"/>
    <n v="1"/>
    <x v="0"/>
    <s v="No"/>
    <n v="71"/>
    <x v="10"/>
    <s v="Economico"/>
    <s v="Precio Estadar"/>
    <s v="Apartamento"/>
    <s v="Alquiler"/>
    <d v="2023-03-16T00:00:00"/>
    <x v="143"/>
    <s v="https://www.properati.com.pe/detalle/14032-32-afa8-d7c0410c0881-a50679bc-a31f-4403"/>
  </r>
  <r>
    <s v="Apartamento en alquiler en Ur. Manuel Prado"/>
    <s v="Ur. Manuel Prado"/>
    <x v="1"/>
    <s v="Arequipa"/>
    <x v="1"/>
    <n v="2700"/>
    <n v="135"/>
    <x v="3"/>
    <n v="5"/>
    <x v="1"/>
    <s v="Sí"/>
    <n v="210"/>
    <x v="17"/>
    <s v="Caro"/>
    <s v="Precio Estadar"/>
    <s v="Apartamento"/>
    <s v="Alquiler"/>
    <d v="2023-04-06T00:00:00"/>
    <x v="143"/>
    <s v="https://www.properati.com.pe/detalle/14032-32-9d4c-47ec898eec23-59d19284-8800-42ff"/>
  </r>
  <r>
    <s v="Apartamento en alquiler en Ur. Los Andenes"/>
    <s v="Ur. Los Andenes"/>
    <x v="1"/>
    <s v="Arequipa"/>
    <x v="1"/>
    <n v="2200"/>
    <n v="110"/>
    <x v="1"/>
    <n v="3"/>
    <x v="0"/>
    <s v="Sí"/>
    <n v="145"/>
    <x v="7"/>
    <s v="Economico"/>
    <s v="Precio Estadar"/>
    <s v="Apartamento"/>
    <s v="Alquiler"/>
    <d v="2024-07-24T00:00:00"/>
    <x v="153"/>
    <s v="https://www.properati.com.pe/detalle/14032-32-7a4f-75bd795e32d2-42110830-b90f-4c5a"/>
  </r>
  <r>
    <s v="Casa en alquiler en As. Virgen Del Rosario"/>
    <s v="As. Virgen Del Rosario"/>
    <x v="9"/>
    <s v="Lima"/>
    <x v="0"/>
    <n v="3500"/>
    <n v="350"/>
    <x v="4"/>
    <n v="3"/>
    <x v="0"/>
    <s v="Sí"/>
    <n v="195"/>
    <x v="27"/>
    <s v="Caro"/>
    <s v="Precio Estadar"/>
    <s v="Casa"/>
    <s v="Alquiler"/>
    <d v="2024-06-25T00:00:00"/>
    <x v="42"/>
    <s v="https://www.properati.com.pe/detalle/14032-32-c644-72f6b45370bc-c7507dd0-b036-42c9"/>
  </r>
  <r>
    <s v="Apartamento en alquiler en Yanahuara"/>
    <s v="Yanahuara"/>
    <x v="1"/>
    <s v="Arequipa "/>
    <x v="3"/>
    <n v="2100"/>
    <n v="105"/>
    <x v="4"/>
    <n v="2"/>
    <x v="0"/>
    <s v="No"/>
    <n v="110"/>
    <x v="38"/>
    <s v="Economico"/>
    <s v="Buena Oferta"/>
    <s v="Apartamento"/>
    <s v="Alquiler"/>
    <d v="2024-02-14T00:00:00"/>
    <x v="143"/>
    <s v="https://www.properati.com.pe/detalle/14032-32-6a79-ec94133f3a2d-f1c4b8d0-9cdf-4f2e"/>
  </r>
  <r>
    <s v="Apartamento en alquiler en Ur. San Isidro"/>
    <s v="Ur. San Isidro"/>
    <x v="7"/>
    <s v="Lima"/>
    <x v="0"/>
    <n v="2900"/>
    <n v="290"/>
    <x v="0"/>
    <n v="2"/>
    <x v="0"/>
    <s v="No"/>
    <n v="62"/>
    <x v="12"/>
    <s v="Caro"/>
    <s v="Precio Estadar"/>
    <s v="Apartamento"/>
    <s v="Alquiler"/>
    <d v="2024-02-25T00:00:00"/>
    <x v="83"/>
    <s v="https://www.properati.com.pe/detalle/14032-32-673d-29ef2b237fc7-27af2291-bb07-4bcb"/>
  </r>
  <r>
    <s v="Apartamento en alquiler enMiraflores"/>
    <s v="Miraflores"/>
    <x v="1"/>
    <s v="Arequipa "/>
    <x v="3"/>
    <n v="4810"/>
    <n v="240.5"/>
    <x v="1"/>
    <n v="3"/>
    <x v="0"/>
    <s v="Sí"/>
    <n v="190"/>
    <x v="19"/>
    <s v="Caro"/>
    <s v="Precio Estadar"/>
    <s v="Apartamento"/>
    <s v="Alquiler"/>
    <d v="2024-07-23T00:00:00"/>
    <x v="101"/>
    <s v="https://www.properati.com.pe/detalle/14032-32-964f-d43312e9a836-7810266-be93-4e8b"/>
  </r>
  <r>
    <s v="Apartamento en alquiler en Ur. Barboncito"/>
    <s v="Ur. Barboncito"/>
    <x v="0"/>
    <s v="Lima"/>
    <x v="0"/>
    <n v="2923"/>
    <n v="292.3"/>
    <x v="0"/>
    <n v="2"/>
    <x v="1"/>
    <s v="Sí"/>
    <n v="65"/>
    <x v="0"/>
    <s v="Caro"/>
    <s v="Precio Estadar"/>
    <s v="Apartamento"/>
    <s v="Alquiler"/>
    <d v="2023-08-14T00:00:00"/>
    <x v="154"/>
    <s v="https://www.properati.com.pe/detalle/14032-32-da0a-e81c3582dd8c-108951d9-87b8-4123"/>
  </r>
  <r>
    <s v="Casa en alquiler en Ur. El Cortijo Etapa I"/>
    <s v="Ur. El Cortijo Etapa I"/>
    <x v="4"/>
    <s v="Lima"/>
    <x v="0"/>
    <n v="9250"/>
    <n v="925"/>
    <x v="3"/>
    <n v="7"/>
    <x v="0"/>
    <s v="No"/>
    <n v="360"/>
    <x v="12"/>
    <s v="Caro"/>
    <s v="Precio Estadar"/>
    <s v="Casa"/>
    <s v="Alquiler"/>
    <d v="2023-05-22T00:00:00"/>
    <x v="155"/>
    <s v="https://www.properati.com.pe/detalle/14032-32-e39a-710893f34df5-331267f8-831b-4e5c"/>
  </r>
  <r>
    <s v="Apartamento en alquiler en Hu. Cercado DeMiraflores"/>
    <s v="Hu. Cercado DeMiraflores"/>
    <x v="0"/>
    <s v="Lima"/>
    <x v="0"/>
    <n v="999"/>
    <n v="99.9"/>
    <x v="2"/>
    <n v="1"/>
    <x v="1"/>
    <s v="Sí"/>
    <n v="20"/>
    <x v="15"/>
    <s v="Economico"/>
    <s v="Precio Estadar"/>
    <s v="Apartamento"/>
    <s v="Alquiler"/>
    <d v="2024-05-05T00:00:00"/>
    <x v="156"/>
    <s v="https://www.properati.com.pe/detalle/14032-32-5a9a-c9bfc6fe70d0-7c77f93e-91a9-3a21"/>
  </r>
  <r>
    <s v="Apartamento en alquiler en Ur. Balta"/>
    <s v="Ur. Balta"/>
    <x v="0"/>
    <s v="Lima"/>
    <x v="0"/>
    <n v="2590"/>
    <n v="259"/>
    <x v="0"/>
    <n v="2"/>
    <x v="1"/>
    <s v="Sí"/>
    <n v="90"/>
    <x v="20"/>
    <s v="Caro"/>
    <s v="Precio Estadar"/>
    <s v="Apartamento"/>
    <s v="Alquiler"/>
    <d v="2023-12-14T00:00:00"/>
    <x v="157"/>
    <s v="https://www.properati.com.pe/detalle/14032-32-cc07-818aa7b9af2c-55dcc8f0-a622-120d"/>
  </r>
  <r>
    <s v="Apartamento en alquiler en Ur. Balta"/>
    <s v="Ur. Balta"/>
    <x v="0"/>
    <s v="Lima"/>
    <x v="0"/>
    <n v="4625"/>
    <n v="462.5"/>
    <x v="1"/>
    <n v="4"/>
    <x v="0"/>
    <s v="Sí"/>
    <n v="160"/>
    <x v="0"/>
    <s v="Caro"/>
    <s v="Precio Estadar"/>
    <s v="Apartamento"/>
    <s v="Alquiler"/>
    <d v="2024-10-18T00:00:00"/>
    <x v="10"/>
    <s v="https://www.properati.com.pe/detalle/14032-32-9427-47a008ff101e-85e541a9-8ff4-3e7b"/>
  </r>
  <r>
    <s v="Casa en alquiler en Ur. Santa Cruz"/>
    <s v="Ur. Santa Cruz"/>
    <x v="0"/>
    <s v="Lima"/>
    <x v="0"/>
    <n v="4810"/>
    <n v="481"/>
    <x v="4"/>
    <n v="3"/>
    <x v="1"/>
    <s v="No"/>
    <n v="220"/>
    <x v="12"/>
    <s v="Caro"/>
    <s v="Precio Estadar"/>
    <s v="Casa"/>
    <s v="Alquiler"/>
    <d v="2023-11-17T00:00:00"/>
    <x v="86"/>
    <s v="https://www.properati.com.pe/detalle/14032-32-9c4d-bf30d76558ca-81c9abfc-a229-4eaf"/>
  </r>
  <r>
    <s v="Apartamento en alquiler en As. La Era"/>
    <s v="As. La Era"/>
    <x v="39"/>
    <s v="Lima"/>
    <x v="0"/>
    <n v="1000"/>
    <n v="100"/>
    <x v="1"/>
    <n v="2"/>
    <x v="0"/>
    <s v="No"/>
    <n v="67"/>
    <x v="30"/>
    <s v="Economico"/>
    <s v="Precio Estadar"/>
    <s v="Apartamento"/>
    <s v="Alquiler"/>
    <d v="2023-03-29T00:00:00"/>
    <x v="33"/>
    <s v="https://www.properati.com.pe/detalle/14032-32-9ba2-84143ec721dd-3f5e760b-8e96-4a77"/>
  </r>
  <r>
    <s v="Apartamento en alquiler en Ur. El Totoral"/>
    <s v="Ur. El Totoral"/>
    <x v="4"/>
    <s v="Lima"/>
    <x v="0"/>
    <n v="2000"/>
    <n v="200"/>
    <x v="1"/>
    <n v="1"/>
    <x v="1"/>
    <s v="No"/>
    <n v="90"/>
    <x v="12"/>
    <s v="Economico"/>
    <s v="Precio Estadar"/>
    <s v="Apartamento"/>
    <s v="Alquiler"/>
    <d v="2024-05-14T00:00:00"/>
    <x v="158"/>
    <s v="https://www.properati.com.pe/detalle/14032-32-8b2-d2675ed7ad79-846eee7-8da8-4ad6"/>
  </r>
  <r>
    <s v="Apartamento en alquiler en Ur. Parque San Martin"/>
    <s v="Ur. Parque San Martin"/>
    <x v="25"/>
    <s v="Lima"/>
    <x v="0"/>
    <n v="2600"/>
    <n v="260"/>
    <x v="1"/>
    <n v="2"/>
    <x v="1"/>
    <s v="Sí"/>
    <n v="85"/>
    <x v="19"/>
    <s v="Caro"/>
    <s v="Precio Estadar"/>
    <s v="Apartamento"/>
    <s v="Alquiler"/>
    <d v="2024-04-24T00:00:00"/>
    <x v="159"/>
    <s v="https://www.properati.com.pe/detalle/14032-32-ea6-9ee0d71f8266-64caaaa1-9e8b-4690"/>
  </r>
  <r>
    <s v="Apartamento en alquiler en Ur. Humboldt"/>
    <s v="Ur. Humboldt"/>
    <x v="0"/>
    <s v="Lima"/>
    <x v="0"/>
    <n v="2700"/>
    <n v="270"/>
    <x v="1"/>
    <n v="4"/>
    <x v="0"/>
    <s v="No"/>
    <n v="100"/>
    <x v="27"/>
    <s v="Caro"/>
    <s v="Precio Estadar"/>
    <s v="Apartamento"/>
    <s v="Alquiler"/>
    <d v="2024-10-11T00:00:00"/>
    <x v="139"/>
    <s v="https://www.properati.com.pe/detalle/14032-32-34ed-ca047eaa1fe1-f799dd67-a269-4814"/>
  </r>
  <r>
    <s v="Apartamento en alquiler en Ur. San Jose (Santa Cecilia)"/>
    <s v="Ur. San Jose (Santa Cecilia)"/>
    <x v="32"/>
    <s v=" Callao"/>
    <x v="2"/>
    <n v="1450"/>
    <n v="72.5"/>
    <x v="0"/>
    <n v="2"/>
    <x v="0"/>
    <s v="No"/>
    <n v="65"/>
    <x v="0"/>
    <s v="Economico"/>
    <s v="Precio Estadar"/>
    <s v="Apartamento"/>
    <s v="Alquiler"/>
    <d v="2024-08-29T00:00:00"/>
    <x v="160"/>
    <s v="https://www.properati.com.pe/detalle/14032-32-1685-34ead0ebeb30-d4fba299-bc45-4275"/>
  </r>
  <r>
    <s v="Apartamento en alquiler en Ur. San Jose (Santa Cecilia)"/>
    <s v="Ur. San Jose (Santa Cecilia)"/>
    <x v="32"/>
    <s v=" Callao"/>
    <x v="2"/>
    <n v="1350"/>
    <n v="67.5"/>
    <x v="0"/>
    <n v="1"/>
    <x v="0"/>
    <s v="Sí"/>
    <n v="50"/>
    <x v="10"/>
    <s v="Economico"/>
    <s v="Precio Estadar"/>
    <s v="Apartamento"/>
    <s v="Alquiler"/>
    <d v="2024-04-10T00:00:00"/>
    <x v="160"/>
    <s v="https://www.properati.com.pe/detalle/14032-32-591d-5efdfabb070b-a84d82b0-b8f8-49e5"/>
  </r>
  <r>
    <s v="Apartamento en alquiler en Ur. Jardin"/>
    <s v="Ur. Jardin"/>
    <x v="7"/>
    <s v="Lima"/>
    <x v="0"/>
    <n v="3700"/>
    <n v="370"/>
    <x v="0"/>
    <n v="2"/>
    <x v="0"/>
    <s v="Sí"/>
    <n v="72"/>
    <x v="18"/>
    <s v="Caro"/>
    <s v="Precio Estadar"/>
    <s v="Apartamento"/>
    <s v="Alquiler"/>
    <d v="2023-01-16T00:00:00"/>
    <x v="10"/>
    <s v="https://www.properati.com.pe/detalle/14032-32-6433-61314a5b0d9a-f851fa3e-aaf6-4d4f"/>
  </r>
  <r>
    <s v="Apartamento en alquiler en Hu. Cercado DeMiraflores"/>
    <s v="Hu. Cercado DeMiraflores"/>
    <x v="0"/>
    <s v="Lima"/>
    <x v="0"/>
    <n v="3700"/>
    <n v="370"/>
    <x v="0"/>
    <n v="2"/>
    <x v="0"/>
    <s v="Sí"/>
    <n v="100"/>
    <x v="10"/>
    <s v="Caro"/>
    <s v="Precio Estadar"/>
    <s v="Apartamento"/>
    <s v="Alquiler"/>
    <d v="2024-02-16T00:00:00"/>
    <x v="72"/>
    <s v="https://www.properati.com.pe/detalle/14032-32-1b45-9d2baf50cb5e-aaefd41a-8c6a-4738"/>
  </r>
  <r>
    <s v="Apartamento en alquiler en Ur. Santa Rosa De Surco"/>
    <s v="Ur. Santa Rosa De Surco"/>
    <x v="4"/>
    <s v="Lima"/>
    <x v="0"/>
    <n v="2800"/>
    <n v="280"/>
    <x v="4"/>
    <n v="4"/>
    <x v="1"/>
    <s v="No"/>
    <n v="120"/>
    <x v="13"/>
    <s v="Caro"/>
    <s v="Precio Estadar"/>
    <s v="Apartamento"/>
    <s v="Alquiler"/>
    <d v="2024-07-05T00:00:00"/>
    <x v="23"/>
    <s v="https://www.properati.com.pe/detalle/14032-32-4f9d-f85d858cf382-7ff74700-96bf-4ed0"/>
  </r>
  <r>
    <s v="Casa en alquiler en Ur. Country Club"/>
    <s v="Ur. Country Club"/>
    <x v="7"/>
    <s v="Lima"/>
    <x v="0"/>
    <n v="7030"/>
    <n v="703"/>
    <x v="3"/>
    <n v="5"/>
    <x v="0"/>
    <s v="Sí"/>
    <n v="186"/>
    <x v="20"/>
    <s v="Caro"/>
    <s v="Precio Estadar"/>
    <s v="Casa"/>
    <s v="Alquiler"/>
    <d v="2024-06-17T00:00:00"/>
    <x v="50"/>
    <s v="https://www.properati.com.pe/detalle/14032-32-8be4-cfcff68ca856-51bb9f0f-a408-4687"/>
  </r>
  <r>
    <s v="Apartamento en alquiler en Hu. Cercado DeMiraflores"/>
    <s v="Hu. Cercado DeMiraflores"/>
    <x v="0"/>
    <s v="Lima"/>
    <x v="0"/>
    <n v="4625"/>
    <n v="462.5"/>
    <x v="4"/>
    <n v="3"/>
    <x v="1"/>
    <s v="No"/>
    <n v="200"/>
    <x v="0"/>
    <s v="Caro"/>
    <s v="Precio Estadar"/>
    <s v="Apartamento"/>
    <s v="Alquiler"/>
    <d v="2024-10-21T00:00:00"/>
    <x v="161"/>
    <s v="https://www.properati.com.pe/detalle/14032-32-7982-1bc73fa8cbee-eaab3740-b652-45ed"/>
  </r>
  <r>
    <s v="Apartamento en alquiler en Ur. Los Rosales Ampliacion Etapa Ii"/>
    <s v="Ur. Los Rosales Ampliacion Etapa Ii"/>
    <x v="4"/>
    <s v="Lima"/>
    <x v="0"/>
    <n v="2300"/>
    <n v="230"/>
    <x v="1"/>
    <n v="3"/>
    <x v="0"/>
    <s v="Sí"/>
    <n v="118"/>
    <x v="8"/>
    <s v="Economico"/>
    <s v="Precio Estadar"/>
    <s v="Apartamento"/>
    <s v="Alquiler"/>
    <d v="2023-10-20T00:00:00"/>
    <x v="23"/>
    <s v="https://www.properati.com.pe/detalle/14032-32-87ad-16c6cc206928-bb9b2616-87a3-4489"/>
  </r>
  <r>
    <s v="Apartamento en alquiler en Urb San Luis"/>
    <s v="Urb San Luis"/>
    <x v="5"/>
    <s v="Lima"/>
    <x v="0"/>
    <n v="3145"/>
    <n v="314.5"/>
    <x v="0"/>
    <n v="2"/>
    <x v="1"/>
    <s v="Sí"/>
    <n v="75"/>
    <x v="8"/>
    <s v="Caro"/>
    <s v="Precio Estadar"/>
    <s v="Apartamento"/>
    <s v="Alquiler"/>
    <d v="2024-07-27T00:00:00"/>
    <x v="162"/>
    <s v="https://www.properati.com.pe/detalle/14032-32-1cf5-21f342a30809-df8b8d50-abe3-120d"/>
  </r>
  <r>
    <s v="Apartamento en alquiler en Ur. San Luis"/>
    <s v="Ur. San Luis"/>
    <x v="2"/>
    <s v="Lima"/>
    <x v="0"/>
    <n v="2590"/>
    <n v="259"/>
    <x v="2"/>
    <n v="1"/>
    <x v="0"/>
    <s v="Sí"/>
    <n v="57"/>
    <x v="10"/>
    <s v="Caro"/>
    <s v="Precio Estadar"/>
    <s v="Apartamento"/>
    <s v="Alquiler"/>
    <d v="2023-02-06T00:00:00"/>
    <x v="23"/>
    <s v="https://www.properati.com.pe/detalle/14032-32-2cc0-a6cd72a7f1b4-363717f6-8c0e-4ae7"/>
  </r>
  <r>
    <s v="Apartamento en alquiler en Ur. 28 De Julio"/>
    <s v="Ur. 28 De Julio"/>
    <x v="25"/>
    <s v="Lima"/>
    <x v="0"/>
    <n v="2035"/>
    <n v="203.5"/>
    <x v="0"/>
    <n v="1"/>
    <x v="0"/>
    <s v="No"/>
    <n v="110"/>
    <x v="15"/>
    <s v="Economico"/>
    <s v="Precio Estadar"/>
    <s v="Apartamento"/>
    <s v="Alquiler"/>
    <d v="2023-04-01T00:00:00"/>
    <x v="163"/>
    <s v="https://www.properati.com.pe/detalle/14032-32-3f89-79f7c8368796-81a12db3-961a-4b21"/>
  </r>
  <r>
    <s v="Apartamento en alquiler en Ur. La Calera De La Merced"/>
    <s v="Ur. La Calera De La Merced"/>
    <x v="10"/>
    <s v="Lima"/>
    <x v="0"/>
    <n v="2400"/>
    <n v="240"/>
    <x v="1"/>
    <n v="2"/>
    <x v="1"/>
    <s v="No"/>
    <n v="75"/>
    <x v="38"/>
    <s v="Economico"/>
    <s v="Precio Estadar"/>
    <s v="Apartamento"/>
    <s v="Alquiler"/>
    <d v="2023-08-09T00:00:00"/>
    <x v="164"/>
    <s v="https://www.properati.com.pe/detalle/14032-32-5843-a3a6501b453f-23f7ed01-bbcc-416a"/>
  </r>
  <r>
    <s v="Apartamento en alquiler en Ur. Leuro"/>
    <s v="Ur. Leuro"/>
    <x v="0"/>
    <s v="Lima"/>
    <x v="0"/>
    <n v="3145"/>
    <n v="314.5"/>
    <x v="1"/>
    <n v="3"/>
    <x v="0"/>
    <s v="No"/>
    <n v="135"/>
    <x v="17"/>
    <s v="Caro"/>
    <s v="Precio Estadar"/>
    <s v="Apartamento"/>
    <s v="Alquiler"/>
    <d v="2023-04-09T00:00:00"/>
    <x v="151"/>
    <s v="https://www.properati.com.pe/detalle/14032-32-c854-e7a158890b4f-cb5dcc70-87cd-120d"/>
  </r>
  <r>
    <s v="Apartamento en alquiler en Santiago de Surco"/>
    <s v="Santiago de Surco"/>
    <x v="5"/>
    <s v="Lima"/>
    <x v="0"/>
    <n v="2516"/>
    <n v="251.60000000000002"/>
    <x v="1"/>
    <n v="2"/>
    <x v="1"/>
    <s v="Sí"/>
    <n v="100"/>
    <x v="10"/>
    <s v="Caro"/>
    <s v="Precio Estadar"/>
    <s v="Apartamento"/>
    <s v="Alquiler"/>
    <d v="2024-04-18T00:00:00"/>
    <x v="165"/>
    <s v="https://www.properati.com.pe/detalle/14032-32-19e7-373cf3c72a6-217bde68-abe6-4c16"/>
  </r>
  <r>
    <s v="Apartamento en alquiler en Ur. Santa Cruz"/>
    <s v="Ur. Santa Cruz"/>
    <x v="0"/>
    <s v="Lima"/>
    <x v="0"/>
    <n v="11100"/>
    <n v="1110"/>
    <x v="1"/>
    <n v="3"/>
    <x v="1"/>
    <s v="Sí"/>
    <n v="225"/>
    <x v="15"/>
    <s v="Caro"/>
    <s v="Precio Estadar"/>
    <s v="Apartamento"/>
    <s v="Alquiler"/>
    <d v="2024-10-05T00:00:00"/>
    <x v="166"/>
    <s v="https://www.properati.com.pe/detalle/14032-32-1f6e-ed183900e498-f0de90ce-8bf2-4f6e"/>
  </r>
  <r>
    <s v="Casa en alquiler en Los Alamos"/>
    <s v="Los Alamos"/>
    <x v="1"/>
    <s v="Arequipa"/>
    <x v="1"/>
    <n v="3500"/>
    <n v="175"/>
    <x v="3"/>
    <n v="4"/>
    <x v="1"/>
    <s v="No"/>
    <n v="200"/>
    <x v="20"/>
    <s v="Caro"/>
    <s v="Precio Estadar"/>
    <s v="Casa"/>
    <s v="Alquiler"/>
    <d v="2024-08-28T00:00:00"/>
    <x v="167"/>
    <s v="https://www.properati.com.pe/detalle/14032-32-eab4-332a2d4f61d2-cef9498c-8eea-446c"/>
  </r>
  <r>
    <s v="Apartamento en alquiler en Ur. Chacarilla Santa Cruz Zona Santa Isabel B"/>
    <s v="Ur. Chacarilla Santa Cruz Zona Santa Isabel B"/>
    <x v="7"/>
    <s v="Lima"/>
    <x v="0"/>
    <n v="5550"/>
    <n v="555"/>
    <x v="1"/>
    <n v="4"/>
    <x v="1"/>
    <s v="Sí"/>
    <n v="162"/>
    <x v="7"/>
    <s v="Caro"/>
    <s v="Precio Estadar"/>
    <s v="Apartamento"/>
    <s v="Alquiler"/>
    <d v="2024-11-04T00:00:00"/>
    <x v="10"/>
    <s v="https://www.properati.com.pe/detalle/14032-32-a1c3-f7987295299e-d725da53-8601-4876"/>
  </r>
  <r>
    <s v="Apartamento en alquiler en Urb Confraternidad"/>
    <s v="Urb Confraternidad"/>
    <x v="5"/>
    <s v="Lima"/>
    <x v="0"/>
    <n v="3700"/>
    <n v="370"/>
    <x v="2"/>
    <n v="2"/>
    <x v="0"/>
    <s v="Sí"/>
    <n v="91"/>
    <x v="20"/>
    <s v="Caro"/>
    <s v="Precio Estadar"/>
    <s v="Apartamento"/>
    <s v="Alquiler"/>
    <d v="2024-01-14T00:00:00"/>
    <x v="17"/>
    <s v="https://www.properati.com.pe/detalle/14032-32-24f9-653e4f6756f8-9c2135e6-9344-4327"/>
  </r>
  <r>
    <s v="Apartamento en alquiler en Ur. San Cesar Etapa I"/>
    <s v="Ur. San Cesar Etapa I"/>
    <x v="21"/>
    <s v="Lima"/>
    <x v="0"/>
    <n v="1800"/>
    <n v="180"/>
    <x v="0"/>
    <n v="1"/>
    <x v="0"/>
    <s v="No"/>
    <n v="40"/>
    <x v="0"/>
    <s v="Economico"/>
    <s v="Precio Estadar"/>
    <s v="Apartamento"/>
    <s v="Alquiler"/>
    <d v="2023-04-11T00:00:00"/>
    <x v="41"/>
    <s v="https://www.properati.com.pe/detalle/14032-32-66b4-c35c8486432d-3030e0e2-9250-42e4"/>
  </r>
  <r>
    <s v="Apartamento en alquiler en Ur. Confraternidad"/>
    <s v="Ur. Confraternidad"/>
    <x v="2"/>
    <s v="Lima"/>
    <x v="0"/>
    <n v="2300"/>
    <n v="230"/>
    <x v="2"/>
    <n v="1"/>
    <x v="1"/>
    <s v="Sí"/>
    <n v="40"/>
    <x v="17"/>
    <s v="Economico"/>
    <s v="Precio Estadar"/>
    <s v="Apartamento"/>
    <s v="Alquiler"/>
    <d v="2024-07-22T00:00:00"/>
    <x v="67"/>
    <s v="https://www.properati.com.pe/detalle/14032-32-b92f-cd70232acc41-7574c539-87d0-3310"/>
  </r>
  <r>
    <s v="Apartamento en alquiler en Ur. Balta"/>
    <s v="Ur. Balta"/>
    <x v="0"/>
    <s v="Lima"/>
    <x v="0"/>
    <n v="3145"/>
    <n v="314.5"/>
    <x v="0"/>
    <n v="3"/>
    <x v="0"/>
    <s v="Sí"/>
    <n v="113"/>
    <x v="10"/>
    <s v="Caro"/>
    <s v="Precio Estadar"/>
    <s v="Apartamento"/>
    <s v="Alquiler"/>
    <d v="2024-10-27T00:00:00"/>
    <x v="168"/>
    <s v="https://www.properati.com.pe/detalle/14032-32-d80-4fa3595821ea-82aaf161-b1d6-4df5"/>
  </r>
  <r>
    <s v="Apartamento en alquiler en Ur. Las Gardenias"/>
    <s v="Ur. Las Gardenias"/>
    <x v="4"/>
    <s v="Lima"/>
    <x v="0"/>
    <n v="1650"/>
    <n v="165"/>
    <x v="2"/>
    <n v="1"/>
    <x v="0"/>
    <s v="Sí"/>
    <n v="40"/>
    <x v="0"/>
    <s v="Economico"/>
    <s v="Precio Estadar"/>
    <s v="Apartamento"/>
    <s v="Alquiler"/>
    <d v="2023-09-29T00:00:00"/>
    <x v="31"/>
    <s v="https://www.properati.com.pe/detalle/14032-32-ca1e-cb690b357e8e-b3172cd0-b33c-120d"/>
  </r>
  <r>
    <s v="Apartamento en alquiler en Pj. Mirones Bajo"/>
    <s v="Pj. Mirones Bajo"/>
    <x v="5"/>
    <s v="Lima"/>
    <x v="0"/>
    <n v="2200"/>
    <n v="220"/>
    <x v="0"/>
    <n v="2"/>
    <x v="1"/>
    <s v="No"/>
    <n v="150"/>
    <x v="20"/>
    <s v="Economico"/>
    <s v="Precio Estadar"/>
    <s v="Apartamento"/>
    <s v="Alquiler"/>
    <d v="2024-07-20T00:00:00"/>
    <x v="169"/>
    <s v="https://www.properati.com.pe/detalle/14032-32-3337-7d86ec72983b-4d504795-9829-4d42"/>
  </r>
  <r>
    <s v="Apartamento en alquiler en Ur. El Derby"/>
    <s v="Ur. El Derby"/>
    <x v="4"/>
    <s v="Lima"/>
    <x v="0"/>
    <n v="7400"/>
    <n v="740"/>
    <x v="4"/>
    <n v="5"/>
    <x v="1"/>
    <s v="No"/>
    <n v="300"/>
    <x v="27"/>
    <s v="Caro"/>
    <s v="Precio Estadar"/>
    <s v="Apartamento"/>
    <s v="Alquiler"/>
    <d v="2023-06-07T00:00:00"/>
    <x v="6"/>
    <s v="https://www.properati.com.pe/detalle/14032-32-4023-18256b0daffc-25464ac9-9672-4893"/>
  </r>
  <r>
    <s v="Apartamento en alquiler en Hu. Cercado DeMiraflores"/>
    <s v="Hu. Cercado DeMiraflores"/>
    <x v="0"/>
    <s v="Lima"/>
    <x v="0"/>
    <n v="4070"/>
    <n v="407"/>
    <x v="1"/>
    <n v="3"/>
    <x v="0"/>
    <s v="No"/>
    <n v="111"/>
    <x v="30"/>
    <s v="Caro"/>
    <s v="Precio Estadar"/>
    <s v="Apartamento"/>
    <s v="Alquiler"/>
    <d v="2024-07-10T00:00:00"/>
    <x v="6"/>
    <s v="https://www.properati.com.pe/detalle/14032-32-d3bd-9b54828cd073-d9348758-8442-4bb2"/>
  </r>
  <r>
    <s v="Apartamento en alquiler enLima"/>
    <s v="Lima"/>
    <x v="5"/>
    <s v="Lima"/>
    <x v="0"/>
    <n v="1961"/>
    <n v="196.10000000000002"/>
    <x v="2"/>
    <n v="1"/>
    <x v="1"/>
    <s v="Sí"/>
    <m/>
    <x v="20"/>
    <s v="Economico"/>
    <s v="Precio Estadar"/>
    <s v="Apartamento"/>
    <s v="Alquiler"/>
    <d v="2024-11-15T00:00:00"/>
    <x v="150"/>
    <s v="https://www.properati.com.pe/detalle/14032-32-7be3-2593e5e2c0f4-aa2fc254-9191-468d"/>
  </r>
  <r>
    <s v="Apartamento en alquiler en Ur. Valle Hermoso Oeste"/>
    <s v="Ur. Valle Hermoso Oeste"/>
    <x v="4"/>
    <s v="Lima"/>
    <x v="0"/>
    <n v="4625"/>
    <n v="462.5"/>
    <x v="1"/>
    <n v="3"/>
    <x v="1"/>
    <s v="No"/>
    <n v="166"/>
    <x v="10"/>
    <s v="Caro"/>
    <s v="Precio Estadar"/>
    <s v="Apartamento"/>
    <s v="Alquiler"/>
    <d v="2023-02-26T00:00:00"/>
    <x v="100"/>
    <s v="https://www.properati.com.pe/detalle/14032-32-6728-9ae20305443a-efd967ef-bd8f-47ac"/>
  </r>
  <r>
    <s v="Apartamento en alquiler en Ur. Risso"/>
    <s v="Ur. Risso"/>
    <x v="7"/>
    <s v="Lima"/>
    <x v="0"/>
    <n v="3000"/>
    <n v="300"/>
    <x v="1"/>
    <n v="3"/>
    <x v="1"/>
    <s v="No"/>
    <n v="99"/>
    <x v="15"/>
    <s v="Caro"/>
    <s v="Precio Estadar"/>
    <s v="Apartamento"/>
    <s v="Alquiler"/>
    <d v="2024-07-31T00:00:00"/>
    <x v="170"/>
    <s v="https://www.properati.com.pe/detalle/14032-32-f36c-c7d962cf0c38-c5de7593-a00e-496a"/>
  </r>
  <r>
    <s v="Apartamento en alquiler en San Isidro"/>
    <s v="San Isidro"/>
    <x v="5"/>
    <s v="Lima"/>
    <x v="0"/>
    <n v="9250"/>
    <n v="925"/>
    <x v="4"/>
    <n v="3"/>
    <x v="0"/>
    <s v="No"/>
    <n v="283"/>
    <x v="19"/>
    <s v="Caro"/>
    <s v="Precio Estadar"/>
    <s v="Apartamento"/>
    <s v="Alquiler"/>
    <d v="2024-07-22T00:00:00"/>
    <x v="171"/>
    <s v="https://www.properati.com.pe/detalle/14032-32-72e9-c4ee70afb7ae-7fb22879-911d-4856"/>
  </r>
  <r>
    <s v="Apartamento en alquiler en Ur. Orrantia"/>
    <s v="Ur. Orrantia"/>
    <x v="7"/>
    <s v="Lima"/>
    <x v="0"/>
    <n v="4070"/>
    <n v="407"/>
    <x v="0"/>
    <n v="2"/>
    <x v="1"/>
    <s v="No"/>
    <n v="112"/>
    <x v="7"/>
    <s v="Caro"/>
    <s v="Precio Estadar"/>
    <s v="Apartamento"/>
    <s v="Alquiler"/>
    <d v="2024-03-15T00:00:00"/>
    <x v="30"/>
    <s v="https://www.properati.com.pe/detalle/14032-32-7f32-71eb309b456e-388a0e68-8b66-4383"/>
  </r>
  <r>
    <s v="Apartamento en alquiler en As. Huertizacion Progreso La Estrella"/>
    <s v="As. Huertizacion Progreso La Estrella"/>
    <x v="18"/>
    <s v="Lima"/>
    <x v="0"/>
    <n v="1550"/>
    <n v="155"/>
    <x v="1"/>
    <n v="3"/>
    <x v="1"/>
    <s v="Sí"/>
    <n v="129"/>
    <x v="27"/>
    <s v="Economico"/>
    <s v="Precio Estadar"/>
    <s v="Apartamento"/>
    <s v="Alquiler"/>
    <d v="2024-05-12T00:00:00"/>
    <x v="30"/>
    <s v="https://www.properati.com.pe/detalle/14032-32-8301-bbda6b705cc7-fe699b23-a8dd-4a23"/>
  </r>
  <r>
    <s v="Casa en alquiler en Ur. Los Granados"/>
    <s v="Ur. Los Granados"/>
    <x v="4"/>
    <s v="Lima"/>
    <x v="0"/>
    <n v="11100"/>
    <n v="1110"/>
    <x v="4"/>
    <n v="2"/>
    <x v="0"/>
    <s v="No"/>
    <n v="486"/>
    <x v="16"/>
    <s v="Caro"/>
    <s v="Precio Estadar"/>
    <s v="Casa"/>
    <s v="Alquiler"/>
    <d v="2024-06-26T00:00:00"/>
    <x v="30"/>
    <s v="https://www.properati.com.pe/detalle/14032-32-b1b9-bef066921586-e368ac1-aba5-4827"/>
  </r>
  <r>
    <s v="Apartamento en alquiler en Ur. San Antonio"/>
    <s v="Ur. San Antonio"/>
    <x v="0"/>
    <s v="Lima"/>
    <x v="0"/>
    <n v="3330"/>
    <n v="333"/>
    <x v="2"/>
    <n v="2"/>
    <x v="0"/>
    <s v="No"/>
    <n v="95"/>
    <x v="17"/>
    <s v="Caro"/>
    <s v="Precio Estadar"/>
    <s v="Apartamento"/>
    <s v="Alquiler"/>
    <d v="2023-12-30T00:00:00"/>
    <x v="35"/>
    <s v="https://www.properati.com.pe/detalle/14032-32-dd35-d7aabe331d4c-5e89e593-96b9-434e"/>
  </r>
  <r>
    <s v="Apartamento en alquiler en Ur. Corpac"/>
    <s v="Ur. Corpac"/>
    <x v="7"/>
    <s v="Lima"/>
    <x v="0"/>
    <n v="2000"/>
    <n v="200"/>
    <x v="2"/>
    <n v="1"/>
    <x v="1"/>
    <s v="Sí"/>
    <n v="51"/>
    <x v="10"/>
    <s v="Economico"/>
    <s v="Precio Estadar"/>
    <s v="Apartamento"/>
    <s v="Alquiler"/>
    <d v="2023-01-05T00:00:00"/>
    <x v="44"/>
    <s v="https://www.properati.com.pe/detalle/14032-32-92af-4304eb64280b-62602adb-a5e4-40aa"/>
  </r>
  <r>
    <s v="Apartamento en alquiler en Ur. Armendariz"/>
    <s v="Ur. Armendariz"/>
    <x v="0"/>
    <s v="Lima"/>
    <x v="0"/>
    <n v="3700"/>
    <n v="370"/>
    <x v="0"/>
    <n v="2"/>
    <x v="1"/>
    <s v="No"/>
    <n v="70"/>
    <x v="17"/>
    <s v="Caro"/>
    <s v="Precio Estadar"/>
    <s v="Apartamento"/>
    <s v="Alquiler"/>
    <d v="2024-11-01T00:00:00"/>
    <x v="172"/>
    <s v="https://www.properati.com.pe/detalle/14032-32-6bed-1ced6beac1dc-2e491d15-9bb4-4b64"/>
  </r>
  <r>
    <s v="Apartamento en alquiler en Hu. Cercado DeMiraflores"/>
    <s v="Hu. Cercado DeMiraflores"/>
    <x v="0"/>
    <s v="Lima"/>
    <x v="0"/>
    <n v="3145"/>
    <n v="314.5"/>
    <x v="0"/>
    <n v="2"/>
    <x v="1"/>
    <s v="No"/>
    <n v="90"/>
    <x v="13"/>
    <s v="Caro"/>
    <s v="Precio Estadar"/>
    <s v="Apartamento"/>
    <s v="Alquiler"/>
    <d v="2023-12-29T00:00:00"/>
    <x v="109"/>
    <s v="https://www.properati.com.pe/detalle/14032-32-e1c4-b2d83d055111-faeea735-a9d6-500e"/>
  </r>
  <r>
    <s v="Apartamento en alquiler en As. Santa Cruz De Nuevo Vitarte"/>
    <s v="As. Santa Cruz De Nuevo Vitarte"/>
    <x v="18"/>
    <s v="Lima"/>
    <x v="0"/>
    <n v="1800"/>
    <n v="180"/>
    <x v="1"/>
    <n v="1"/>
    <x v="1"/>
    <s v="No"/>
    <n v="180"/>
    <x v="0"/>
    <s v="Economico"/>
    <s v="Precio Estadar"/>
    <s v="Apartamento"/>
    <s v="Alquiler"/>
    <d v="2024-02-13T00:00:00"/>
    <x v="173"/>
    <s v="https://www.properati.com.pe/detalle/14032-32-aff3-97216e9a127d-860b68af-b783-4144"/>
  </r>
  <r>
    <s v="Apartamento en alquiler en Ur.Limatambo"/>
    <s v="Ur.Limatambo"/>
    <x v="10"/>
    <s v="Lima"/>
    <x v="0"/>
    <n v="2200"/>
    <n v="220"/>
    <x v="1"/>
    <n v="2"/>
    <x v="1"/>
    <s v="Sí"/>
    <n v="66"/>
    <x v="7"/>
    <s v="Economico"/>
    <s v="Precio Estadar"/>
    <s v="Apartamento"/>
    <s v="Alquiler"/>
    <d v="2024-03-16T00:00:00"/>
    <x v="160"/>
    <s v="https://www.properati.com.pe/detalle/14032-32-3858-f5d3600d7e23-3ad0315-94e9-49f2"/>
  </r>
  <r>
    <s v="Apartamento en alquiler en Santiago de Surco"/>
    <s v="Santiago de Surco"/>
    <x v="5"/>
    <s v="Lima"/>
    <x v="0"/>
    <n v="1750"/>
    <n v="175"/>
    <x v="1"/>
    <n v="2"/>
    <x v="0"/>
    <s v="Sí"/>
    <n v="105"/>
    <x v="13"/>
    <s v="Economico"/>
    <s v="Precio Estadar"/>
    <s v="Apartamento"/>
    <s v="Alquiler"/>
    <d v="2024-01-13T00:00:00"/>
    <x v="23"/>
    <s v="https://www.properati.com.pe/detalle/14032-32-8834-b43eeacf96f0-7fee4bab-a35c-4cf6"/>
  </r>
  <r>
    <s v="Apartamento en alquiler en Hu. Cercado DeMiraflores"/>
    <s v="Hu. Cercado DeMiraflores"/>
    <x v="0"/>
    <s v="Lima"/>
    <x v="0"/>
    <n v="4070"/>
    <n v="407"/>
    <x v="1"/>
    <n v="2"/>
    <x v="1"/>
    <s v="No"/>
    <n v="100"/>
    <x v="30"/>
    <s v="Caro"/>
    <s v="Precio Estadar"/>
    <s v="Apartamento"/>
    <s v="Alquiler"/>
    <d v="2024-04-25T00:00:00"/>
    <x v="78"/>
    <s v="https://www.properati.com.pe/detalle/14032-32-d9ac-ca35e2861277-41990eb6-a55c-4352"/>
  </r>
  <r>
    <s v="Apartamento en alquiler en Ur. Balta"/>
    <s v="Ur. Balta"/>
    <x v="0"/>
    <s v="Lima"/>
    <x v="0"/>
    <n v="3700"/>
    <n v="370"/>
    <x v="0"/>
    <n v="2"/>
    <x v="1"/>
    <s v="Sí"/>
    <n v="98"/>
    <x v="18"/>
    <s v="Caro"/>
    <s v="Precio Estadar"/>
    <s v="Apartamento"/>
    <s v="Alquiler"/>
    <d v="2023-06-16T00:00:00"/>
    <x v="65"/>
    <s v="https://www.properati.com.pe/detalle/14032-32-a57e-275d8ec4dcd7-1378276a-8256-4197"/>
  </r>
  <r>
    <s v="Apartamento en alquiler en Ur. El Rosario"/>
    <s v="Ur. El Rosario"/>
    <x v="7"/>
    <s v="Lima"/>
    <x v="0"/>
    <n v="8140"/>
    <n v="814"/>
    <x v="1"/>
    <n v="2"/>
    <x v="1"/>
    <s v="Sí"/>
    <n v="210"/>
    <x v="15"/>
    <s v="Caro"/>
    <s v="Precio Estadar"/>
    <s v="Apartamento"/>
    <s v="Alquiler"/>
    <d v="2024-12-09T00:00:00"/>
    <x v="36"/>
    <s v="https://www.properati.com.pe/detalle/14032-32-cae8-d2d4cdcdd48c-f467d042-b7c8-471e"/>
  </r>
  <r>
    <s v="Apartamento en alquiler en Hu. Cercado DeMiraflores"/>
    <s v="Hu. Cercado DeMiraflores"/>
    <x v="0"/>
    <s v="Lima"/>
    <x v="0"/>
    <n v="2312.5"/>
    <n v="231.25"/>
    <x v="0"/>
    <n v="1"/>
    <x v="1"/>
    <s v="No"/>
    <n v="60"/>
    <x v="13"/>
    <s v="Economico"/>
    <s v="Precio Estadar"/>
    <s v="Apartamento"/>
    <s v="Alquiler"/>
    <d v="2024-08-15T00:00:00"/>
    <x v="174"/>
    <s v="https://www.properati.com.pe/detalle/14032-32-6923-ae5c857336af-85c4792b-91f2-4396"/>
  </r>
  <r>
    <s v="Casa en alquiler en Ur. Aurora"/>
    <s v="Ur. Aurora"/>
    <x v="0"/>
    <s v="Lima"/>
    <x v="0"/>
    <n v="12950"/>
    <n v="1295"/>
    <x v="1"/>
    <n v="3"/>
    <x v="0"/>
    <s v="No"/>
    <n v="450"/>
    <x v="15"/>
    <s v="Caro"/>
    <s v="Precio Estadar"/>
    <s v="Casa"/>
    <s v="Alquiler"/>
    <d v="2024-10-13T00:00:00"/>
    <x v="175"/>
    <s v="https://www.properati.com.pe/detalle/14032-32-c520-cc99e52df87a-7e3b9d3b-a403-4826"/>
  </r>
  <r>
    <s v="Apartamento en alquiler en Sector 1"/>
    <s v="Sector 1"/>
    <x v="5"/>
    <s v="Lima"/>
    <x v="0"/>
    <n v="9250"/>
    <n v="925"/>
    <x v="1"/>
    <n v="3"/>
    <x v="1"/>
    <s v="Sí"/>
    <n v="267"/>
    <x v="7"/>
    <s v="Caro"/>
    <s v="Precio Estadar"/>
    <s v="Apartamento"/>
    <s v="Alquiler"/>
    <d v="2024-01-15T00:00:00"/>
    <x v="94"/>
    <s v="https://www.properati.com.pe/detalle/14032-32-8b10-9f20b3f7acb8-a5a9485d-9701-4b73"/>
  </r>
  <r>
    <s v="Apartamento en alquiler en Chorrillos"/>
    <s v="Chorrillos"/>
    <x v="5"/>
    <s v="Lima"/>
    <x v="0"/>
    <n v="5180"/>
    <n v="518"/>
    <x v="1"/>
    <n v="3"/>
    <x v="1"/>
    <s v="No"/>
    <n v="154"/>
    <x v="7"/>
    <s v="Caro"/>
    <s v="Precio Estadar"/>
    <s v="Apartamento"/>
    <s v="Alquiler"/>
    <d v="2024-01-21T00:00:00"/>
    <x v="176"/>
    <s v="https://www.properati.com.pe/detalle/14032-32-ccc1-3681eb9418e9-1adcae39-baa7-309b"/>
  </r>
  <r>
    <s v="Apartamento en alquiler en Ur. Rosario De Villa"/>
    <s v="Ur. Rosario De Villa"/>
    <x v="8"/>
    <s v="Lima"/>
    <x v="0"/>
    <n v="1800"/>
    <n v="180"/>
    <x v="2"/>
    <n v="1"/>
    <x v="0"/>
    <s v="Sí"/>
    <n v="59"/>
    <x v="38"/>
    <s v="Economico"/>
    <s v="Precio Estadar"/>
    <s v="Apartamento"/>
    <s v="Alquiler"/>
    <d v="2023-11-06T00:00:00"/>
    <x v="111"/>
    <s v="https://www.properati.com.pe/detalle/14032-32-69a8-d1c01a1596ff-66396271-af93-4d3c"/>
  </r>
  <r>
    <s v="Apartamento en alquiler en Ur. Orrantia"/>
    <s v="Ur. Orrantia"/>
    <x v="7"/>
    <s v="Lima"/>
    <x v="0"/>
    <n v="4440"/>
    <n v="444"/>
    <x v="1"/>
    <n v="3"/>
    <x v="1"/>
    <s v="No"/>
    <n v="160"/>
    <x v="6"/>
    <s v="Caro"/>
    <s v="Precio Estadar"/>
    <s v="Apartamento"/>
    <s v="Alquiler"/>
    <d v="2023-08-13T00:00:00"/>
    <x v="154"/>
    <s v="https://www.properati.com.pe/detalle/14032-32-923d-839d0497658d-6bf06a1e-9ecd-4a74"/>
  </r>
  <r>
    <s v="Apartamento en alquiler en Ur. Country Club"/>
    <s v="Ur. Country Club"/>
    <x v="7"/>
    <s v="Lima"/>
    <x v="0"/>
    <n v="5920"/>
    <n v="592"/>
    <x v="1"/>
    <n v="2"/>
    <x v="0"/>
    <s v="No"/>
    <n v="205"/>
    <x v="0"/>
    <s v="Caro"/>
    <s v="Precio Estadar"/>
    <s v="Apartamento"/>
    <s v="Alquiler"/>
    <d v="2023-02-27T00:00:00"/>
    <x v="137"/>
    <s v="https://www.properati.com.pe/detalle/14032-32-8b4f-b5eb7c5d3c61-fd23e806-a569-4304"/>
  </r>
  <r>
    <s v="Apartamento en alquiler en Ur. Orrantia"/>
    <s v="Ur. Orrantia"/>
    <x v="7"/>
    <s v="Lima"/>
    <x v="0"/>
    <n v="4440"/>
    <n v="444"/>
    <x v="1"/>
    <n v="2"/>
    <x v="1"/>
    <s v="Sí"/>
    <n v="160"/>
    <x v="10"/>
    <s v="Caro"/>
    <s v="Precio Estadar"/>
    <s v="Apartamento"/>
    <s v="Alquiler"/>
    <d v="2024-04-30T00:00:00"/>
    <x v="154"/>
    <s v="https://www.properati.com.pe/detalle/14032-32-8481-15ac85b3e13d-12b9d1a5-9157-44c1"/>
  </r>
  <r>
    <s v="Apartamento en alquiler en Ur. Balta"/>
    <s v="Ur. Balta"/>
    <x v="0"/>
    <s v="Lima"/>
    <x v="0"/>
    <n v="6290"/>
    <n v="629"/>
    <x v="4"/>
    <n v="4"/>
    <x v="1"/>
    <s v="No"/>
    <n v="210"/>
    <x v="38"/>
    <s v="Caro"/>
    <s v="Precio Estadar"/>
    <s v="Apartamento"/>
    <s v="Alquiler"/>
    <d v="2023-08-15T00:00:00"/>
    <x v="140"/>
    <s v="https://www.properati.com.pe/detalle/14032-32-c81f-55a286ca5677-97757aa0-8391-120d"/>
  </r>
  <r>
    <s v="Apartamento en alquiler en Ur. San Idelfonso Del Vivero"/>
    <s v="Ur. San Idelfonso Del Vivero"/>
    <x v="4"/>
    <s v="Lima"/>
    <x v="0"/>
    <n v="4070"/>
    <n v="407"/>
    <x v="1"/>
    <n v="2"/>
    <x v="1"/>
    <s v="Sí"/>
    <n v="118"/>
    <x v="13"/>
    <s v="Caro"/>
    <s v="Precio Estadar"/>
    <s v="Apartamento"/>
    <s v="Alquiler"/>
    <d v="2024-10-24T00:00:00"/>
    <x v="74"/>
    <s v="https://www.properati.com.pe/detalle/14032-32-553e-817f41e9ed86-a212aceb-bc48-435c"/>
  </r>
  <r>
    <s v="Apartamento en alquiler en Ur. Leuro"/>
    <s v="Ur. Leuro"/>
    <x v="0"/>
    <s v="Lima"/>
    <x v="0"/>
    <n v="3700"/>
    <n v="370"/>
    <x v="0"/>
    <n v="2"/>
    <x v="0"/>
    <s v="No"/>
    <n v="80"/>
    <x v="8"/>
    <s v="Caro"/>
    <s v="Precio Estadar"/>
    <s v="Apartamento"/>
    <s v="Alquiler"/>
    <d v="2024-03-18T00:00:00"/>
    <x v="177"/>
    <s v="https://www.properati.com.pe/detalle/14032-32-bdb7-ecdd49f33496-9baebb64-8a91-4e80"/>
  </r>
  <r>
    <s v="Casa en alquiler en Ur. Lobaton"/>
    <s v="Ur. Lobaton"/>
    <x v="7"/>
    <s v="Lima"/>
    <x v="0"/>
    <n v="4810"/>
    <n v="481"/>
    <x v="3"/>
    <n v="2"/>
    <x v="0"/>
    <s v="No"/>
    <n v="205"/>
    <x v="6"/>
    <s v="Caro"/>
    <s v="Precio Estadar"/>
    <s v="Casa"/>
    <s v="Alquiler"/>
    <d v="2024-05-31T00:00:00"/>
    <x v="178"/>
    <s v="https://www.properati.com.pe/detalle/14032-32-7418-675bfbff8f95-38baadec-bc92-44df"/>
  </r>
  <r>
    <s v="Apartamento en alquiler en Re. Monterrico Sur Ampliacion"/>
    <s v="Re. Monterrico Sur Ampliacion"/>
    <x v="21"/>
    <s v="Lima"/>
    <x v="0"/>
    <n v="2800"/>
    <n v="280"/>
    <x v="1"/>
    <n v="2"/>
    <x v="1"/>
    <s v="Sí"/>
    <n v="144"/>
    <x v="20"/>
    <s v="Caro"/>
    <s v="Precio Estadar"/>
    <s v="Apartamento"/>
    <s v="Alquiler"/>
    <d v="2023-06-06T00:00:00"/>
    <x v="148"/>
    <s v="https://www.properati.com.pe/detalle/14032-32-7bd7-360ed67628bf-4eac03aa-aa2e-498d"/>
  </r>
  <r>
    <s v="Apartamento en alquiler en Ur. San Borja"/>
    <s v="Ur. San Borja"/>
    <x v="11"/>
    <s v="Lima"/>
    <x v="0"/>
    <n v="3000"/>
    <n v="300"/>
    <x v="0"/>
    <n v="2"/>
    <x v="1"/>
    <s v="No"/>
    <n v="108"/>
    <x v="18"/>
    <s v="Caro"/>
    <s v="Precio Estadar"/>
    <s v="Apartamento"/>
    <s v="Alquiler"/>
    <d v="2023-02-05T00:00:00"/>
    <x v="179"/>
    <s v="https://www.properati.com.pe/detalle/14032-32-9e7-fa8dba76edc2-e1c9de04-85b4-485c"/>
  </r>
  <r>
    <s v="Apartamento en alquiler en Ur. Santa Rosa"/>
    <s v="Ur. Santa Rosa"/>
    <x v="7"/>
    <s v="Lima"/>
    <x v="0"/>
    <n v="4033"/>
    <n v="403.3"/>
    <x v="1"/>
    <n v="2"/>
    <x v="0"/>
    <s v="Sí"/>
    <n v="168"/>
    <x v="10"/>
    <s v="Caro"/>
    <s v="Precio Estadar"/>
    <s v="Apartamento"/>
    <s v="Alquiler"/>
    <d v="2024-01-20T00:00:00"/>
    <x v="34"/>
    <s v="https://www.properati.com.pe/detalle/14032-32-16aa-d48ba4ac7a24-84b3b7c0-944d-4727"/>
  </r>
  <r>
    <s v="Casa en alquiler en Ur. El Sol De La Molina Etapa Iii"/>
    <s v="Ur. El Sol De La Molina Etapa Iii"/>
    <x v="21"/>
    <s v="Lima"/>
    <x v="0"/>
    <n v="6105"/>
    <n v="610.5"/>
    <x v="3"/>
    <n v="5"/>
    <x v="0"/>
    <s v="Sí"/>
    <n v="850"/>
    <x v="19"/>
    <s v="Caro"/>
    <s v="Precio Estadar"/>
    <s v="Casa"/>
    <s v="Alquiler"/>
    <d v="2024-11-03T00:00:00"/>
    <x v="63"/>
    <s v="https://www.properati.com.pe/detalle/14032-32-73b6-440818f2ab3a-d0f07808-acd7-4652"/>
  </r>
  <r>
    <s v="Apartamento en alquiler en Ur. Humboldt"/>
    <s v="Ur. Humboldt"/>
    <x v="0"/>
    <s v="Lima"/>
    <x v="0"/>
    <n v="1850"/>
    <n v="185"/>
    <x v="2"/>
    <n v="1"/>
    <x v="1"/>
    <s v="Sí"/>
    <n v="50"/>
    <x v="7"/>
    <s v="Economico"/>
    <s v="Precio Estadar"/>
    <s v="Apartamento"/>
    <s v="Alquiler"/>
    <d v="2024-01-20T00:00:00"/>
    <x v="33"/>
    <s v="https://www.properati.com.pe/detalle/14032-32-fac2-33d4d499732c-f2e46e77-9d0e-47fa"/>
  </r>
  <r>
    <s v="Apartamento en alquiler en Ur. Zarate"/>
    <s v="Ur. Zarate"/>
    <x v="40"/>
    <s v="Lima"/>
    <x v="0"/>
    <n v="1200"/>
    <n v="120"/>
    <x v="0"/>
    <n v="1"/>
    <x v="0"/>
    <s v="No"/>
    <n v="59"/>
    <x v="12"/>
    <s v="Economico"/>
    <s v="Precio Estadar"/>
    <s v="Apartamento"/>
    <s v="Alquiler"/>
    <d v="2023-05-23T00:00:00"/>
    <x v="180"/>
    <s v="https://www.properati.com.pe/detalle/14032-32-daac-72dffcc75c06-9fcaf28c-b842-48b6"/>
  </r>
  <r>
    <s v="Apartamento en alquiler en Ur. Santa Beatriz"/>
    <s v="Ur. Santa Beatriz"/>
    <x v="5"/>
    <s v="Lima"/>
    <x v="0"/>
    <n v="2300"/>
    <n v="230"/>
    <x v="1"/>
    <n v="2"/>
    <x v="0"/>
    <s v="No"/>
    <n v="77"/>
    <x v="10"/>
    <s v="Economico"/>
    <s v="Precio Estadar"/>
    <s v="Apartamento"/>
    <s v="Alquiler"/>
    <d v="2023-01-30T00:00:00"/>
    <x v="42"/>
    <s v="https://www.properati.com.pe/detalle/14032-32-eb1b-96fdf533a75c-2701ef6-900a-4899"/>
  </r>
  <r>
    <s v="Apartamento en alquiler en Ur. Leuro"/>
    <s v="Ur. Leuro"/>
    <x v="0"/>
    <s v="Lima"/>
    <x v="0"/>
    <n v="3145"/>
    <n v="314.5"/>
    <x v="0"/>
    <n v="2"/>
    <x v="1"/>
    <s v="No"/>
    <n v="76"/>
    <x v="27"/>
    <s v="Caro"/>
    <s v="Precio Estadar"/>
    <s v="Apartamento"/>
    <s v="Alquiler"/>
    <d v="2023-02-26T00:00:00"/>
    <x v="36"/>
    <s v="https://www.properati.com.pe/detalle/14032-32-43db-20573448b184-b471a63e-bbdd-4c40"/>
  </r>
  <r>
    <s v="Apartamento en alquiler en Ur. America"/>
    <s v="Ur. America"/>
    <x v="0"/>
    <s v="Lima"/>
    <x v="0"/>
    <n v="3696.3"/>
    <n v="369.63000000000005"/>
    <x v="0"/>
    <n v="3"/>
    <x v="1"/>
    <s v="No"/>
    <n v="126"/>
    <x v="10"/>
    <s v="Caro"/>
    <s v="Precio Estadar"/>
    <s v="Apartamento"/>
    <s v="Alquiler"/>
    <d v="2024-04-23T00:00:00"/>
    <x v="181"/>
    <s v="https://www.properati.com.pe/detalle/14032-32-c80c-1d0e178491b8-cec268f0-8659-120d"/>
  </r>
  <r>
    <s v="Apartamento en alquiler en Ur. S/N"/>
    <s v="Ur. S/N"/>
    <x v="3"/>
    <s v="Lima"/>
    <x v="0"/>
    <n v="1900"/>
    <n v="190"/>
    <x v="2"/>
    <n v="1"/>
    <x v="0"/>
    <s v="No"/>
    <n v="45"/>
    <x v="7"/>
    <s v="Economico"/>
    <s v="Precio Estadar"/>
    <s v="Apartamento"/>
    <s v="Alquiler"/>
    <d v="2024-05-24T00:00:00"/>
    <x v="25"/>
    <s v="https://www.properati.com.pe/detalle/14032-32-a37d-3d80590c4383-90a06704-bba9-4516"/>
  </r>
  <r>
    <s v="Apartamento en alquiler en Ur. Cerros De Camacho"/>
    <s v="Ur. Cerros De Camacho"/>
    <x v="4"/>
    <s v="Lima"/>
    <x v="0"/>
    <n v="8510"/>
    <n v="851"/>
    <x v="1"/>
    <n v="3"/>
    <x v="0"/>
    <s v="Sí"/>
    <n v="285"/>
    <x v="17"/>
    <s v="Caro"/>
    <s v="Precio Estadar"/>
    <s v="Apartamento"/>
    <s v="Alquiler"/>
    <d v="2023-01-30T00:00:00"/>
    <x v="34"/>
    <s v="https://www.properati.com.pe/detalle/14032-32-29c-6b5cd9882b35-c5a54cfa-a8ae-4cf0"/>
  </r>
  <r>
    <s v="Apartamento en alquiler en Ur. San Felipe"/>
    <s v="Ur. San Felipe"/>
    <x v="22"/>
    <s v="Lima"/>
    <x v="0"/>
    <n v="1500"/>
    <n v="150"/>
    <x v="0"/>
    <n v="1"/>
    <x v="0"/>
    <s v="No"/>
    <n v="60"/>
    <x v="13"/>
    <s v="Economico"/>
    <s v="Precio Estadar"/>
    <s v="Apartamento"/>
    <s v="Alquiler"/>
    <d v="2024-02-11T00:00:00"/>
    <x v="12"/>
    <s v="https://www.properati.com.pe/detalle/14032-32-d88c-557bcf407478-aaf9246f-8048-4e57"/>
  </r>
  <r>
    <s v="Apartamento en alquiler en Ur. Santa Cruz"/>
    <s v="Ur. Santa Cruz"/>
    <x v="0"/>
    <s v="Lima"/>
    <x v="0"/>
    <n v="2405"/>
    <n v="240.5"/>
    <x v="0"/>
    <n v="1"/>
    <x v="1"/>
    <s v="No"/>
    <n v="115"/>
    <x v="0"/>
    <s v="Economico"/>
    <s v="Precio Estadar"/>
    <s v="Apartamento"/>
    <s v="Alquiler"/>
    <d v="2023-07-29T00:00:00"/>
    <x v="182"/>
    <s v="https://www.properati.com.pe/detalle/14032-32-47a5-3ae3cea7aad9-26657a8a-9d15-4b9a"/>
  </r>
  <r>
    <s v="Apartamento en alquiler en Ur. Confraternidad"/>
    <s v="Ur. Confraternidad"/>
    <x v="2"/>
    <s v="Lima"/>
    <x v="0"/>
    <n v="2500"/>
    <n v="250"/>
    <x v="2"/>
    <n v="1"/>
    <x v="0"/>
    <s v="No"/>
    <n v="44"/>
    <x v="13"/>
    <s v="Economico"/>
    <s v="Precio Estadar"/>
    <s v="Apartamento"/>
    <s v="Alquiler"/>
    <d v="2024-04-20T00:00:00"/>
    <x v="93"/>
    <s v="https://www.properati.com.pe/detalle/14032-32-1e4b-a802b4ed3470-549cbddd-b7aa-4be1"/>
  </r>
  <r>
    <s v="Apartamento en alquiler en Ur. Chacarilla Santa Cruz Zona Santa Maria"/>
    <s v="Ur. Chacarilla Santa Cruz Zona Santa Maria"/>
    <x v="7"/>
    <s v="Lima"/>
    <x v="0"/>
    <n v="2775"/>
    <n v="277.5"/>
    <x v="2"/>
    <n v="1"/>
    <x v="0"/>
    <s v="No"/>
    <n v="55"/>
    <x v="15"/>
    <s v="Caro"/>
    <s v="Precio Estadar"/>
    <s v="Apartamento"/>
    <s v="Alquiler"/>
    <d v="2024-07-26T00:00:00"/>
    <x v="170"/>
    <s v="https://www.properati.com.pe/detalle/14032-32-e8c1-657e72009120-41d041e5-8c00-4745"/>
  </r>
  <r>
    <s v="Apartamento en alquiler en Ur. Textil Continental"/>
    <s v="Ur. Textil Continental"/>
    <x v="10"/>
    <s v="Lima"/>
    <x v="0"/>
    <n v="2500"/>
    <n v="250"/>
    <x v="1"/>
    <n v="2"/>
    <x v="1"/>
    <s v="No"/>
    <n v="79"/>
    <x v="17"/>
    <s v="Economico"/>
    <s v="Precio Estadar"/>
    <s v="Apartamento"/>
    <s v="Alquiler"/>
    <d v="2024-11-06T00:00:00"/>
    <x v="183"/>
    <s v="https://www.properati.com.pe/detalle/14032-32-66fa-35a36ac2367f-75a83b87-91d1-4134"/>
  </r>
  <r>
    <s v="Apartamento en alquiler en Casuarinas Sur"/>
    <s v="Casuarinas Sur"/>
    <x v="5"/>
    <s v="Lima"/>
    <x v="0"/>
    <n v="2960"/>
    <n v="296"/>
    <x v="1"/>
    <n v="3"/>
    <x v="0"/>
    <s v="No"/>
    <n v="150"/>
    <x v="30"/>
    <s v="Caro"/>
    <s v="Precio Estadar"/>
    <s v="Apartamento"/>
    <s v="Alquiler"/>
    <d v="2024-12-13T00:00:00"/>
    <x v="23"/>
    <s v="https://www.properati.com.pe/detalle/14032-32-d810-40dbaf3e8f4e-982c39a8-9332-484f"/>
  </r>
  <r>
    <s v="Apartamento en alquiler en Zona 7-B"/>
    <s v="Zona 7-B"/>
    <x v="37"/>
    <s v="Lima"/>
    <x v="0"/>
    <n v="4806.3"/>
    <n v="480.63000000000005"/>
    <x v="1"/>
    <n v="2"/>
    <x v="1"/>
    <s v="No"/>
    <n v="102"/>
    <x v="12"/>
    <s v="Caro"/>
    <s v="Precio Estadar"/>
    <s v="Apartamento"/>
    <s v="Alquiler"/>
    <d v="2023-09-14T00:00:00"/>
    <x v="98"/>
    <s v="https://www.properati.com.pe/detalle/14032-32-f060-8152b6f18d01-3649722a-a67f-4fef"/>
  </r>
  <r>
    <s v="HabitaciÃ³n en alquiler en Ur. San Antonio"/>
    <s v="Ur. San Antonio"/>
    <x v="0"/>
    <s v="Lima"/>
    <x v="0"/>
    <n v="1350"/>
    <n v="135"/>
    <x v="2"/>
    <n v="1"/>
    <x v="1"/>
    <s v="No"/>
    <n v="20"/>
    <x v="27"/>
    <s v="Economico"/>
    <s v="Precio Estadar"/>
    <s v="HabitaciÃ³n"/>
    <s v="Alquiler"/>
    <d v="2023-10-18T00:00:00"/>
    <x v="184"/>
    <s v="https://www.properati.com.pe/detalle/14032-32-2731-3481bb9c5031-191b6863-b663-4db0"/>
  </r>
  <r>
    <s v="Casa en alquiler en Ur. Humboldt"/>
    <s v="Ur. Humboldt"/>
    <x v="0"/>
    <s v="Lima"/>
    <x v="0"/>
    <n v="7289"/>
    <n v="728.90000000000009"/>
    <x v="1"/>
    <n v="3"/>
    <x v="0"/>
    <s v="No"/>
    <n v="230"/>
    <x v="10"/>
    <s v="Caro"/>
    <s v="Precio Estadar"/>
    <s v="Casa"/>
    <s v="Alquiler"/>
    <d v="2024-09-12T00:00:00"/>
    <x v="15"/>
    <s v="https://www.properati.com.pe/detalle/14032-32-54bb-67c9508d0a28-5d3cc5c0-83c1-45d2"/>
  </r>
  <r>
    <s v="Apartamento en alquiler en Ur. San Eugenio"/>
    <s v="Ur. San Eugenio"/>
    <x v="3"/>
    <s v="Lima"/>
    <x v="0"/>
    <n v="2775"/>
    <n v="277.5"/>
    <x v="0"/>
    <n v="2"/>
    <x v="1"/>
    <s v="No"/>
    <n v="71"/>
    <x v="12"/>
    <s v="Caro"/>
    <s v="Precio Estadar"/>
    <s v="Apartamento"/>
    <s v="Alquiler"/>
    <d v="2024-06-10T00:00:00"/>
    <x v="144"/>
    <s v="https://www.properati.com.pe/detalle/14032-32-cc7f-ed02528e5eb6-e3fdc5e5-a258-4aac"/>
  </r>
  <r>
    <s v="Casa en alquiler en Ur. Rinconada Del Lago Etapa Ii"/>
    <s v="Ur. Rinconada Del Lago Etapa Ii"/>
    <x v="21"/>
    <s v="Lima"/>
    <x v="0"/>
    <n v="11100"/>
    <n v="1110"/>
    <x v="4"/>
    <n v="5"/>
    <x v="0"/>
    <s v="No"/>
    <n v="650"/>
    <x v="20"/>
    <s v="Caro"/>
    <s v="Precio Estadar"/>
    <s v="Casa"/>
    <s v="Alquiler"/>
    <d v="2023-09-30T00:00:00"/>
    <x v="185"/>
    <s v="https://www.properati.com.pe/detalle/14032-32-54a8-5c778da00117-93355314-b152-4568"/>
  </r>
  <r>
    <s v="Apartamento en alquiler en Ur. San Felipe"/>
    <s v="Ur. San Felipe"/>
    <x v="22"/>
    <s v="Lima"/>
    <x v="0"/>
    <n v="2400"/>
    <n v="240"/>
    <x v="0"/>
    <n v="2"/>
    <x v="1"/>
    <s v="Sí"/>
    <n v="77"/>
    <x v="13"/>
    <s v="Economico"/>
    <s v="Precio Estadar"/>
    <s v="Apartamento"/>
    <s v="Alquiler"/>
    <d v="2024-02-24T00:00:00"/>
    <x v="63"/>
    <s v="https://www.properati.com.pe/detalle/14032-32-154c-f9149cb1f2fb-7a81aa8a-85e4-499d"/>
  </r>
  <r>
    <s v="Casa en alquiler en Cieneguilla"/>
    <s v="Cieneguilla"/>
    <x v="5"/>
    <s v="Lima"/>
    <x v="0"/>
    <n v="4070"/>
    <n v="407"/>
    <x v="4"/>
    <n v="4"/>
    <x v="0"/>
    <s v="No"/>
    <n v="1024"/>
    <x v="13"/>
    <s v="Caro"/>
    <s v="Precio Estadar"/>
    <s v="Casa"/>
    <s v="Alquiler"/>
    <d v="2024-02-26T00:00:00"/>
    <x v="87"/>
    <s v="https://www.properati.com.pe/detalle/14032-32-543f-7a0ddb6e4e6f-a8c47ffa-889d-4745"/>
  </r>
  <r>
    <s v="Apartamento en alquiler en Ur. Risso"/>
    <s v="Ur. Risso"/>
    <x v="7"/>
    <s v="Lima"/>
    <x v="0"/>
    <n v="3000"/>
    <n v="300"/>
    <x v="1"/>
    <n v="2"/>
    <x v="0"/>
    <s v="No"/>
    <n v="110"/>
    <x v="8"/>
    <s v="Caro"/>
    <s v="Precio Estadar"/>
    <s v="Apartamento"/>
    <s v="Alquiler"/>
    <d v="2024-09-06T00:00:00"/>
    <x v="12"/>
    <s v="https://www.properati.com.pe/detalle/14032-32-bc2c-27fcb6cbac95-cbbf27b0-8027-4270"/>
  </r>
  <r>
    <s v="Apartamento en alquiler en Ur. Juan Xxiii"/>
    <s v="Ur. Juan Xxiii"/>
    <x v="11"/>
    <s v="Lima"/>
    <x v="0"/>
    <n v="2000"/>
    <n v="200"/>
    <x v="2"/>
    <n v="1"/>
    <x v="0"/>
    <s v="No"/>
    <n v="75"/>
    <x v="13"/>
    <s v="Economico"/>
    <s v="Precio Estadar"/>
    <s v="Apartamento"/>
    <s v="Alquiler"/>
    <d v="2023-07-13T00:00:00"/>
    <x v="12"/>
    <s v="https://www.properati.com.pe/detalle/14032-32-d620-b4c86092404-eb9585f5-ad8c-4d1d"/>
  </r>
  <r>
    <s v="Apartamento en alquiler en Ur. Portada Del Sol Etapa I (A.E.M.G)"/>
    <s v="Ur. Portada Del Sol Etapa I (A.E.M.G)"/>
    <x v="21"/>
    <s v="Lima"/>
    <x v="0"/>
    <n v="1500"/>
    <n v="150"/>
    <x v="0"/>
    <n v="2"/>
    <x v="1"/>
    <s v="No"/>
    <n v="80"/>
    <x v="13"/>
    <s v="Economico"/>
    <s v="Precio Estadar"/>
    <s v="Apartamento"/>
    <s v="Alquiler"/>
    <d v="2023-02-09T00:00:00"/>
    <x v="12"/>
    <s v="https://www.properati.com.pe/detalle/14032-32-4319-3c5254cf91e4-3d21f2e6-94d7-4f86"/>
  </r>
  <r>
    <s v="Casa en alquiler en Hu. Cercado DeMiraflores"/>
    <s v="Hu. Cercado DeMiraflores"/>
    <x v="0"/>
    <s v="Lima"/>
    <x v="0"/>
    <n v="11100"/>
    <n v="1110"/>
    <x v="1"/>
    <n v="2"/>
    <x v="0"/>
    <s v="Sí"/>
    <n v="153"/>
    <x v="6"/>
    <s v="Caro"/>
    <s v="Precio Estadar"/>
    <s v="Casa"/>
    <s v="Alquiler"/>
    <d v="2024-02-10T00:00:00"/>
    <x v="186"/>
    <s v="https://www.properati.com.pe/detalle/14032-32-4a67-92ca0de06a88-1e696a84-9d17-4d9c"/>
  </r>
  <r>
    <s v="Apartamento en alquiler en Re. Las Camelias"/>
    <s v="Re. Las Camelias"/>
    <x v="11"/>
    <s v="Lima"/>
    <x v="0"/>
    <n v="2590"/>
    <n v="259"/>
    <x v="1"/>
    <n v="2"/>
    <x v="0"/>
    <s v="No"/>
    <n v="110"/>
    <x v="6"/>
    <s v="Caro"/>
    <s v="Precio Estadar"/>
    <s v="Apartamento"/>
    <s v="Alquiler"/>
    <d v="2023-03-09T00:00:00"/>
    <x v="187"/>
    <s v="https://www.properati.com.pe/detalle/14032-32-bee4-d38fa3002692-c6c39fb0-b39b-120d"/>
  </r>
  <r>
    <s v="Apartamento en alquiler en Ur. Mariscal Caceres Sector Iii Etapa 6Ta Y 7Ma"/>
    <s v="Ur. Mariscal Caceres Sector Iii Etapa 6Ta Y 7Ma"/>
    <x v="40"/>
    <s v="Lima"/>
    <x v="0"/>
    <n v="1850"/>
    <n v="185"/>
    <x v="1"/>
    <n v="2"/>
    <x v="0"/>
    <s v="Sí"/>
    <n v="70"/>
    <x v="20"/>
    <s v="Economico"/>
    <s v="Precio Estadar"/>
    <s v="Apartamento"/>
    <s v="Alquiler"/>
    <d v="2024-11-05T00:00:00"/>
    <x v="44"/>
    <s v="https://www.properati.com.pe/detalle/14032-32-3284-9f33d45a4822-63248f1f-bcfe-41ce"/>
  </r>
  <r>
    <s v="Apartamento en alquiler en Ur. Prolongacion Benavides"/>
    <s v="Ur. Prolongacion Benavides"/>
    <x v="4"/>
    <s v="Lima"/>
    <x v="0"/>
    <n v="2000"/>
    <n v="200"/>
    <x v="1"/>
    <n v="2"/>
    <x v="0"/>
    <s v="No"/>
    <n v="100"/>
    <x v="27"/>
    <s v="Economico"/>
    <s v="Precio Estadar"/>
    <s v="Apartamento"/>
    <s v="Alquiler"/>
    <d v="2024-05-27T00:00:00"/>
    <x v="12"/>
    <s v="https://www.properati.com.pe/detalle/14032-32-d112-23c6e3db1a68-c9e24ce1-8464-4756"/>
  </r>
  <r>
    <s v="Apartamento en alquiler en Ur. San Isidro"/>
    <s v="Ur. San Isidro"/>
    <x v="7"/>
    <s v="Lima"/>
    <x v="0"/>
    <n v="2590"/>
    <n v="259"/>
    <x v="2"/>
    <n v="1"/>
    <x v="0"/>
    <s v="No"/>
    <n v="45"/>
    <x v="19"/>
    <s v="Caro"/>
    <s v="Precio Estadar"/>
    <s v="Apartamento"/>
    <s v="Alquiler"/>
    <d v="2024-09-05T00:00:00"/>
    <x v="188"/>
    <s v="https://www.properati.com.pe/detalle/14032-32-ae10-4d5bf36f37dd-178ae965-9eef-47b2"/>
  </r>
  <r>
    <s v="Apartamento en alquiler en Ur. Oyague"/>
    <s v="Ur. Oyague"/>
    <x v="13"/>
    <s v="Lima"/>
    <x v="0"/>
    <n v="2300"/>
    <n v="230"/>
    <x v="0"/>
    <n v="2"/>
    <x v="0"/>
    <s v="No"/>
    <n v="85"/>
    <x v="20"/>
    <s v="Economico"/>
    <s v="Precio Estadar"/>
    <s v="Apartamento"/>
    <s v="Alquiler"/>
    <d v="2023-05-18T00:00:00"/>
    <x v="159"/>
    <s v="https://www.properati.com.pe/detalle/14032-32-38d6-470bb6fede32-3cef1e39-a843-42c3"/>
  </r>
  <r>
    <s v="Apartamento en alquiler en Surquillo"/>
    <s v="Surquillo"/>
    <x v="33"/>
    <s v="Lima"/>
    <x v="0"/>
    <n v="3256"/>
    <n v="325.60000000000002"/>
    <x v="1"/>
    <n v="3"/>
    <x v="0"/>
    <s v="No"/>
    <n v="94"/>
    <x v="0"/>
    <s v="Caro"/>
    <s v="Precio Estadar"/>
    <s v="Apartamento"/>
    <s v="Alquiler"/>
    <d v="2023-09-15T00:00:00"/>
    <x v="51"/>
    <s v="https://www.properati.com.pe/detalle/14032-32-44a8-2e43ee8957f2-d56d4b1d-a4b6-44c0"/>
  </r>
  <r>
    <s v="Apartamento en alquiler en Ur. Mercurio Ii Etapa"/>
    <s v="Ur. Mercurio Ii Etapa"/>
    <x v="29"/>
    <s v="Lima"/>
    <x v="0"/>
    <n v="1500"/>
    <n v="150"/>
    <x v="1"/>
    <n v="1"/>
    <x v="0"/>
    <s v="Sí"/>
    <n v="65"/>
    <x v="10"/>
    <s v="Economico"/>
    <s v="Precio Estadar"/>
    <s v="Apartamento"/>
    <s v="Alquiler"/>
    <d v="2023-06-08T00:00:00"/>
    <x v="10"/>
    <s v="https://www.properati.com.pe/detalle/14032-32-8133-9693b9051a53-e60599c6-b8a1-4a22"/>
  </r>
  <r>
    <s v="Apartamento en alquiler en Ur. San Luis"/>
    <s v="Ur. San Luis"/>
    <x v="0"/>
    <s v="Lima"/>
    <x v="0"/>
    <n v="4403"/>
    <n v="440.3"/>
    <x v="0"/>
    <n v="3"/>
    <x v="1"/>
    <s v="No"/>
    <n v="121"/>
    <x v="12"/>
    <s v="Caro"/>
    <s v="Precio Estadar"/>
    <s v="Apartamento"/>
    <s v="Alquiler"/>
    <d v="2024-08-11T00:00:00"/>
    <x v="23"/>
    <s v="https://www.properati.com.pe/detalle/14032-32-b45a-9598883522b4-f3c0546-85d9-44ea"/>
  </r>
  <r>
    <s v="Apartamento en alquiler en Ur. Los Jazmines"/>
    <s v="Ur. Los Jazmines"/>
    <x v="4"/>
    <s v="Lima"/>
    <x v="0"/>
    <n v="3626"/>
    <n v="362.6"/>
    <x v="1"/>
    <n v="4"/>
    <x v="1"/>
    <s v="No"/>
    <n v="126"/>
    <x v="8"/>
    <s v="Caro"/>
    <s v="Precio Estadar"/>
    <s v="Apartamento"/>
    <s v="Alquiler"/>
    <d v="2024-02-15T00:00:00"/>
    <x v="51"/>
    <s v="https://www.properati.com.pe/detalle/14032-32-e617-264a4e17de5b-6a2b3402-ae31-4dbf"/>
  </r>
  <r>
    <s v="Casa en alquiler en San Borja"/>
    <s v="San Borja"/>
    <x v="5"/>
    <s v="Lima"/>
    <x v="0"/>
    <n v="10360"/>
    <n v="1036"/>
    <x v="4"/>
    <n v="5"/>
    <x v="1"/>
    <s v="Sí"/>
    <n v="550"/>
    <x v="17"/>
    <s v="Caro"/>
    <s v="Precio Estadar"/>
    <s v="Casa"/>
    <s v="Alquiler"/>
    <d v="2024-04-08T00:00:00"/>
    <x v="5"/>
    <s v="https://www.properati.com.pe/detalle/14032-32-a32c-4a0ff11c1d7d-cea9bfb9-bc19-476b"/>
  </r>
  <r>
    <s v="Apartamento en alquiler en Ba. Del Medico"/>
    <s v="Ba. Del Medico"/>
    <x v="10"/>
    <s v="Lima"/>
    <x v="0"/>
    <n v="2590"/>
    <n v="259"/>
    <x v="1"/>
    <n v="2"/>
    <x v="1"/>
    <s v="Sí"/>
    <n v="71"/>
    <x v="17"/>
    <s v="Caro"/>
    <s v="Precio Estadar"/>
    <s v="Apartamento"/>
    <s v="Alquiler"/>
    <d v="2023-02-03T00:00:00"/>
    <x v="10"/>
    <s v="https://www.properati.com.pe/detalle/14032-32-6529-a169617618e7-e96a739a-a472-4bb2"/>
  </r>
  <r>
    <s v="Apartamento en alquiler en Ur. Country Club"/>
    <s v="Ur. Country Club"/>
    <x v="7"/>
    <s v="Lima"/>
    <x v="0"/>
    <n v="6105"/>
    <n v="610.5"/>
    <x v="0"/>
    <n v="2"/>
    <x v="0"/>
    <s v="No"/>
    <n v="135"/>
    <x v="20"/>
    <s v="Caro"/>
    <s v="Precio Estadar"/>
    <s v="Apartamento"/>
    <s v="Alquiler"/>
    <d v="2024-09-09T00:00:00"/>
    <x v="72"/>
    <s v="https://www.properati.com.pe/detalle/14032-32-1b0e-30882899e168-ee9a895e-a56c-4f1a"/>
  </r>
  <r>
    <s v="Apartamento en alquiler en Santa Cruz"/>
    <s v="Santa Cruz"/>
    <x v="38"/>
    <s v="Lima"/>
    <x v="0"/>
    <n v="3515"/>
    <n v="351.5"/>
    <x v="1"/>
    <n v="2"/>
    <x v="1"/>
    <s v="Sí"/>
    <n v="116"/>
    <x v="10"/>
    <s v="Caro"/>
    <s v="Precio Estadar"/>
    <s v="Apartamento"/>
    <s v="Alquiler"/>
    <d v="2024-07-20T00:00:00"/>
    <x v="52"/>
    <s v="https://www.properati.com.pe/detalle/14032-32-8659-8d3b4b5dc478-2ced8748-b482-4e20"/>
  </r>
  <r>
    <s v="Apartamento en alquiler en Ur. Santa Cruz"/>
    <s v="Ur. Santa Cruz"/>
    <x v="0"/>
    <s v="Lima"/>
    <x v="0"/>
    <n v="9246.3000000000011"/>
    <n v="924.63000000000011"/>
    <x v="0"/>
    <n v="2"/>
    <x v="0"/>
    <s v="No"/>
    <n v="200"/>
    <x v="30"/>
    <s v="Caro"/>
    <s v="Precio Estadar"/>
    <s v="Apartamento"/>
    <s v="Alquiler"/>
    <d v="2023-05-30T00:00:00"/>
    <x v="100"/>
    <s v="https://www.properati.com.pe/detalle/14032-32-d9be-442f701de947-48dc5abb-a264-4a0c"/>
  </r>
  <r>
    <s v="Apartamento en alquiler en Ur. Santa Monica"/>
    <s v="Ur. Santa Monica"/>
    <x v="7"/>
    <s v="Lima"/>
    <x v="0"/>
    <n v="12950"/>
    <n v="1295"/>
    <x v="1"/>
    <n v="3"/>
    <x v="1"/>
    <s v="No"/>
    <n v="320"/>
    <x v="10"/>
    <s v="Caro"/>
    <s v="Precio Estadar"/>
    <s v="Apartamento"/>
    <s v="Alquiler"/>
    <d v="2023-03-10T00:00:00"/>
    <x v="189"/>
    <s v="https://www.properati.com.pe/detalle/14032-32-11a4-d426ee3fbada-1f0153c1-ada5-3fcb"/>
  </r>
  <r>
    <s v="Oficina en alquiler en San Felipe"/>
    <s v="San Felipe"/>
    <x v="41"/>
    <s v="Lima"/>
    <x v="0"/>
    <n v="29600"/>
    <n v="2960"/>
    <x v="10"/>
    <n v="10"/>
    <x v="1"/>
    <s v="Sí"/>
    <n v="762"/>
    <x v="0"/>
    <s v="Caro"/>
    <s v="Precio Estadar"/>
    <s v="Oficina"/>
    <s v="Alquiler"/>
    <d v="2023-11-27T00:00:00"/>
    <x v="190"/>
    <s v="https://www.properati.com.pe/detalle/14032-32-16c8-ef2f1a2b5510-ca1aed4b-9a64-3d71"/>
  </r>
  <r>
    <s v="Apartamento en alquiler en Chacarilla del Estanque"/>
    <s v="Chacarilla del Estanque"/>
    <x v="5"/>
    <s v="Lima"/>
    <x v="0"/>
    <n v="5180"/>
    <n v="518"/>
    <x v="1"/>
    <n v="4"/>
    <x v="0"/>
    <s v="Sí"/>
    <n v="185"/>
    <x v="20"/>
    <s v="Caro"/>
    <s v="Precio Estadar"/>
    <s v="Apartamento"/>
    <s v="Alquiler"/>
    <d v="2024-10-12T00:00:00"/>
    <x v="62"/>
    <s v="https://www.properati.com.pe/detalle/14032-32-bf82-f63ba79adec3-44579346-bb36-4604"/>
  </r>
  <r>
    <s v="Apartamento en alquiler en Uv. Matute"/>
    <s v="Uv. Matute"/>
    <x v="26"/>
    <s v="Lima"/>
    <x v="0"/>
    <n v="1500"/>
    <n v="150"/>
    <x v="2"/>
    <n v="1"/>
    <x v="1"/>
    <s v="Sí"/>
    <n v="47"/>
    <x v="12"/>
    <s v="Economico"/>
    <s v="Precio Estadar"/>
    <s v="Apartamento"/>
    <s v="Alquiler"/>
    <d v="2024-03-28T00:00:00"/>
    <x v="7"/>
    <s v="https://www.properati.com.pe/detalle/14032-32-beee-51b42f6cc20e-8b9a9ec0-9ade-120d"/>
  </r>
  <r>
    <s v="Casa en alquiler en Ur. Santo Tomas"/>
    <s v="Ur. Santo Tomas"/>
    <x v="11"/>
    <s v="Lima"/>
    <x v="0"/>
    <n v="6660"/>
    <n v="666"/>
    <x v="1"/>
    <n v="4"/>
    <x v="1"/>
    <s v="Sí"/>
    <n v="300"/>
    <x v="0"/>
    <s v="Caro"/>
    <s v="Precio Estadar"/>
    <s v="Casa"/>
    <s v="Alquiler"/>
    <d v="2023-03-04T00:00:00"/>
    <x v="6"/>
    <s v="https://www.properati.com.pe/detalle/14032-32-65a3-e6fd33dd01bc-30df33c1-af01-479e"/>
  </r>
  <r>
    <s v="Apartamento en alquiler en Ur. El Palomar"/>
    <s v="Ur. El Palomar"/>
    <x v="7"/>
    <s v="Lima"/>
    <x v="0"/>
    <n v="4440"/>
    <n v="444"/>
    <x v="4"/>
    <n v="4"/>
    <x v="0"/>
    <s v="No"/>
    <n v="148"/>
    <x v="19"/>
    <s v="Caro"/>
    <s v="Precio Estadar"/>
    <s v="Apartamento"/>
    <s v="Alquiler"/>
    <d v="2024-11-21T00:00:00"/>
    <x v="23"/>
    <s v="https://www.properati.com.pe/detalle/14032-32-b9f9-91e8667efcbd-1173703-b83e-43d9"/>
  </r>
  <r>
    <s v="Apartamento en alquiler en Ur. Victoria"/>
    <s v="Ur. Victoria"/>
    <x v="7"/>
    <s v="Lima"/>
    <x v="0"/>
    <n v="2960"/>
    <n v="296"/>
    <x v="1"/>
    <n v="2"/>
    <x v="1"/>
    <s v="No"/>
    <n v="180"/>
    <x v="18"/>
    <s v="Caro"/>
    <s v="Precio Estadar"/>
    <s v="Apartamento"/>
    <s v="Alquiler"/>
    <d v="2024-08-17T00:00:00"/>
    <x v="95"/>
    <s v="https://www.properati.com.pe/detalle/14032-32-cdf0-a0e4918951da-1ade6294-be9e-4f97"/>
  </r>
  <r>
    <s v="Apartamento en alquiler en Ur. San Isidro"/>
    <s v="Ur. San Isidro"/>
    <x v="7"/>
    <s v="Lima"/>
    <x v="0"/>
    <n v="2220"/>
    <n v="222"/>
    <x v="2"/>
    <n v="1"/>
    <x v="0"/>
    <s v="Sí"/>
    <n v="50"/>
    <x v="10"/>
    <s v="Economico"/>
    <s v="Precio Estadar"/>
    <s v="Apartamento"/>
    <s v="Alquiler"/>
    <d v="2023-12-26T00:00:00"/>
    <x v="122"/>
    <s v="https://www.properati.com.pe/detalle/14032-32-9770-70874f95b851-b218178b-a83d-49af"/>
  </r>
  <r>
    <s v="Apartamento en alquiler en Chacarilla-Santa Cruz"/>
    <s v="Chacarilla-Santa Cruz"/>
    <x v="38"/>
    <s v="Lima"/>
    <x v="0"/>
    <n v="3515"/>
    <n v="351.5"/>
    <x v="0"/>
    <n v="2"/>
    <x v="0"/>
    <s v="No"/>
    <n v="84"/>
    <x v="12"/>
    <s v="Caro"/>
    <s v="Precio Estadar"/>
    <s v="Apartamento"/>
    <s v="Alquiler"/>
    <d v="2023-12-14T00:00:00"/>
    <x v="17"/>
    <s v="https://www.properati.com.pe/detalle/14032-32-63b5-c5fec6e411a4-91dccb10-8789-417a"/>
  </r>
  <r>
    <s v="Apartamento en alquiler en Ur. Leuro"/>
    <s v="Ur. Leuro"/>
    <x v="0"/>
    <s v="Lima"/>
    <x v="0"/>
    <n v="3330"/>
    <n v="333"/>
    <x v="1"/>
    <n v="2"/>
    <x v="1"/>
    <s v="No"/>
    <n v="97"/>
    <x v="17"/>
    <s v="Caro"/>
    <s v="Precio Estadar"/>
    <s v="Apartamento"/>
    <s v="Alquiler"/>
    <d v="2023-10-02T00:00:00"/>
    <x v="23"/>
    <s v="https://www.properati.com.pe/detalle/14032-32-bfe1-79853a3cb552-a7979f69-926b-42dc"/>
  </r>
  <r>
    <s v="Apartamento en alquiler en Ur. Aurora"/>
    <s v="Ur. Aurora"/>
    <x v="0"/>
    <s v="Lima"/>
    <x v="0"/>
    <n v="3515"/>
    <n v="351.5"/>
    <x v="0"/>
    <n v="3"/>
    <x v="1"/>
    <s v="No"/>
    <n v="165"/>
    <x v="13"/>
    <s v="Caro"/>
    <s v="Precio Estadar"/>
    <s v="Apartamento"/>
    <s v="Alquiler"/>
    <d v="2023-07-05T00:00:00"/>
    <x v="191"/>
    <s v="https://www.properati.com.pe/detalle/14032-32-96fd-112114279f5e-6f3795bd-be77-402e"/>
  </r>
  <r>
    <s v="Apartamento en alquiler en Urb Jose Balta"/>
    <s v="Urb Jose Balta"/>
    <x v="5"/>
    <s v="Lima"/>
    <x v="0"/>
    <n v="14800"/>
    <n v="1480"/>
    <x v="1"/>
    <n v="3"/>
    <x v="1"/>
    <s v="Sí"/>
    <n v="224"/>
    <x v="19"/>
    <s v="Caro"/>
    <s v="Precio Estadar"/>
    <s v="Apartamento"/>
    <s v="Alquiler"/>
    <d v="2023-05-22T00:00:00"/>
    <x v="171"/>
    <s v="https://www.properati.com.pe/detalle/14032-32-a2a9-775d21f098b2-eb10827d-bfe8-3b40"/>
  </r>
  <r>
    <s v="Casa en alquiler en Huaycani"/>
    <s v="Huaycani"/>
    <x v="1"/>
    <s v="Arequipa"/>
    <x v="1"/>
    <n v="6000"/>
    <n v="300"/>
    <x v="8"/>
    <n v="6"/>
    <x v="1"/>
    <s v="Sí"/>
    <n v="266"/>
    <x v="38"/>
    <s v="Caro"/>
    <s v="Precio Estadar"/>
    <s v="Casa"/>
    <s v="Alquiler"/>
    <d v="2024-05-24T00:00:00"/>
    <x v="192"/>
    <s v="https://www.properati.com.pe/detalle/14032-32-9ca8-72663346bd54-348362b9-a5a4-4a16"/>
  </r>
  <r>
    <s v="Apartamento en alquiler en Ur. Santa Cruz"/>
    <s v="Ur. Santa Cruz"/>
    <x v="0"/>
    <s v="Lima"/>
    <x v="0"/>
    <n v="1500"/>
    <n v="150"/>
    <x v="2"/>
    <n v="1"/>
    <x v="0"/>
    <s v="No"/>
    <n v="42"/>
    <x v="6"/>
    <s v="Economico"/>
    <s v="Precio Estadar"/>
    <s v="Apartamento"/>
    <s v="Alquiler"/>
    <d v="2023-06-16T00:00:00"/>
    <x v="193"/>
    <s v="https://www.properati.com.pe/detalle/14032-32-1f6a-85a6bb7ae8f3-128f1e92-975e-4e85"/>
  </r>
  <r>
    <s v="Casa en alquiler en Ur. 28 De Julio"/>
    <s v="Ur. 28 De Julio"/>
    <x v="25"/>
    <s v="Lima"/>
    <x v="0"/>
    <n v="6900"/>
    <n v="690"/>
    <x v="4"/>
    <n v="3"/>
    <x v="0"/>
    <s v="Sí"/>
    <n v="214"/>
    <x v="18"/>
    <s v="Caro"/>
    <s v="Precio Estadar"/>
    <s v="Casa"/>
    <s v="Alquiler"/>
    <d v="2023-12-12T00:00:00"/>
    <x v="194"/>
    <s v="https://www.properati.com.pe/detalle/14032-32-daf3-40d661bff042-2553fce6-ab78-437c"/>
  </r>
  <r>
    <s v="Casa en alquiler en Mariano Melgar"/>
    <s v="Mariano Melgar"/>
    <x v="1"/>
    <s v="Arequipa "/>
    <x v="3"/>
    <n v="3200"/>
    <n v="160"/>
    <x v="4"/>
    <n v="4"/>
    <x v="0"/>
    <s v="Sí"/>
    <n v="192"/>
    <x v="15"/>
    <s v="Caro"/>
    <s v="Precio Estadar"/>
    <s v="Casa"/>
    <s v="Alquiler"/>
    <d v="2024-09-25T00:00:00"/>
    <x v="192"/>
    <s v="https://www.properati.com.pe/detalle/14032-32-4cd6-7106b715107f-db4b573d-91ae-4130"/>
  </r>
  <r>
    <s v="Apartamento en alquiler en Ur. Los Jazmines"/>
    <s v="Ur. Los Jazmines"/>
    <x v="4"/>
    <s v="Lima"/>
    <x v="0"/>
    <n v="3145"/>
    <n v="314.5"/>
    <x v="1"/>
    <n v="4"/>
    <x v="1"/>
    <s v="Sí"/>
    <n v="120"/>
    <x v="19"/>
    <s v="Caro"/>
    <s v="Precio Estadar"/>
    <s v="Apartamento"/>
    <s v="Alquiler"/>
    <d v="2024-03-30T00:00:00"/>
    <x v="10"/>
    <s v="https://www.properati.com.pe/detalle/14032-32-c231-dc0be0a56fb0-b323855f-b98c-4248"/>
  </r>
  <r>
    <s v="Apartamento en alquiler en Ur. Sagitario"/>
    <s v="Ur. Sagitario"/>
    <x v="4"/>
    <s v="Lima"/>
    <x v="0"/>
    <n v="1550"/>
    <n v="155"/>
    <x v="0"/>
    <n v="2"/>
    <x v="0"/>
    <s v="No"/>
    <n v="92"/>
    <x v="16"/>
    <s v="Economico"/>
    <s v="Precio Estadar"/>
    <s v="Apartamento"/>
    <s v="Alquiler"/>
    <d v="2024-08-17T00:00:00"/>
    <x v="195"/>
    <s v="https://www.properati.com.pe/detalle/14032-32-8b3c-75b8c8108766-b5bdf8f4-af90-396c"/>
  </r>
  <r>
    <s v="Apartamento en alquiler en Ur. Maranga Etapa Ii"/>
    <s v="Ur. Maranga Etapa Ii"/>
    <x v="16"/>
    <s v="Lima"/>
    <x v="0"/>
    <n v="2300"/>
    <n v="230"/>
    <x v="0"/>
    <n v="3"/>
    <x v="0"/>
    <s v="Sí"/>
    <n v="70"/>
    <x v="18"/>
    <s v="Economico"/>
    <s v="Precio Estadar"/>
    <s v="Apartamento"/>
    <s v="Alquiler"/>
    <d v="2024-07-02T00:00:00"/>
    <x v="196"/>
    <s v="https://www.properati.com.pe/detalle/14032-32-6527-49826989f505-587fdca8-a3d8-3d9b"/>
  </r>
  <r>
    <s v="Apartamento en alquiler en Ur. Benavides Etapa I"/>
    <s v="Ur. Benavides Etapa I"/>
    <x v="4"/>
    <s v="Lima"/>
    <x v="0"/>
    <n v="1900"/>
    <n v="190"/>
    <x v="0"/>
    <n v="1"/>
    <x v="0"/>
    <s v="Sí"/>
    <n v="65"/>
    <x v="16"/>
    <s v="Economico"/>
    <s v="Precio Estadar"/>
    <s v="Apartamento"/>
    <s v="Alquiler"/>
    <d v="2024-04-11T00:00:00"/>
    <x v="196"/>
    <s v="https://www.properati.com.pe/detalle/14032-32-9c60-e574062f832e-78d082-b0e2-3bb3"/>
  </r>
  <r>
    <s v="Apartamento en alquiler en Ur. Chacarilla Santa Cruz"/>
    <s v="Ur. Chacarilla Santa Cruz"/>
    <x v="7"/>
    <s v="Lima"/>
    <x v="0"/>
    <n v="3700"/>
    <n v="370"/>
    <x v="0"/>
    <n v="2"/>
    <x v="0"/>
    <s v="No"/>
    <n v="61"/>
    <x v="8"/>
    <s v="Caro"/>
    <s v="Precio Estadar"/>
    <s v="Apartamento"/>
    <s v="Alquiler"/>
    <d v="2024-01-13T00:00:00"/>
    <x v="196"/>
    <s v="https://www.properati.com.pe/detalle/14032-32-6ad9-4f405726fb46-997a8022-b8d5-3b54"/>
  </r>
  <r>
    <s v="Apartamento en alquiler en Ur. Valle De Sharon"/>
    <s v="Ur. Valle De Sharon"/>
    <x v="14"/>
    <s v="Lima"/>
    <x v="0"/>
    <n v="1200"/>
    <n v="120"/>
    <x v="0"/>
    <n v="1"/>
    <x v="0"/>
    <s v="No"/>
    <n v="78"/>
    <x v="8"/>
    <s v="Economico"/>
    <s v="Precio Estadar"/>
    <s v="Apartamento"/>
    <s v="Alquiler"/>
    <d v="2023-05-27T00:00:00"/>
    <x v="44"/>
    <s v="https://www.properati.com.pe/detalle/14032-32-5117-769ad7bae04b-859319cb-9f81-45c3"/>
  </r>
  <r>
    <s v="Apartamento en alquiler en Ur. Las Lomas De La Molina Vieja Etapa I"/>
    <s v="Ur. Las Lomas De La Molina Vieja Etapa I"/>
    <x v="21"/>
    <s v="Lima"/>
    <x v="0"/>
    <n v="2450"/>
    <n v="245"/>
    <x v="1"/>
    <n v="3"/>
    <x v="0"/>
    <s v="No"/>
    <n v="79"/>
    <x v="17"/>
    <s v="Economico"/>
    <s v="Precio Estadar"/>
    <s v="Apartamento"/>
    <s v="Alquiler"/>
    <d v="2023-05-14T00:00:00"/>
    <x v="44"/>
    <s v="https://www.properati.com.pe/detalle/14032-32-65be-93a6b1588d4e-66bfe366-b8de-4d54"/>
  </r>
  <r>
    <s v="Apartamento en alquiler en San Isidro"/>
    <s v="San Isidro"/>
    <x v="5"/>
    <s v="Lima"/>
    <x v="0"/>
    <n v="5550"/>
    <n v="555"/>
    <x v="1"/>
    <n v="2"/>
    <x v="0"/>
    <s v="No"/>
    <n v="155"/>
    <x v="38"/>
    <s v="Caro"/>
    <s v="Precio Estadar"/>
    <s v="Apartamento"/>
    <s v="Alquiler"/>
    <d v="2023-05-04T00:00:00"/>
    <x v="36"/>
    <s v="https://www.properati.com.pe/detalle/14032-32-298a-ebe48e1a53d9-accbd92-9683-4193"/>
  </r>
  <r>
    <s v="Apartamento en alquiler en Ur. Balta"/>
    <s v="Ur. Balta"/>
    <x v="0"/>
    <s v="Lima"/>
    <x v="0"/>
    <n v="3515"/>
    <n v="351.5"/>
    <x v="1"/>
    <n v="2"/>
    <x v="0"/>
    <s v="No"/>
    <n v="95"/>
    <x v="19"/>
    <s v="Caro"/>
    <s v="Precio Estadar"/>
    <s v="Apartamento"/>
    <s v="Alquiler"/>
    <d v="2023-04-28T00:00:00"/>
    <x v="197"/>
    <s v="https://www.properati.com.pe/detalle/14032-32-a354-55d24f71a62b-a307fbe7-b196-4703"/>
  </r>
  <r>
    <s v="Apartamento en alquiler en Rimac"/>
    <s v="Rimac"/>
    <x v="5"/>
    <s v="Lima"/>
    <x v="0"/>
    <n v="1400"/>
    <n v="140"/>
    <x v="1"/>
    <n v="2"/>
    <x v="0"/>
    <s v="No"/>
    <n v="81"/>
    <x v="27"/>
    <s v="Economico"/>
    <s v="Precio Estadar"/>
    <s v="Apartamento"/>
    <s v="Alquiler"/>
    <d v="2023-05-19T00:00:00"/>
    <x v="42"/>
    <s v="https://www.properati.com.pe/detalle/14032-32-4818-78af0800564f-86633c39-b06f-4ccc"/>
  </r>
  <r>
    <s v="Apartamento en alquiler en Callao"/>
    <s v="Callao"/>
    <x v="20"/>
    <s v=" Callao "/>
    <x v="4"/>
    <n v="1100"/>
    <n v="55"/>
    <x v="0"/>
    <n v="2"/>
    <x v="1"/>
    <s v="No"/>
    <n v="65"/>
    <x v="19"/>
    <s v="Economico"/>
    <s v="Precio Estadar"/>
    <s v="Apartamento"/>
    <s v="Alquiler"/>
    <d v="2024-08-06T00:00:00"/>
    <x v="198"/>
    <s v="https://www.properati.com.pe/detalle/14032-32-7c67-d5066ba53965-2abe84d0-9f2b-4fc2"/>
  </r>
  <r>
    <s v="Apartamento en alquiler en Ur. San Borja"/>
    <s v="Ur. San Borja"/>
    <x v="11"/>
    <s v="Lima"/>
    <x v="0"/>
    <n v="2400"/>
    <n v="240"/>
    <x v="1"/>
    <n v="1"/>
    <x v="1"/>
    <s v="Sí"/>
    <n v="100"/>
    <x v="6"/>
    <s v="Economico"/>
    <s v="Precio Estadar"/>
    <s v="Apartamento"/>
    <s v="Alquiler"/>
    <d v="2023-10-25T00:00:00"/>
    <x v="122"/>
    <s v="https://www.properati.com.pe/detalle/14032-32-80c7-5e080f64b972-f60e55aa-9332-46a5"/>
  </r>
  <r>
    <s v="Apartamento en alquiler en Hu. Cercado DeMiraflores"/>
    <s v="Hu. Cercado DeMiraflores"/>
    <x v="0"/>
    <s v="Lima"/>
    <x v="0"/>
    <n v="3330"/>
    <n v="333"/>
    <x v="0"/>
    <n v="2"/>
    <x v="0"/>
    <s v="No"/>
    <n v="104"/>
    <x v="16"/>
    <s v="Caro"/>
    <s v="Precio Estadar"/>
    <s v="Apartamento"/>
    <s v="Alquiler"/>
    <d v="2023-06-27T00:00:00"/>
    <x v="50"/>
    <s v="https://www.properati.com.pe/detalle/14032-32-3e73-50fcf85e60f4-a731f331-b892-4851"/>
  </r>
  <r>
    <s v="Apartamento en alquiler en Ur. Country Club"/>
    <s v="Ur. Country Club"/>
    <x v="7"/>
    <s v="Lima"/>
    <x v="0"/>
    <n v="7770"/>
    <n v="777"/>
    <x v="4"/>
    <n v="2"/>
    <x v="1"/>
    <s v="No"/>
    <n v="295"/>
    <x v="10"/>
    <s v="Caro"/>
    <s v="Precio Estadar"/>
    <s v="Apartamento"/>
    <s v="Alquiler"/>
    <d v="2023-10-15T00:00:00"/>
    <x v="17"/>
    <s v="https://www.properati.com.pe/detalle/14032-32-5ebe-61e524a9e13a-e90fec66-bbda-4db6"/>
  </r>
  <r>
    <s v="Apartamento en alquiler en Ur. Santa Monica"/>
    <s v="Ur. Santa Monica"/>
    <x v="7"/>
    <s v="Lima"/>
    <x v="0"/>
    <n v="6105"/>
    <n v="610.5"/>
    <x v="1"/>
    <n v="2"/>
    <x v="1"/>
    <s v="No"/>
    <n v="180"/>
    <x v="20"/>
    <s v="Caro"/>
    <s v="Precio Estadar"/>
    <s v="Apartamento"/>
    <s v="Alquiler"/>
    <d v="2023-09-07T00:00:00"/>
    <x v="65"/>
    <s v="https://www.properati.com.pe/detalle/14032-32-db71-376b3a4a66c7-3900e72c-9521-4daf"/>
  </r>
  <r>
    <s v="Casa en alquiler en Rio Seco"/>
    <s v="Rio Seco"/>
    <x v="1"/>
    <s v="Arequipa"/>
    <x v="1"/>
    <n v="11100"/>
    <n v="555"/>
    <x v="3"/>
    <n v="7"/>
    <x v="0"/>
    <s v="No"/>
    <m/>
    <x v="10"/>
    <s v="Caro"/>
    <s v="Precio Estadar"/>
    <s v="Casa"/>
    <s v="Alquiler"/>
    <d v="2024-07-21T00:00:00"/>
    <x v="143"/>
    <s v="https://www.properati.com.pe/detalle/14032-32-37fb-2011a501c6ba-a343c185-8bca-4051"/>
  </r>
  <r>
    <s v="Apartamento en alquiler en Hu. Colegio Particular Santa Maria Etapa Ii"/>
    <s v="Hu. Colegio Particular Santa Maria Etapa Ii"/>
    <x v="4"/>
    <s v="Lima"/>
    <x v="0"/>
    <n v="8140"/>
    <n v="814"/>
    <x v="4"/>
    <n v="4"/>
    <x v="0"/>
    <s v="Sí"/>
    <n v="300"/>
    <x v="30"/>
    <s v="Caro"/>
    <s v="Precio Estadar"/>
    <s v="Apartamento"/>
    <s v="Alquiler"/>
    <d v="2023-12-07T00:00:00"/>
    <x v="91"/>
    <s v="https://www.properati.com.pe/detalle/14032-32-8ae6-ff1736b8c0f3-c79a2ede-9f60-4293"/>
  </r>
  <r>
    <s v="Apartamento en alquiler en Ur.Limatambo"/>
    <s v="Ur.Limatambo"/>
    <x v="10"/>
    <s v="Lima"/>
    <x v="0"/>
    <n v="2000"/>
    <n v="200"/>
    <x v="0"/>
    <n v="2"/>
    <x v="1"/>
    <s v="No"/>
    <n v="76"/>
    <x v="17"/>
    <s v="Economico"/>
    <s v="Precio Estadar"/>
    <s v="Apartamento"/>
    <s v="Alquiler"/>
    <d v="2024-06-17T00:00:00"/>
    <x v="197"/>
    <s v="https://www.properati.com.pe/detalle/14032-32-1947-16e67d3ff413-c822b56c-9d34-4277"/>
  </r>
  <r>
    <s v="Apartamento en alquiler en Ur. Balta"/>
    <s v="Ur. Balta"/>
    <x v="0"/>
    <s v="Lima"/>
    <x v="0"/>
    <n v="4403"/>
    <n v="440.3"/>
    <x v="1"/>
    <n v="3"/>
    <x v="0"/>
    <s v="No"/>
    <n v="160"/>
    <x v="18"/>
    <s v="Caro"/>
    <s v="Precio Estadar"/>
    <s v="Apartamento"/>
    <s v="Alquiler"/>
    <d v="2024-09-11T00:00:00"/>
    <x v="10"/>
    <s v="https://www.properati.com.pe/detalle/14032-32-ad35-c14abebf1009-bce9e8b1-817e-4937"/>
  </r>
  <r>
    <s v="Apartamento en alquiler en Ur. Lola Ferreyros"/>
    <s v="Ur. Lola Ferreyros"/>
    <x v="28"/>
    <s v="Lima"/>
    <x v="0"/>
    <n v="1550"/>
    <n v="155"/>
    <x v="1"/>
    <n v="2"/>
    <x v="0"/>
    <s v="Sí"/>
    <n v="93"/>
    <x v="7"/>
    <s v="Economico"/>
    <s v="Precio Estadar"/>
    <s v="Apartamento"/>
    <s v="Alquiler"/>
    <d v="2024-12-16T00:00:00"/>
    <x v="50"/>
    <s v="https://www.properati.com.pe/detalle/14032-32-4e7d-c4eac7d31a1c-4ec02748-b297-4889"/>
  </r>
  <r>
    <s v="Apartamento en alquiler en Ur. Bella Luz"/>
    <s v="Ur. Bella Luz"/>
    <x v="4"/>
    <s v="Lima"/>
    <x v="0"/>
    <n v="9250"/>
    <n v="925"/>
    <x v="4"/>
    <n v="4"/>
    <x v="0"/>
    <s v="No"/>
    <n v="217"/>
    <x v="10"/>
    <s v="Caro"/>
    <s v="Precio Estadar"/>
    <s v="Apartamento"/>
    <s v="Alquiler"/>
    <d v="2024-06-24T00:00:00"/>
    <x v="196"/>
    <s v="https://www.properati.com.pe/detalle/14032-32-b686-1d733af590b6-b7242cb8-a246-3de4"/>
  </r>
  <r>
    <s v="Casa en alquiler en Yanahuara"/>
    <s v="Yanahuara"/>
    <x v="1"/>
    <s v="Arequipa "/>
    <x v="3"/>
    <n v="6290"/>
    <n v="314.5"/>
    <x v="4"/>
    <n v="3"/>
    <x v="1"/>
    <s v="Sí"/>
    <n v="220"/>
    <x v="15"/>
    <s v="Caro"/>
    <s v="Precio Estadar"/>
    <s v="Casa"/>
    <s v="Alquiler"/>
    <d v="2024-05-18T00:00:00"/>
    <x v="130"/>
    <s v="https://www.properati.com.pe/detalle/14032-32-c8e3-efec18b32a5a-784be0f0-b171-120d"/>
  </r>
  <r>
    <s v="Apartamento en alquiler en Cayma"/>
    <s v="Cayma"/>
    <x v="1"/>
    <s v="Arequipa "/>
    <x v="3"/>
    <n v="4440"/>
    <n v="222"/>
    <x v="1"/>
    <n v="3"/>
    <x v="1"/>
    <s v="Sí"/>
    <n v="110"/>
    <x v="19"/>
    <s v="Caro"/>
    <s v="Precio Estadar"/>
    <s v="Apartamento"/>
    <s v="Alquiler"/>
    <d v="2024-07-09T00:00:00"/>
    <x v="130"/>
    <s v="https://www.properati.com.pe/detalle/14032-32-c8e0-5fe03513bed1-3c6ce50-bec2-120d"/>
  </r>
  <r>
    <s v="Apartamento en alquiler en Urb Confraternidad"/>
    <s v="Urb Confraternidad"/>
    <x v="5"/>
    <s v="Lima"/>
    <x v="0"/>
    <n v="2405"/>
    <n v="240.5"/>
    <x v="2"/>
    <n v="1"/>
    <x v="1"/>
    <s v="Sí"/>
    <n v="55"/>
    <x v="20"/>
    <s v="Economico"/>
    <s v="Precio Estadar"/>
    <s v="Apartamento"/>
    <s v="Alquiler"/>
    <d v="2023-08-11T00:00:00"/>
    <x v="150"/>
    <s v="https://www.properati.com.pe/detalle/14032-32-6fc0-5b8a400549a1-541e04c-8adf-49cf"/>
  </r>
  <r>
    <s v="Apartamento en alquiler en Ur. ProLimaIii Etapa"/>
    <s v="Ur. ProLimaIii Etapa"/>
    <x v="29"/>
    <s v="Lima"/>
    <x v="0"/>
    <n v="1400"/>
    <n v="140"/>
    <x v="0"/>
    <n v="2"/>
    <x v="1"/>
    <s v="No"/>
    <n v="110"/>
    <x v="16"/>
    <s v="Economico"/>
    <s v="Precio Estadar"/>
    <s v="Apartamento"/>
    <s v="Alquiler"/>
    <d v="2024-02-11T00:00:00"/>
    <x v="22"/>
    <s v="https://www.properati.com.pe/detalle/14032-32-35b7-4886105e712a-1cfed8ac-a829-41a2"/>
  </r>
  <r>
    <s v="Apartamento en alquiler en Hu. Feria Internacional Del Pacifico"/>
    <s v="Hu. Feria Internacional Del Pacifico"/>
    <x v="16"/>
    <s v="Lima"/>
    <x v="0"/>
    <n v="1400"/>
    <n v="140"/>
    <x v="0"/>
    <n v="2"/>
    <x v="1"/>
    <s v="No"/>
    <n v="70"/>
    <x v="6"/>
    <s v="Economico"/>
    <s v="Precio Estadar"/>
    <s v="Apartamento"/>
    <s v="Alquiler"/>
    <d v="2024-12-07T00:00:00"/>
    <x v="199"/>
    <s v="https://www.properati.com.pe/detalle/14032-32-a18d-4cc1a04641b6-4324b713-a8c5-4472"/>
  </r>
  <r>
    <s v="Casa en alquiler en Yanahuara"/>
    <s v="Yanahuara"/>
    <x v="1"/>
    <s v="Arequipa "/>
    <x v="3"/>
    <n v="5000"/>
    <n v="250"/>
    <x v="1"/>
    <n v="3"/>
    <x v="1"/>
    <s v="Sí"/>
    <m/>
    <x v="7"/>
    <s v="Caro"/>
    <s v="Precio Estadar"/>
    <s v="Casa"/>
    <s v="Alquiler"/>
    <d v="2023-07-10T00:00:00"/>
    <x v="130"/>
    <s v="https://www.properati.com.pe/detalle/14032-32-c8dc-b37249fbba37-9598a870-ae6e-120d"/>
  </r>
  <r>
    <s v="Apartamento en alquiler en Pj. San Francisco De La Tablada De Lurin Sector Segundo"/>
    <s v="Pj. San Francisco De La Tablada De Lurin Sector Segundo"/>
    <x v="42"/>
    <s v="Lima"/>
    <x v="0"/>
    <n v="1000"/>
    <n v="100"/>
    <x v="1"/>
    <n v="2"/>
    <x v="1"/>
    <s v="No"/>
    <n v="90"/>
    <x v="15"/>
    <s v="Economico"/>
    <s v="Precio Estadar"/>
    <s v="Apartamento"/>
    <s v="Alquiler"/>
    <d v="2024-06-08T00:00:00"/>
    <x v="23"/>
    <s v="https://www.properati.com.pe/detalle/14032-32-4222-136e97c46e90-6b0f9f4-b6bb-4bf4"/>
  </r>
  <r>
    <s v="Apartamento en alquiler en Ur. San Luis"/>
    <s v="Ur. San Luis"/>
    <x v="0"/>
    <s v="Lima"/>
    <x v="0"/>
    <n v="8140"/>
    <n v="814"/>
    <x v="1"/>
    <n v="3"/>
    <x v="0"/>
    <s v="No"/>
    <n v="332"/>
    <x v="12"/>
    <s v="Caro"/>
    <s v="Precio Estadar"/>
    <s v="Apartamento"/>
    <s v="Alquiler"/>
    <d v="2024-10-13T00:00:00"/>
    <x v="17"/>
    <s v="https://www.properati.com.pe/detalle/14032-32-e352-2649a2997a4e-400d0dbf-9904-45be"/>
  </r>
  <r>
    <s v="Apartamento en alquiler en Ur. Las Torres De San Miguelito Etapa I"/>
    <s v="Ur. Las Torres De San Miguelito Etapa I"/>
    <x v="16"/>
    <s v="Lima"/>
    <x v="0"/>
    <n v="1800"/>
    <n v="180"/>
    <x v="0"/>
    <n v="2"/>
    <x v="1"/>
    <s v="Sí"/>
    <n v="69"/>
    <x v="12"/>
    <s v="Economico"/>
    <s v="Precio Estadar"/>
    <s v="Apartamento"/>
    <s v="Alquiler"/>
    <d v="2024-02-18T00:00:00"/>
    <x v="23"/>
    <s v="https://www.properati.com.pe/detalle/14032-32-6c0c-d50e16df8e41-b32ecdbc-bcb1-4f05"/>
  </r>
  <r>
    <s v="Apartamento en alquiler en Ur. Aurora"/>
    <s v="Ur. Aurora"/>
    <x v="0"/>
    <s v="Lima"/>
    <x v="0"/>
    <n v="5550"/>
    <n v="555"/>
    <x v="1"/>
    <n v="3"/>
    <x v="0"/>
    <s v="No"/>
    <n v="155"/>
    <x v="8"/>
    <s v="Caro"/>
    <s v="Precio Estadar"/>
    <s v="Apartamento"/>
    <s v="Alquiler"/>
    <d v="2023-01-13T00:00:00"/>
    <x v="200"/>
    <s v="https://www.properati.com.pe/detalle/14032-32-47ab-be979c042ae-2112430e-8f5b-452a"/>
  </r>
  <r>
    <s v="Apartamento en alquiler en Ur. America"/>
    <s v="Ur. America"/>
    <x v="0"/>
    <s v="Lima"/>
    <x v="0"/>
    <n v="2405"/>
    <n v="240.5"/>
    <x v="0"/>
    <n v="2"/>
    <x v="0"/>
    <s v="No"/>
    <n v="80"/>
    <x v="30"/>
    <s v="Economico"/>
    <s v="Precio Estadar"/>
    <s v="Apartamento"/>
    <s v="Alquiler"/>
    <d v="2023-03-15T00:00:00"/>
    <x v="18"/>
    <s v="https://www.properati.com.pe/detalle/14032-32-834-d2a3e04fd20d-fb042606-a795-4391"/>
  </r>
  <r>
    <s v="Apartamento en alquiler en Ur. America"/>
    <s v="Ur. America"/>
    <x v="0"/>
    <s v="Lima"/>
    <x v="0"/>
    <n v="2400"/>
    <n v="240"/>
    <x v="0"/>
    <n v="2"/>
    <x v="0"/>
    <s v="No"/>
    <n v="90"/>
    <x v="15"/>
    <s v="Economico"/>
    <s v="Precio Estadar"/>
    <s v="Apartamento"/>
    <s v="Alquiler"/>
    <d v="2024-02-27T00:00:00"/>
    <x v="139"/>
    <s v="https://www.properati.com.pe/detalle/14032-32-898a-625071f7fab9-17479999-a1bc-4a73"/>
  </r>
  <r>
    <s v="Apartamento en alquiler en Ur. San Roque Fap"/>
    <s v="Ur. San Roque Fap"/>
    <x v="4"/>
    <s v="Lima"/>
    <x v="0"/>
    <n v="1900"/>
    <n v="190"/>
    <x v="2"/>
    <n v="1"/>
    <x v="0"/>
    <s v="No"/>
    <n v="56"/>
    <x v="7"/>
    <s v="Economico"/>
    <s v="Precio Estadar"/>
    <s v="Apartamento"/>
    <s v="Alquiler"/>
    <d v="2023-10-31T00:00:00"/>
    <x v="33"/>
    <s v="https://www.properati.com.pe/detalle/14032-32-de06-5a79d1a3deac-3d3e94f5-a10e-4a7c"/>
  </r>
  <r>
    <s v="Apartamento en alquiler en Ur. San Felipe"/>
    <s v="Ur. San Felipe"/>
    <x v="13"/>
    <s v="Lima"/>
    <x v="0"/>
    <n v="3700"/>
    <n v="370"/>
    <x v="1"/>
    <n v="2"/>
    <x v="0"/>
    <s v="Sí"/>
    <n v="111"/>
    <x v="18"/>
    <s v="Caro"/>
    <s v="Precio Estadar"/>
    <s v="Apartamento"/>
    <s v="Alquiler"/>
    <d v="2023-06-03T00:00:00"/>
    <x v="174"/>
    <s v="https://www.properati.com.pe/detalle/14032-32-5933-1da5603a7652-81f553db-983b-4690"/>
  </r>
  <r>
    <s v="Apartamento en alquiler en Valle Hermoso Oeste"/>
    <s v="Valle Hermoso Oeste"/>
    <x v="5"/>
    <s v="Lima"/>
    <x v="0"/>
    <n v="9435"/>
    <n v="943.5"/>
    <x v="3"/>
    <n v="7"/>
    <x v="1"/>
    <s v="Sí"/>
    <n v="393"/>
    <x v="18"/>
    <s v="Caro"/>
    <s v="Precio Estadar"/>
    <s v="Apartamento"/>
    <s v="Alquiler"/>
    <d v="2023-03-16T00:00:00"/>
    <x v="68"/>
    <s v="https://www.properati.com.pe/detalle/14032-32-a9dd-9558745f9757-4c2100b6-a0ee-4032"/>
  </r>
  <r>
    <s v="Apartamento en alquiler en Re. San Felipe"/>
    <s v="Re. San Felipe"/>
    <x v="7"/>
    <s v="Lima"/>
    <x v="0"/>
    <n v="4440"/>
    <n v="444"/>
    <x v="1"/>
    <n v="2"/>
    <x v="1"/>
    <s v="No"/>
    <n v="156"/>
    <x v="19"/>
    <s v="Caro"/>
    <s v="Precio Estadar"/>
    <s v="Apartamento"/>
    <s v="Alquiler"/>
    <d v="2023-10-02T00:00:00"/>
    <x v="6"/>
    <s v="https://www.properati.com.pe/detalle/14032-32-e30a-391f8a0d1bb9-c6e8a62-bcc0-4ae7"/>
  </r>
  <r>
    <s v="Apartamento en alquiler enLima"/>
    <s v="Lima"/>
    <x v="5"/>
    <s v="Lima"/>
    <x v="0"/>
    <n v="2100"/>
    <n v="210"/>
    <x v="1"/>
    <n v="2"/>
    <x v="1"/>
    <s v="No"/>
    <n v="70"/>
    <x v="17"/>
    <s v="Economico"/>
    <s v="Precio Estadar"/>
    <s v="Apartamento"/>
    <s v="Alquiler"/>
    <d v="2023-09-26T00:00:00"/>
    <x v="51"/>
    <s v="https://www.properati.com.pe/detalle/14032-32-9361-2ed9e35ff85a-9d759203-9949-4e3b"/>
  </r>
  <r>
    <s v="Apartamento en alquiler en Hu. Cercado DeMiraflores"/>
    <s v="Hu. Cercado DeMiraflores"/>
    <x v="0"/>
    <s v="Lima"/>
    <x v="0"/>
    <n v="4255"/>
    <n v="425.5"/>
    <x v="1"/>
    <n v="3"/>
    <x v="1"/>
    <s v="No"/>
    <n v="155"/>
    <x v="7"/>
    <s v="Caro"/>
    <s v="Precio Estadar"/>
    <s v="Apartamento"/>
    <s v="Alquiler"/>
    <d v="2023-03-30T00:00:00"/>
    <x v="100"/>
    <s v="https://www.properati.com.pe/detalle/14032-32-4c84-9f22cc0ee3ec-60c0c686-9b5e-4931"/>
  </r>
  <r>
    <s v="Apartamento en alquiler en Hu. Cercado DeMiraflores"/>
    <s v="Hu. Cercado DeMiraflores"/>
    <x v="0"/>
    <s v="Lima"/>
    <x v="0"/>
    <n v="277.5"/>
    <n v="27.75"/>
    <x v="2"/>
    <n v="1"/>
    <x v="0"/>
    <s v="Sí"/>
    <n v="50"/>
    <x v="10"/>
    <s v="Economico"/>
    <s v="Precio Estadar"/>
    <s v="Apartamento"/>
    <s v="Alquiler"/>
    <d v="2024-06-25T00:00:00"/>
    <x v="51"/>
    <s v="https://www.properati.com.pe/detalle/14032-32-448b-7aaf84024e31-13b91dc6-9b53-4ce6"/>
  </r>
  <r>
    <s v="Apartamento en alquiler en Santiago De Surco"/>
    <s v="Santiago De Surco"/>
    <x v="5"/>
    <s v="Lima"/>
    <x v="0"/>
    <n v="3850"/>
    <n v="385"/>
    <x v="1"/>
    <n v="3"/>
    <x v="0"/>
    <s v="Sí"/>
    <n v="114"/>
    <x v="6"/>
    <s v="Caro"/>
    <s v="Precio Estadar"/>
    <s v="Apartamento"/>
    <s v="Alquiler"/>
    <d v="2023-08-07T00:00:00"/>
    <x v="115"/>
    <s v="https://www.properati.com.pe/detalle/14032-32-15a2-fcfa52fa4a21-a2d8fef-a5a1-4e8f"/>
  </r>
  <r>
    <s v="Apartamento en alquiler en Ur. America"/>
    <s v="Ur. America"/>
    <x v="0"/>
    <s v="Lima"/>
    <x v="0"/>
    <n v="4070"/>
    <n v="407"/>
    <x v="0"/>
    <n v="2"/>
    <x v="0"/>
    <s v="No"/>
    <n v="100"/>
    <x v="6"/>
    <s v="Caro"/>
    <s v="Precio Estadar"/>
    <s v="Apartamento"/>
    <s v="Alquiler"/>
    <d v="2023-10-28T00:00:00"/>
    <x v="17"/>
    <s v="https://www.properati.com.pe/detalle/14032-32-ffea-74720b4f32c8-935120a3-875a-4276"/>
  </r>
  <r>
    <s v="Apartamento en alquiler en Ur. Santa Luzmila I Etapa"/>
    <s v="Ur. Santa Luzmila I Etapa"/>
    <x v="9"/>
    <s v="Lima"/>
    <x v="0"/>
    <n v="1400"/>
    <n v="140"/>
    <x v="1"/>
    <n v="2"/>
    <x v="0"/>
    <s v="Sí"/>
    <n v="86"/>
    <x v="27"/>
    <s v="Economico"/>
    <s v="Precio Estadar"/>
    <s v="Apartamento"/>
    <s v="Alquiler"/>
    <d v="2024-08-25T00:00:00"/>
    <x v="63"/>
    <s v="https://www.properati.com.pe/detalle/14032-32-cafa-960cb1ad0b40-a1f68c56-8fdb-45c9"/>
  </r>
  <r>
    <s v="Casa en alquiler en Retamas"/>
    <s v="Retamas"/>
    <x v="1"/>
    <s v="Arequipa"/>
    <x v="1"/>
    <n v="5000"/>
    <n v="250"/>
    <x v="4"/>
    <n v="4"/>
    <x v="0"/>
    <s v="Sí"/>
    <n v="330"/>
    <x v="8"/>
    <s v="Caro"/>
    <s v="Precio Estadar"/>
    <s v="Casa"/>
    <s v="Alquiler"/>
    <d v="2023-03-26T00:00:00"/>
    <x v="130"/>
    <s v="https://www.properati.com.pe/detalle/14032-32-c754-87aa140c53d3-1b0a9ac0-9db6-120d"/>
  </r>
  <r>
    <s v="Apartamento en alquiler en Ur. Confraternidad"/>
    <s v="Ur. Confraternidad"/>
    <x v="2"/>
    <s v="Lima"/>
    <x v="0"/>
    <n v="11100"/>
    <n v="1110"/>
    <x v="4"/>
    <n v="3"/>
    <x v="0"/>
    <s v="No"/>
    <n v="280"/>
    <x v="30"/>
    <s v="Caro"/>
    <s v="Precio Estadar"/>
    <s v="Apartamento"/>
    <s v="Alquiler"/>
    <d v="2024-09-28T00:00:00"/>
    <x v="122"/>
    <s v="https://www.properati.com.pe/detalle/14032-32-e2d2-6f44fa7e639-e220733d-834e-4cf2"/>
  </r>
  <r>
    <s v="Apartamento en alquiler en Ur. Balta"/>
    <s v="Ur. Balta"/>
    <x v="0"/>
    <s v="Lima"/>
    <x v="0"/>
    <n v="3145"/>
    <n v="314.5"/>
    <x v="1"/>
    <n v="2"/>
    <x v="0"/>
    <s v="No"/>
    <n v="95"/>
    <x v="6"/>
    <s v="Caro"/>
    <s v="Precio Estadar"/>
    <s v="Apartamento"/>
    <s v="Alquiler"/>
    <d v="2023-09-23T00:00:00"/>
    <x v="195"/>
    <s v="https://www.properati.com.pe/detalle/14032-32-c88b-298d82c12174-2170e573-9357-3537"/>
  </r>
  <r>
    <s v="Apartamento en alquiler en Ur. Los Pinares"/>
    <s v="Ur. Los Pinares"/>
    <x v="29"/>
    <s v="Lima"/>
    <x v="0"/>
    <n v="1250"/>
    <n v="125"/>
    <x v="0"/>
    <n v="2"/>
    <x v="0"/>
    <s v="No"/>
    <n v="76"/>
    <x v="30"/>
    <s v="Economico"/>
    <s v="Precio Estadar"/>
    <s v="Apartamento"/>
    <s v="Alquiler"/>
    <d v="2024-06-05T00:00:00"/>
    <x v="23"/>
    <s v="https://www.properati.com.pe/detalle/14032-32-63bc-e19d3b31ca01-b1fef632-a90a-484f"/>
  </r>
  <r>
    <s v="Apartamento en alquiler en Ur. Balta"/>
    <s v="Ur. Balta"/>
    <x v="0"/>
    <s v="Lima"/>
    <x v="0"/>
    <n v="7770"/>
    <n v="777"/>
    <x v="1"/>
    <n v="4"/>
    <x v="0"/>
    <s v="Sí"/>
    <n v="267"/>
    <x v="8"/>
    <s v="Caro"/>
    <s v="Precio Estadar"/>
    <s v="Apartamento"/>
    <s v="Alquiler"/>
    <d v="2023-08-18T00:00:00"/>
    <x v="115"/>
    <s v="https://www.properati.com.pe/detalle/14032-32-9a42-905bda75d781-8eebda60-910e-4f85"/>
  </r>
  <r>
    <s v="Apartamento en alquiler en Ur. Confraternidad"/>
    <s v="Ur. Confraternidad"/>
    <x v="2"/>
    <s v="Lima"/>
    <x v="0"/>
    <n v="2500"/>
    <n v="250"/>
    <x v="2"/>
    <n v="1"/>
    <x v="0"/>
    <s v="No"/>
    <n v="44"/>
    <x v="13"/>
    <s v="Economico"/>
    <s v="Precio Estadar"/>
    <s v="Apartamento"/>
    <s v="Alquiler"/>
    <d v="2023-08-16T00:00:00"/>
    <x v="201"/>
    <s v="https://www.properati.com.pe/detalle/14032-32-af7f-cfcf4e2c8eea-b838e8b8-9e90-4b25"/>
  </r>
  <r>
    <s v="Apartamento en alquiler en As. Los Rosales"/>
    <s v="As. Los Rosales"/>
    <x v="21"/>
    <s v="Lima"/>
    <x v="0"/>
    <n v="1450"/>
    <n v="145"/>
    <x v="2"/>
    <n v="2"/>
    <x v="1"/>
    <s v="Sí"/>
    <n v="60"/>
    <x v="18"/>
    <s v="Economico"/>
    <s v="Precio Estadar"/>
    <s v="Apartamento"/>
    <s v="Alquiler"/>
    <d v="2023-05-04T00:00:00"/>
    <x v="168"/>
    <s v="https://www.properati.com.pe/detalle/14032-32-f1e1-72401692d627-3f033eec-bec6-48fb"/>
  </r>
  <r>
    <s v="Apartamento en alquiler en Ur. Balta"/>
    <s v="Ur. Balta"/>
    <x v="0"/>
    <s v="Lima"/>
    <x v="0"/>
    <n v="3330"/>
    <n v="333"/>
    <x v="1"/>
    <n v="2"/>
    <x v="1"/>
    <s v="No"/>
    <n v="120"/>
    <x v="12"/>
    <s v="Caro"/>
    <s v="Precio Estadar"/>
    <s v="Apartamento"/>
    <s v="Alquiler"/>
    <d v="2023-08-16T00:00:00"/>
    <x v="23"/>
    <s v="https://www.properati.com.pe/detalle/14032-32-ec6-bf4cd79612cc-3dbb1fe6-8563-429c"/>
  </r>
  <r>
    <s v="Apartamento en alquiler enArequipa"/>
    <s v="Arequipa"/>
    <x v="1"/>
    <s v="Arequipa "/>
    <x v="3"/>
    <n v="2000"/>
    <n v="100"/>
    <x v="1"/>
    <n v="3"/>
    <x v="0"/>
    <s v="Sí"/>
    <n v="126"/>
    <x v="12"/>
    <s v="Economico"/>
    <s v="Precio Estadar"/>
    <s v="Apartamento"/>
    <s v="Alquiler"/>
    <d v="2023-06-10T00:00:00"/>
    <x v="149"/>
    <s v="https://www.properati.com.pe/detalle/14032-32-e2d3-ed7bb6e6ad6e-e9669510-9f97-4704"/>
  </r>
  <r>
    <s v="Apartamento en alquiler en Ur. San Antonio"/>
    <s v="Ur. San Antonio"/>
    <x v="0"/>
    <s v="Lima"/>
    <x v="0"/>
    <n v="3145"/>
    <n v="314.5"/>
    <x v="1"/>
    <n v="3"/>
    <x v="1"/>
    <s v="No"/>
    <n v="86"/>
    <x v="13"/>
    <s v="Caro"/>
    <s v="Precio Estadar"/>
    <s v="Apartamento"/>
    <s v="Alquiler"/>
    <d v="2024-12-28T00:00:00"/>
    <x v="202"/>
    <s v="https://www.properati.com.pe/detalle/14032-32-918d-6282388ac92f-956d1871-96e0-4e4e"/>
  </r>
  <r>
    <s v="Casa en alquiler en Ur. El Sol De La Molina Etapa Iii"/>
    <s v="Ur. El Sol De La Molina Etapa Iii"/>
    <x v="21"/>
    <s v="Lima"/>
    <x v="0"/>
    <n v="9250"/>
    <n v="925"/>
    <x v="4"/>
    <n v="4"/>
    <x v="1"/>
    <s v="Sí"/>
    <n v="258"/>
    <x v="8"/>
    <s v="Caro"/>
    <s v="Precio Estadar"/>
    <s v="Casa"/>
    <s v="Alquiler"/>
    <d v="2023-04-20T00:00:00"/>
    <x v="75"/>
    <s v="https://www.properati.com.pe/detalle/14032-32-f90a-32d7c1aec14-4a0d4104-ac66-46b4"/>
  </r>
  <r>
    <s v="Apartamento en alquiler en Urb Cercado deMiraflores"/>
    <s v="Urb Cercado deMiraflores"/>
    <x v="5"/>
    <s v="Lima"/>
    <x v="0"/>
    <n v="6660"/>
    <n v="666"/>
    <x v="1"/>
    <n v="5"/>
    <x v="1"/>
    <s v="Sí"/>
    <n v="242"/>
    <x v="30"/>
    <s v="Caro"/>
    <s v="Precio Estadar"/>
    <s v="Apartamento"/>
    <s v="Alquiler"/>
    <d v="2024-05-21T00:00:00"/>
    <x v="203"/>
    <s v="https://www.properati.com.pe/detalle/14032-32-b465-a16ce3440e8c-e619f7ba-894e-46e5"/>
  </r>
  <r>
    <s v="Apartamento en alquiler en Ur. La ViÃ±ita"/>
    <s v="Ur. La ViÃ±ita"/>
    <x v="2"/>
    <s v="Lima"/>
    <x v="0"/>
    <n v="3700"/>
    <n v="370"/>
    <x v="1"/>
    <n v="2"/>
    <x v="1"/>
    <s v="No"/>
    <n v="72"/>
    <x v="38"/>
    <s v="Caro"/>
    <s v="Precio Estadar"/>
    <s v="Apartamento"/>
    <s v="Alquiler"/>
    <d v="2024-05-16T00:00:00"/>
    <x v="204"/>
    <s v="https://www.properati.com.pe/detalle/14032-32-c085-3bebdd2ffe8f-65afbfe0-a99f-120d"/>
  </r>
  <r>
    <s v="Apartamento en alquiler en Ur. Paraiso El Dorado Iii Etapa"/>
    <s v="Ur. Paraiso El Dorado Iii Etapa"/>
    <x v="28"/>
    <s v="Lima"/>
    <x v="0"/>
    <n v="835"/>
    <n v="83.5"/>
    <x v="1"/>
    <n v="1"/>
    <x v="0"/>
    <s v="Sí"/>
    <n v="66"/>
    <x v="17"/>
    <s v="Economico"/>
    <s v="Precio Estadar"/>
    <s v="Apartamento"/>
    <s v="Alquiler"/>
    <d v="2023-02-01T00:00:00"/>
    <x v="152"/>
    <s v="https://www.properati.com.pe/detalle/14032-32-60f7-d9ff4712a1b5-c862bd6d-995a-4b7f"/>
  </r>
  <r>
    <s v="Apartamento en alquiler en Ur. Leuro"/>
    <s v="Ur. Leuro"/>
    <x v="0"/>
    <s v="Lima"/>
    <x v="0"/>
    <n v="2590"/>
    <n v="259"/>
    <x v="0"/>
    <n v="2"/>
    <x v="0"/>
    <s v="Sí"/>
    <n v="80"/>
    <x v="17"/>
    <s v="Caro"/>
    <s v="Precio Estadar"/>
    <s v="Apartamento"/>
    <s v="Alquiler"/>
    <d v="2023-03-28T00:00:00"/>
    <x v="139"/>
    <s v="https://www.properati.com.pe/detalle/14032-32-928b-fb03e0d84cad-321c029e-a903-4a1c"/>
  </r>
  <r>
    <s v="Apartamento en alquiler en Ur. Oyague"/>
    <s v="Ur. Oyague"/>
    <x v="13"/>
    <s v="Lima"/>
    <x v="0"/>
    <n v="1750.1000000000001"/>
    <n v="175.01000000000002"/>
    <x v="2"/>
    <n v="1"/>
    <x v="0"/>
    <s v="Sí"/>
    <n v="48"/>
    <x v="6"/>
    <s v="Economico"/>
    <s v="Precio Estadar"/>
    <s v="Apartamento"/>
    <s v="Alquiler"/>
    <d v="2024-03-10T00:00:00"/>
    <x v="196"/>
    <s v="https://www.properati.com.pe/detalle/14032-32-934b-affdf5000f6e-9fce44ac-b91d-3643"/>
  </r>
  <r>
    <s v="Apartamento en alquiler en Ur. Country Club"/>
    <s v="Ur. Country Club"/>
    <x v="7"/>
    <s v="Lima"/>
    <x v="0"/>
    <n v="6660"/>
    <n v="666"/>
    <x v="1"/>
    <n v="2"/>
    <x v="0"/>
    <s v="Sí"/>
    <n v="240"/>
    <x v="20"/>
    <s v="Caro"/>
    <s v="Precio Estadar"/>
    <s v="Apartamento"/>
    <s v="Alquiler"/>
    <d v="2023-07-03T00:00:00"/>
    <x v="94"/>
    <s v="https://www.properati.com.pe/detalle/14032-32-2fcc-dc5d12726f0d-9e75a2bb-8510-4194"/>
  </r>
  <r>
    <s v="Apartamento en alquiler en Ur. Chacarilla Santa Cruz"/>
    <s v="Ur. Chacarilla Santa Cruz"/>
    <x v="7"/>
    <s v="Lima"/>
    <x v="0"/>
    <n v="2700"/>
    <n v="270"/>
    <x v="0"/>
    <n v="2"/>
    <x v="0"/>
    <s v="No"/>
    <n v="62"/>
    <x v="10"/>
    <s v="Caro"/>
    <s v="Precio Estadar"/>
    <s v="Apartamento"/>
    <s v="Alquiler"/>
    <d v="2023-03-17T00:00:00"/>
    <x v="47"/>
    <s v="https://www.properati.com.pe/detalle/14032-32-620c-70897b43168-ac72eeeb-acfd-491d"/>
  </r>
  <r>
    <s v="Apartamento en alquiler en Rio Seco"/>
    <s v="Rio Seco"/>
    <x v="1"/>
    <s v="Arequipa"/>
    <x v="1"/>
    <n v="2000"/>
    <n v="100"/>
    <x v="1"/>
    <n v="2"/>
    <x v="0"/>
    <s v="No"/>
    <n v="110"/>
    <x v="10"/>
    <s v="Economico"/>
    <s v="Precio Estadar"/>
    <s v="Apartamento"/>
    <s v="Alquiler"/>
    <d v="2024-08-28T00:00:00"/>
    <x v="130"/>
    <s v="https://www.properati.com.pe/detalle/14032-32-ff02-920cfaabb846-6a0fdb92-b5f0-4f34"/>
  </r>
  <r>
    <s v="Apartamento en alquiler en Cayma"/>
    <s v="Cayma"/>
    <x v="1"/>
    <s v="Arequipa "/>
    <x v="3"/>
    <n v="3145"/>
    <n v="157.25"/>
    <x v="1"/>
    <n v="2"/>
    <x v="1"/>
    <s v="Sí"/>
    <n v="90"/>
    <x v="13"/>
    <s v="Caro"/>
    <s v="Precio Estadar"/>
    <s v="Apartamento"/>
    <s v="Alquiler"/>
    <d v="2023-05-18T00:00:00"/>
    <x v="130"/>
    <s v="https://www.properati.com.pe/detalle/14032-32-871e-b98d691e7a69-6bd80df0-b90d-120d"/>
  </r>
  <r>
    <s v="Casa en alquiler en Ur. Orrantia Del Mar Zona Iv"/>
    <s v="Ur. Orrantia Del Mar Zona Iv"/>
    <x v="7"/>
    <s v="Lima"/>
    <x v="0"/>
    <n v="7400"/>
    <n v="740"/>
    <x v="1"/>
    <n v="5"/>
    <x v="1"/>
    <s v="Sí"/>
    <n v="313"/>
    <x v="12"/>
    <s v="Caro"/>
    <s v="Precio Estadar"/>
    <s v="Casa"/>
    <s v="Alquiler"/>
    <d v="2023-07-31T00:00:00"/>
    <x v="205"/>
    <s v="https://www.properati.com.pe/detalle/14032-32-d9d9-d1070f73140b-2d956fb8-9fb5-4258"/>
  </r>
  <r>
    <s v="Apartamento en alquiler en San Isidro"/>
    <s v="San Isidro"/>
    <x v="5"/>
    <s v="Lima"/>
    <x v="0"/>
    <n v="4995"/>
    <n v="499.5"/>
    <x v="1"/>
    <n v="3"/>
    <x v="1"/>
    <s v="No"/>
    <n v="214"/>
    <x v="16"/>
    <s v="Caro"/>
    <s v="Precio Estadar"/>
    <s v="Apartamento"/>
    <s v="Alquiler"/>
    <d v="2023-11-07T00:00:00"/>
    <x v="206"/>
    <s v="https://www.properati.com.pe/detalle/14032-32-685f-6855933d8878-8d3added-89ba-485d"/>
  </r>
  <r>
    <s v="Casa en alquiler en Surco"/>
    <s v="Surco"/>
    <x v="4"/>
    <s v="Lima"/>
    <x v="0"/>
    <n v="6660"/>
    <n v="666"/>
    <x v="4"/>
    <n v="3"/>
    <x v="0"/>
    <s v="No"/>
    <n v="260"/>
    <x v="10"/>
    <s v="Caro"/>
    <s v="Precio Estadar"/>
    <s v="Casa"/>
    <s v="Alquiler"/>
    <d v="2024-05-14T00:00:00"/>
    <x v="207"/>
    <s v="https://www.properati.com.pe/detalle/14032-32-9c49-27fdfbcb8fc8-354b4190-a590-120d"/>
  </r>
  <r>
    <s v="Apartamento en alquiler en Bellavista"/>
    <s v="Bellavista"/>
    <x v="20"/>
    <s v=" Callao "/>
    <x v="4"/>
    <n v="1400"/>
    <n v="70"/>
    <x v="0"/>
    <n v="1"/>
    <x v="0"/>
    <s v="Sí"/>
    <n v="70"/>
    <x v="0"/>
    <s v="Economico"/>
    <s v="Precio Estadar"/>
    <s v="Apartamento"/>
    <s v="Alquiler"/>
    <d v="2024-02-13T00:00:00"/>
    <x v="208"/>
    <s v="https://www.properati.com.pe/detalle/14032-32-39e8-d609091d9905-78d70d4c-941d-411a"/>
  </r>
  <r>
    <s v="Apartamento en alquiler en Callao"/>
    <s v="Callao"/>
    <x v="20"/>
    <s v=" Callao "/>
    <x v="4"/>
    <n v="1100"/>
    <n v="55"/>
    <x v="1"/>
    <n v="1"/>
    <x v="0"/>
    <s v="No"/>
    <n v="75"/>
    <x v="13"/>
    <s v="Economico"/>
    <s v="Precio Estadar"/>
    <s v="Apartamento"/>
    <s v="Alquiler"/>
    <d v="2024-06-28T00:00:00"/>
    <x v="10"/>
    <s v="https://www.properati.com.pe/detalle/14032-32-5f87-e1ed5bd16c6d-3d680e1b-8b26-4140"/>
  </r>
  <r>
    <s v="Apartamento en alquiler en Ur. Santa Justina"/>
    <s v="Ur. Santa Justina"/>
    <x v="4"/>
    <s v="Lima"/>
    <x v="0"/>
    <n v="5180"/>
    <n v="518"/>
    <x v="1"/>
    <n v="4"/>
    <x v="1"/>
    <s v="Sí"/>
    <n v="190"/>
    <x v="15"/>
    <s v="Caro"/>
    <s v="Precio Estadar"/>
    <s v="Apartamento"/>
    <s v="Alquiler"/>
    <d v="2024-05-11T00:00:00"/>
    <x v="138"/>
    <s v="https://www.properati.com.pe/detalle/14032-32-eaa7-6634980f601c-85e362d0-bf6b-474f"/>
  </r>
  <r>
    <s v="Apartamento en alquiler en Ur. Armendariz"/>
    <s v="Ur. Armendariz"/>
    <x v="0"/>
    <s v="Lima"/>
    <x v="0"/>
    <n v="4070"/>
    <n v="407"/>
    <x v="0"/>
    <n v="3"/>
    <x v="1"/>
    <s v="No"/>
    <n v="104"/>
    <x v="30"/>
    <s v="Caro"/>
    <s v="Precio Estadar"/>
    <s v="Apartamento"/>
    <s v="Alquiler"/>
    <d v="2023-05-10T00:00:00"/>
    <x v="6"/>
    <s v="https://www.properati.com.pe/detalle/14032-32-f3ac-3575f15566be-e9e0e613-9c39-42b6"/>
  </r>
  <r>
    <s v="Apartamento en alquiler en Hu. Cercado DeMiraflores"/>
    <s v="Hu. Cercado DeMiraflores"/>
    <x v="0"/>
    <s v="Lima"/>
    <x v="0"/>
    <n v="999"/>
    <n v="99.9"/>
    <x v="2"/>
    <n v="1"/>
    <x v="1"/>
    <s v="Sí"/>
    <n v="20"/>
    <x v="38"/>
    <s v="Economico"/>
    <s v="Precio Estadar"/>
    <s v="Apartamento"/>
    <s v="Alquiler"/>
    <d v="2023-03-09T00:00:00"/>
    <x v="209"/>
    <s v="https://www.properati.com.pe/detalle/14032-32-857b-6f145cf6b42c-b6f5249-992f-46e1"/>
  </r>
  <r>
    <s v="Apartamento en alquiler en Sector 3"/>
    <s v="Sector 3"/>
    <x v="5"/>
    <s v="Lima"/>
    <x v="0"/>
    <n v="4995"/>
    <n v="499.5"/>
    <x v="1"/>
    <n v="2"/>
    <x v="0"/>
    <s v="No"/>
    <n v="214"/>
    <x v="8"/>
    <s v="Caro"/>
    <s v="Precio Estadar"/>
    <s v="Apartamento"/>
    <s v="Alquiler"/>
    <d v="2024-08-21T00:00:00"/>
    <x v="210"/>
    <s v="https://www.properati.com.pe/detalle/14032-32-9d53-7a478bf65677-da102e85-997b-4b96"/>
  </r>
  <r>
    <s v="Apartamento en alquiler en Ur. Santa Laura"/>
    <s v="Ur. Santa Laura"/>
    <x v="8"/>
    <s v="Lima"/>
    <x v="0"/>
    <n v="1600"/>
    <n v="160"/>
    <x v="2"/>
    <n v="1"/>
    <x v="0"/>
    <s v="No"/>
    <n v="37"/>
    <x v="17"/>
    <s v="Economico"/>
    <s v="Precio Estadar"/>
    <s v="Apartamento"/>
    <s v="Alquiler"/>
    <d v="2023-06-24T00:00:00"/>
    <x v="211"/>
    <s v="https://www.properati.com.pe/detalle/14032-32-f587-a85c770d87db-d7e3eb0d-93f3-46ab"/>
  </r>
  <r>
    <s v="Apartamento en alquiler en Ur. Balta"/>
    <s v="Ur. Balta"/>
    <x v="0"/>
    <s v="Lima"/>
    <x v="0"/>
    <n v="4810"/>
    <n v="481"/>
    <x v="1"/>
    <n v="3"/>
    <x v="0"/>
    <s v="No"/>
    <n v="160"/>
    <x v="15"/>
    <s v="Caro"/>
    <s v="Precio Estadar"/>
    <s v="Apartamento"/>
    <s v="Alquiler"/>
    <d v="2024-07-24T00:00:00"/>
    <x v="54"/>
    <s v="https://www.properati.com.pe/detalle/14032-32-5184-7575224c3821-673a5e15-bbb4-4b8e"/>
  </r>
  <r>
    <s v="Apartamento en alquiler en Ur. Miramar"/>
    <s v="Ur. Miramar"/>
    <x v="16"/>
    <s v="Lima"/>
    <x v="0"/>
    <n v="2000"/>
    <n v="200"/>
    <x v="0"/>
    <n v="2"/>
    <x v="1"/>
    <s v="Sí"/>
    <n v="60"/>
    <x v="27"/>
    <s v="Economico"/>
    <s v="Precio Estadar"/>
    <s v="Apartamento"/>
    <s v="Alquiler"/>
    <d v="2023-07-27T00:00:00"/>
    <x v="40"/>
    <s v="https://www.properati.com.pe/detalle/14032-32-bf80-196c1463fb75-3efdb258-9735-4a86"/>
  </r>
  <r>
    <s v="Apartamento en alquiler en Ur. Libertad"/>
    <s v="Ur. Libertad"/>
    <x v="16"/>
    <s v="Lima"/>
    <x v="0"/>
    <n v="2000"/>
    <n v="200"/>
    <x v="0"/>
    <n v="2"/>
    <x v="1"/>
    <s v="No"/>
    <n v="60"/>
    <x v="10"/>
    <s v="Economico"/>
    <s v="Precio Estadar"/>
    <s v="Apartamento"/>
    <s v="Alquiler"/>
    <d v="2023-08-14T00:00:00"/>
    <x v="40"/>
    <s v="https://www.properati.com.pe/detalle/14032-32-7417-8205e8383e98-407c4c58-8f9d-4310"/>
  </r>
  <r>
    <s v="Apartamento en alquiler en Ur. La Luz"/>
    <s v="Ur. La Luz"/>
    <x v="5"/>
    <s v="Lima"/>
    <x v="0"/>
    <n v="2200"/>
    <n v="220"/>
    <x v="0"/>
    <n v="1"/>
    <x v="0"/>
    <s v="Sí"/>
    <n v="70"/>
    <x v="27"/>
    <s v="Economico"/>
    <s v="Precio Estadar"/>
    <s v="Apartamento"/>
    <s v="Alquiler"/>
    <d v="2024-05-14T00:00:00"/>
    <x v="33"/>
    <s v="https://www.properati.com.pe/detalle/14032-32-5002-24d5984d7d82-946c548d-88ab-47af"/>
  </r>
  <r>
    <s v="Casa en alquiler en Co. La Molina Real"/>
    <s v="Co. La Molina Real"/>
    <x v="21"/>
    <s v="Lima"/>
    <x v="0"/>
    <n v="8140"/>
    <n v="814"/>
    <x v="3"/>
    <n v="5"/>
    <x v="0"/>
    <s v="No"/>
    <n v="280"/>
    <x v="10"/>
    <s v="Caro"/>
    <s v="Precio Estadar"/>
    <s v="Casa"/>
    <s v="Alquiler"/>
    <d v="2023-05-30T00:00:00"/>
    <x v="212"/>
    <s v="https://www.properati.com.pe/detalle/14032-32-41c4-83677a5d1ce-d414da19-b116-4233"/>
  </r>
  <r>
    <s v="Apartamento en alquiler en Ur. Orrantia"/>
    <s v="Ur. Orrantia"/>
    <x v="7"/>
    <s v="Lima"/>
    <x v="0"/>
    <n v="2775"/>
    <n v="277.5"/>
    <x v="2"/>
    <n v="1"/>
    <x v="1"/>
    <s v="No"/>
    <n v="70"/>
    <x v="16"/>
    <s v="Caro"/>
    <s v="Precio Estadar"/>
    <s v="Apartamento"/>
    <s v="Alquiler"/>
    <d v="2023-09-26T00:00:00"/>
    <x v="17"/>
    <s v="https://www.properati.com.pe/detalle/14032-32-b155-47d0decbe1ef-b1f9e409-9101-4406"/>
  </r>
  <r>
    <s v="Apartamento en alquiler en Ur. Santa Cruz"/>
    <s v="Ur. Santa Cruz"/>
    <x v="0"/>
    <s v="Lima"/>
    <x v="0"/>
    <n v="2220"/>
    <n v="222"/>
    <x v="0"/>
    <n v="1"/>
    <x v="1"/>
    <s v="No"/>
    <n v="100"/>
    <x v="8"/>
    <s v="Economico"/>
    <s v="Precio Estadar"/>
    <s v="Apartamento"/>
    <s v="Alquiler"/>
    <d v="2024-10-31T00:00:00"/>
    <x v="6"/>
    <s v="https://www.properati.com.pe/detalle/14032-32-412f-6faa21c748b4-d06bd7d1-90bc-4f83"/>
  </r>
  <r>
    <s v="Casa en alquiler en Ur. Humboldt"/>
    <s v="Ur. Humboldt"/>
    <x v="0"/>
    <s v="Lima"/>
    <x v="0"/>
    <n v="6290"/>
    <n v="629"/>
    <x v="4"/>
    <n v="3"/>
    <x v="0"/>
    <s v="No"/>
    <n v="360"/>
    <x v="30"/>
    <s v="Caro"/>
    <s v="Precio Estadar"/>
    <s v="Casa"/>
    <s v="Alquiler"/>
    <d v="2023-02-20T00:00:00"/>
    <x v="213"/>
    <s v="https://www.properati.com.pe/detalle/14032-32-dce3-580c3545c01f-e625f046-8f55-42bf"/>
  </r>
  <r>
    <s v="Apartamento en alquiler en Ur. Monte Carmelo"/>
    <s v="Ur. Monte Carmelo"/>
    <x v="26"/>
    <s v="Lima"/>
    <x v="0"/>
    <n v="2500"/>
    <n v="250"/>
    <x v="1"/>
    <n v="2"/>
    <x v="0"/>
    <s v="Sí"/>
    <n v="125"/>
    <x v="16"/>
    <s v="Economico"/>
    <s v="Precio Estadar"/>
    <s v="Apartamento"/>
    <s v="Alquiler"/>
    <d v="2023-10-09T00:00:00"/>
    <x v="106"/>
    <s v="https://www.properati.com.pe/detalle/14032-32-84e2-a955dc6ba26a-ae1b8dbf-8c5f-423a"/>
  </r>
  <r>
    <s v="Apartamento en alquiler en San Miguel"/>
    <s v="San Miguel"/>
    <x v="5"/>
    <s v="Lima"/>
    <x v="0"/>
    <n v="2400"/>
    <n v="240"/>
    <x v="1"/>
    <n v="2"/>
    <x v="0"/>
    <s v="No"/>
    <n v="120"/>
    <x v="6"/>
    <s v="Economico"/>
    <s v="Precio Estadar"/>
    <s v="Apartamento"/>
    <s v="Alquiler"/>
    <d v="2023-10-07T00:00:00"/>
    <x v="21"/>
    <s v="https://www.properati.com.pe/detalle/14032-32-5d22-1e9f06d2052f-2a794539-b69e-4973"/>
  </r>
  <r>
    <s v="Apartamento en alquiler en Ur. La Alameda"/>
    <s v="Ur. La Alameda"/>
    <x v="4"/>
    <s v="Lima"/>
    <x v="0"/>
    <n v="2294"/>
    <n v="229.4"/>
    <x v="0"/>
    <n v="2"/>
    <x v="0"/>
    <s v="Sí"/>
    <n v="95"/>
    <x v="20"/>
    <s v="Economico"/>
    <s v="Precio Estadar"/>
    <s v="Apartamento"/>
    <s v="Alquiler"/>
    <d v="2024-07-09T00:00:00"/>
    <x v="214"/>
    <s v="https://www.properati.com.pe/detalle/14032-32-17dd-b7e951405128-121e9293-a7bf-4c77"/>
  </r>
  <r>
    <s v="Casa en alquiler en Surquillo"/>
    <s v="Surquillo"/>
    <x v="5"/>
    <s v="Lima"/>
    <x v="0"/>
    <n v="7200"/>
    <n v="720"/>
    <x v="6"/>
    <n v="5"/>
    <x v="0"/>
    <s v="No"/>
    <n v="180"/>
    <x v="30"/>
    <s v="Caro"/>
    <s v="Precio Estadar"/>
    <s v="Casa"/>
    <s v="Alquiler"/>
    <d v="2023-12-05T00:00:00"/>
    <x v="21"/>
    <s v="https://www.properati.com.pe/detalle/14032-32-614b-2c0d25173a8f-5199fd7e-ac1f-4ff7"/>
  </r>
  <r>
    <s v="Apartamento en alquiler en Rimac"/>
    <s v="Rimac"/>
    <x v="5"/>
    <s v="Lima"/>
    <x v="0"/>
    <n v="1050"/>
    <n v="105"/>
    <x v="0"/>
    <n v="1"/>
    <x v="0"/>
    <s v="No"/>
    <n v="58"/>
    <x v="6"/>
    <s v="Economico"/>
    <s v="Precio Estadar"/>
    <s v="Apartamento"/>
    <s v="Alquiler"/>
    <d v="2023-06-20T00:00:00"/>
    <x v="47"/>
    <s v="https://www.properati.com.pe/detalle/14032-32-1d85-28832ce6e429-90442f95-9b35-4802"/>
  </r>
  <r>
    <s v="Apartamento en alquiler en Hu. Cercado DeMiraflores"/>
    <s v="Hu. Cercado DeMiraflores"/>
    <x v="0"/>
    <s v="Lima"/>
    <x v="0"/>
    <n v="3200"/>
    <n v="320"/>
    <x v="0"/>
    <n v="3"/>
    <x v="0"/>
    <s v="No"/>
    <n v="86"/>
    <x v="13"/>
    <s v="Caro"/>
    <s v="Precio Estadar"/>
    <s v="Apartamento"/>
    <s v="Alquiler"/>
    <d v="2024-11-12T00:00:00"/>
    <x v="6"/>
    <s v="https://www.properati.com.pe/detalle/14032-32-d6d0-7125598771e2-f331943a-a214-4314"/>
  </r>
  <r>
    <s v="Apartamento en alquiler en San Miguel"/>
    <s v="San Miguel"/>
    <x v="5"/>
    <s v="Lima"/>
    <x v="0"/>
    <n v="1200"/>
    <n v="120"/>
    <x v="2"/>
    <n v="1"/>
    <x v="1"/>
    <s v="No"/>
    <n v="38"/>
    <x v="27"/>
    <s v="Economico"/>
    <s v="Precio Estadar"/>
    <s v="Apartamento"/>
    <s v="Alquiler"/>
    <d v="2024-02-14T00:00:00"/>
    <x v="21"/>
    <s v="https://www.properati.com.pe/detalle/14032-32-4721-eea91aa4db2a-4b0d048-8152-4313"/>
  </r>
  <r>
    <s v="Apartamento en alquiler en Ah. San Hilarion"/>
    <s v="Ah. San Hilarion"/>
    <x v="40"/>
    <s v="Lima"/>
    <x v="0"/>
    <n v="65"/>
    <n v="6.5"/>
    <x v="2"/>
    <n v="1"/>
    <x v="0"/>
    <s v="Sí"/>
    <n v="45"/>
    <x v="7"/>
    <s v="Economico"/>
    <s v="Precio Estadar"/>
    <s v="Apartamento"/>
    <s v="Alquiler"/>
    <d v="2023-09-26T00:00:00"/>
    <x v="100"/>
    <s v="https://www.properati.com.pe/detalle/14032-32-ac96-d8851f49fc7-91d20852-bce3-481f"/>
  </r>
  <r>
    <s v="Apartamento en alquiler en Ah. San Hilarion"/>
    <s v="Ah. San Hilarion"/>
    <x v="40"/>
    <s v="Lima"/>
    <x v="0"/>
    <n v="65"/>
    <n v="6.5"/>
    <x v="2"/>
    <n v="1"/>
    <x v="1"/>
    <s v="Sí"/>
    <n v="45"/>
    <x v="10"/>
    <s v="Economico"/>
    <s v="Precio Estadar"/>
    <s v="Apartamento"/>
    <s v="Alquiler"/>
    <d v="2023-04-03T00:00:00"/>
    <x v="100"/>
    <s v="https://www.properati.com.pe/detalle/14032-32-9378-71d7bec9b9d1-22efe262-9846-4759"/>
  </r>
  <r>
    <s v="Apartamento en alquiler en Ur. San Antonio"/>
    <s v="Ur. San Antonio"/>
    <x v="0"/>
    <s v="Lima"/>
    <x v="0"/>
    <n v="4070"/>
    <n v="407"/>
    <x v="0"/>
    <n v="2"/>
    <x v="0"/>
    <s v="Sí"/>
    <n v="126"/>
    <x v="38"/>
    <s v="Caro"/>
    <s v="Precio Estadar"/>
    <s v="Apartamento"/>
    <s v="Alquiler"/>
    <d v="2023-11-04T00:00:00"/>
    <x v="215"/>
    <s v="https://www.properati.com.pe/detalle/14032-32-ab4-511d4621325f-b443310-9c30-4659"/>
  </r>
  <r>
    <s v="Apartamento en alquiler en Ur. San Juan Bautista De Chorrillos"/>
    <s v="Ur. San Juan Bautista De Chorrillos"/>
    <x v="8"/>
    <s v="Lima"/>
    <x v="0"/>
    <n v="1200"/>
    <n v="120"/>
    <x v="2"/>
    <n v="1"/>
    <x v="0"/>
    <s v="Sí"/>
    <n v="40"/>
    <x v="8"/>
    <s v="Economico"/>
    <s v="Precio Estadar"/>
    <s v="Apartamento"/>
    <s v="Alquiler"/>
    <d v="2024-06-03T00:00:00"/>
    <x v="39"/>
    <s v="https://www.properati.com.pe/detalle/14032-32-2aff-b1cef571a172-23d1c34f-9047-48d2"/>
  </r>
  <r>
    <s v="Apartamento en alquiler en Ur. Santa Cruz"/>
    <s v="Ur. Santa Cruz"/>
    <x v="0"/>
    <s v="Lima"/>
    <x v="0"/>
    <n v="2960"/>
    <n v="296"/>
    <x v="2"/>
    <n v="2"/>
    <x v="0"/>
    <s v="No"/>
    <n v="83"/>
    <x v="7"/>
    <s v="Caro"/>
    <s v="Precio Estadar"/>
    <s v="Apartamento"/>
    <s v="Alquiler"/>
    <d v="2023-05-29T00:00:00"/>
    <x v="5"/>
    <s v="https://www.properati.com.pe/detalle/14032-32-c7f7-d450ba199cbd-1c7a26e4-92a4-4802"/>
  </r>
  <r>
    <s v="Apartamento en alquiler en Ur. Casuarinas Sur"/>
    <s v="Ur. Casuarinas Sur"/>
    <x v="4"/>
    <s v="Lima"/>
    <x v="0"/>
    <n v="2775"/>
    <n v="277.5"/>
    <x v="1"/>
    <n v="2"/>
    <x v="0"/>
    <s v="Sí"/>
    <n v="115"/>
    <x v="12"/>
    <s v="Caro"/>
    <s v="Precio Estadar"/>
    <s v="Apartamento"/>
    <s v="Alquiler"/>
    <d v="2024-10-23T00:00:00"/>
    <x v="16"/>
    <s v="https://www.properati.com.pe/detalle/14032-32-2b70-ff10afbd4727-f97d71ef-ba37-45f7"/>
  </r>
  <r>
    <s v="Apartamento en alquiler en Ur. Confraternidad"/>
    <s v="Ur. Confraternidad"/>
    <x v="2"/>
    <s v="Lima"/>
    <x v="0"/>
    <n v="6956"/>
    <n v="695.6"/>
    <x v="1"/>
    <n v="2"/>
    <x v="0"/>
    <s v="Sí"/>
    <n v="235"/>
    <x v="18"/>
    <s v="Caro"/>
    <s v="Precio Estadar"/>
    <s v="Apartamento"/>
    <s v="Alquiler"/>
    <d v="2023-10-15T00:00:00"/>
    <x v="175"/>
    <s v="https://www.properati.com.pe/detalle/14032-32-7183-da85d5d91323-5718b7ce-8401-4b86"/>
  </r>
  <r>
    <s v="Apartamento en alquiler en Urb las Gardenias Etapa 1"/>
    <s v="Urb las Gardenias Etapa 1"/>
    <x v="5"/>
    <s v="Lima"/>
    <x v="0"/>
    <n v="4500"/>
    <n v="450"/>
    <x v="6"/>
    <n v="3"/>
    <x v="0"/>
    <s v="Sí"/>
    <n v="180"/>
    <x v="19"/>
    <s v="Caro"/>
    <s v="Precio Estadar"/>
    <s v="Apartamento"/>
    <s v="Alquiler"/>
    <d v="2024-04-21T00:00:00"/>
    <x v="31"/>
    <s v="https://www.properati.com.pe/detalle/14032-32-79bd-b4777c98be0d-2208e5d0-b62d-460d"/>
  </r>
  <r>
    <s v="Apartamento en alquiler en Ur. Orrantia"/>
    <s v="Ur. Orrantia"/>
    <x v="7"/>
    <s v="Lima"/>
    <x v="0"/>
    <n v="4255"/>
    <n v="425.5"/>
    <x v="1"/>
    <n v="4"/>
    <x v="1"/>
    <s v="No"/>
    <n v="135"/>
    <x v="15"/>
    <s v="Caro"/>
    <s v="Precio Estadar"/>
    <s v="Apartamento"/>
    <s v="Alquiler"/>
    <d v="2023-07-06T00:00:00"/>
    <x v="216"/>
    <s v="https://www.properati.com.pe/detalle/14032-32-205b-cd0ee430d35d-3ba16fcb-b37a-458a"/>
  </r>
  <r>
    <s v="Apartamento en alquiler en El Callao"/>
    <s v="El Callao"/>
    <x v="20"/>
    <s v=" Callao "/>
    <x v="4"/>
    <n v="6"/>
    <n v="0.30000000000000004"/>
    <x v="2"/>
    <n v="1"/>
    <x v="0"/>
    <s v="No"/>
    <n v="40"/>
    <x v="8"/>
    <s v="Economico"/>
    <s v="Precio Estadar"/>
    <s v="Apartamento"/>
    <s v="Alquiler"/>
    <d v="2023-12-12T00:00:00"/>
    <x v="42"/>
    <s v="https://www.properati.com.pe/detalle/14032-32-a64a-df499b8d54e3-c3a83094-8f4d-455d"/>
  </r>
  <r>
    <s v="Casa en alquiler en Ag. Inmaculada"/>
    <s v="Ag. Inmaculada"/>
    <x v="1"/>
    <s v="Arequipa"/>
    <x v="1"/>
    <n v="4800"/>
    <n v="240"/>
    <x v="8"/>
    <n v="4"/>
    <x v="1"/>
    <s v="Sí"/>
    <n v="520"/>
    <x v="38"/>
    <s v="Caro"/>
    <s v="Precio Estadar"/>
    <s v="Casa"/>
    <s v="Alquiler"/>
    <d v="2023-03-16T00:00:00"/>
    <x v="217"/>
    <s v="https://www.properati.com.pe/detalle/14032-32-d7ec-91ab13feae57-ac3b05df-9484-4c75"/>
  </r>
  <r>
    <s v="Apartamento en alquiler en Ur. Aurora Este"/>
    <s v="Ur. Aurora Este"/>
    <x v="10"/>
    <s v="Lima"/>
    <x v="0"/>
    <n v="2300"/>
    <n v="230"/>
    <x v="0"/>
    <n v="1"/>
    <x v="0"/>
    <s v="Sí"/>
    <n v="75"/>
    <x v="38"/>
    <s v="Economico"/>
    <s v="Precio Estadar"/>
    <s v="Apartamento"/>
    <s v="Alquiler"/>
    <d v="2024-03-29T00:00:00"/>
    <x v="59"/>
    <s v="https://www.properati.com.pe/detalle/14032-32-6414-a24b7af24ab-d978f100-99d6-4119"/>
  </r>
  <r>
    <s v="Casa en alquiler en Cayma"/>
    <s v="Cayma"/>
    <x v="1"/>
    <s v="Arequipa "/>
    <x v="3"/>
    <n v="6500"/>
    <n v="325"/>
    <x v="1"/>
    <n v="3"/>
    <x v="1"/>
    <s v="No"/>
    <n v="210"/>
    <x v="13"/>
    <s v="Caro"/>
    <s v="Precio Estadar"/>
    <s v="Casa"/>
    <s v="Alquiler"/>
    <d v="2024-12-07T00:00:00"/>
    <x v="217"/>
    <s v="https://www.properati.com.pe/detalle/14032-32-e8c3-826540818b5-d9dbe371-8196-461e"/>
  </r>
  <r>
    <s v="Casa en alquiler en Ur. La Encantada"/>
    <s v="Ur. La Encantada"/>
    <x v="8"/>
    <s v="Lima"/>
    <x v="0"/>
    <n v="10360"/>
    <n v="1036"/>
    <x v="1"/>
    <n v="2"/>
    <x v="1"/>
    <s v="No"/>
    <n v="570"/>
    <x v="10"/>
    <s v="Caro"/>
    <s v="Precio Estadar"/>
    <s v="Casa"/>
    <s v="Alquiler"/>
    <d v="2023-04-12T00:00:00"/>
    <x v="15"/>
    <s v="https://www.properati.com.pe/detalle/14032-32-b687-fcf325908c1c-ac5d114f-9910-42ab"/>
  </r>
  <r>
    <s v="Apartamento en alquiler en Ur. Campo De Polo"/>
    <s v="Ur. Campo De Polo"/>
    <x v="7"/>
    <s v="Lima"/>
    <x v="0"/>
    <n v="5180"/>
    <n v="518"/>
    <x v="1"/>
    <n v="3"/>
    <x v="1"/>
    <s v="No"/>
    <n v="176"/>
    <x v="19"/>
    <s v="Caro"/>
    <s v="Precio Estadar"/>
    <s v="Apartamento"/>
    <s v="Alquiler"/>
    <d v="2024-05-24T00:00:00"/>
    <x v="178"/>
    <s v="https://www.properati.com.pe/detalle/14032-32-67e-7961ec75091a-4f396479-8531-46a1"/>
  </r>
  <r>
    <s v="Apartamento en alquiler en Asia"/>
    <s v="Asia"/>
    <x v="34"/>
    <s v="Lima"/>
    <x v="0"/>
    <n v="3700"/>
    <n v="370"/>
    <x v="4"/>
    <n v="3"/>
    <x v="1"/>
    <s v="No"/>
    <n v="160"/>
    <x v="8"/>
    <s v="Caro"/>
    <s v="Precio Estadar"/>
    <s v="Apartamento"/>
    <s v="Alquiler"/>
    <d v="2023-05-01T00:00:00"/>
    <x v="15"/>
    <s v="https://www.properati.com.pe/detalle/14032-32-3f03-7be4c4e646f7-e4d02d79-a9b6-47d9"/>
  </r>
  <r>
    <s v="Apartamento en alquiler en Ur. La ViÃ±ita"/>
    <s v="Ur. La ViÃ±ita"/>
    <x v="2"/>
    <s v="Lima"/>
    <x v="0"/>
    <n v="2035"/>
    <n v="203.5"/>
    <x v="0"/>
    <n v="1"/>
    <x v="0"/>
    <s v="No"/>
    <n v="62"/>
    <x v="13"/>
    <s v="Economico"/>
    <s v="Precio Estadar"/>
    <s v="Apartamento"/>
    <s v="Alquiler"/>
    <d v="2023-02-16T00:00:00"/>
    <x v="15"/>
    <s v="https://www.properati.com.pe/detalle/14032-32-66f-1b9cb52d3179-be2b6645-9397-4944"/>
  </r>
  <r>
    <s v="Apartamento en alquiler en Ur. Balta"/>
    <s v="Ur. Balta"/>
    <x v="0"/>
    <s v="Lima"/>
    <x v="0"/>
    <n v="7400"/>
    <n v="740"/>
    <x v="1"/>
    <n v="2"/>
    <x v="1"/>
    <s v="Sí"/>
    <n v="200"/>
    <x v="15"/>
    <s v="Caro"/>
    <s v="Precio Estadar"/>
    <s v="Apartamento"/>
    <s v="Alquiler"/>
    <d v="2024-07-15T00:00:00"/>
    <x v="34"/>
    <s v="https://www.properati.com.pe/detalle/14032-32-2194-dfc2de2de1b0-e392cfaa-9c16-4b6a"/>
  </r>
  <r>
    <s v="Apartamento en alquiler en Hu. Cercado DeMiraflores"/>
    <s v="Hu. Cercado DeMiraflores"/>
    <x v="0"/>
    <s v="Lima"/>
    <x v="0"/>
    <n v="3700"/>
    <n v="370"/>
    <x v="1"/>
    <n v="3"/>
    <x v="0"/>
    <s v="No"/>
    <n v="120"/>
    <x v="20"/>
    <s v="Caro"/>
    <s v="Precio Estadar"/>
    <s v="Apartamento"/>
    <s v="Alquiler"/>
    <d v="2024-05-22T00:00:00"/>
    <x v="218"/>
    <s v="https://www.properati.com.pe/detalle/14032-32-1027-6e637ab2439a-f3786c9e-9874-44f3"/>
  </r>
  <r>
    <s v="Apartamento en alquiler en Ur. Las Begonias"/>
    <s v="Ur. Las Begonias"/>
    <x v="11"/>
    <s v="Lima"/>
    <x v="0"/>
    <n v="2900"/>
    <n v="290"/>
    <x v="1"/>
    <n v="3"/>
    <x v="1"/>
    <s v="Sí"/>
    <n v="120"/>
    <x v="12"/>
    <s v="Caro"/>
    <s v="Precio Estadar"/>
    <s v="Apartamento"/>
    <s v="Alquiler"/>
    <d v="2023-04-12T00:00:00"/>
    <x v="219"/>
    <s v="https://www.properati.com.pe/detalle/14032-32-45cb-b6a85f6aa66b-9502bad3-99f6-45a9"/>
  </r>
  <r>
    <s v="Apartamento en alquiler en Hu. Cercado DeMiraflores"/>
    <s v="Hu. Cercado DeMiraflores"/>
    <x v="0"/>
    <s v="Lima"/>
    <x v="0"/>
    <n v="2900"/>
    <n v="290"/>
    <x v="4"/>
    <n v="3"/>
    <x v="1"/>
    <s v="No"/>
    <n v="120"/>
    <x v="8"/>
    <s v="Caro"/>
    <s v="Precio Estadar"/>
    <s v="Apartamento"/>
    <s v="Alquiler"/>
    <d v="2023-05-26T00:00:00"/>
    <x v="13"/>
    <s v="https://www.properati.com.pe/detalle/14032-32-84c1-abdc53fec0e4-d798cd90-9e1b-120d"/>
  </r>
  <r>
    <s v="Apartamento en alquiler en Ur. Chacarilla Del Estanque"/>
    <s v="Ur. Chacarilla Del Estanque"/>
    <x v="11"/>
    <s v="Lima"/>
    <x v="0"/>
    <n v="5550"/>
    <n v="555"/>
    <x v="1"/>
    <n v="3"/>
    <x v="0"/>
    <s v="No"/>
    <n v="150"/>
    <x v="16"/>
    <s v="Caro"/>
    <s v="Precio Estadar"/>
    <s v="Apartamento"/>
    <s v="Alquiler"/>
    <d v="2023-10-07T00:00:00"/>
    <x v="23"/>
    <s v="https://www.properati.com.pe/detalle/14032-32-d9b7-2cf8649679c1-18551c74-a815-4a3c"/>
  </r>
  <r>
    <s v="Apartamento en alquiler en Fundo Conde San Isidro"/>
    <s v="Fundo Conde San Isidro"/>
    <x v="5"/>
    <s v="Lima"/>
    <x v="0"/>
    <n v="3145"/>
    <n v="314.5"/>
    <x v="1"/>
    <n v="3"/>
    <x v="0"/>
    <s v="Sí"/>
    <n v="114"/>
    <x v="16"/>
    <s v="Caro"/>
    <s v="Precio Estadar"/>
    <s v="Apartamento"/>
    <s v="Alquiler"/>
    <d v="2023-06-01T00:00:00"/>
    <x v="174"/>
    <s v="https://www.properati.com.pe/detalle/14032-32-99c3-cfb7aa40f7e7-944e2982-8b7a-4b80"/>
  </r>
  <r>
    <s v="Apartamento en alquiler en Hu. Cercado DeMiraflores"/>
    <s v="Hu. Cercado DeMiraflores"/>
    <x v="0"/>
    <s v="Lima"/>
    <x v="0"/>
    <n v="6660"/>
    <n v="666"/>
    <x v="0"/>
    <n v="3"/>
    <x v="0"/>
    <s v="No"/>
    <n v="170"/>
    <x v="0"/>
    <s v="Caro"/>
    <s v="Precio Estadar"/>
    <s v="Apartamento"/>
    <s v="Alquiler"/>
    <d v="2023-03-13T00:00:00"/>
    <x v="135"/>
    <s v="https://www.properati.com.pe/detalle/14032-32-ea5f-bd724abdf0b0-620ff35d-8dfb-4c50"/>
  </r>
  <r>
    <s v="Casa en alquiler en Ur. Monte Carmelo"/>
    <s v="Ur. Monte Carmelo"/>
    <x v="26"/>
    <s v="Lima"/>
    <x v="0"/>
    <n v="4900"/>
    <n v="490"/>
    <x v="1"/>
    <n v="3"/>
    <x v="0"/>
    <s v="No"/>
    <n v="260"/>
    <x v="10"/>
    <s v="Caro"/>
    <s v="Precio Estadar"/>
    <s v="Casa"/>
    <s v="Alquiler"/>
    <d v="2023-07-13T00:00:00"/>
    <x v="2"/>
    <s v="https://www.properati.com.pe/detalle/14032-32-8d6f-9d019a7c4ff3-6bd3681a-a10b-4812"/>
  </r>
  <r>
    <s v="Apartamento en alquiler en Santa Rosa"/>
    <s v="Santa Rosa"/>
    <x v="5"/>
    <s v="Lima"/>
    <x v="0"/>
    <n v="9250"/>
    <n v="925"/>
    <x v="1"/>
    <n v="3"/>
    <x v="0"/>
    <s v="No"/>
    <n v="217"/>
    <x v="0"/>
    <s v="Caro"/>
    <s v="Precio Estadar"/>
    <s v="Apartamento"/>
    <s v="Alquiler"/>
    <d v="2023-06-23T00:00:00"/>
    <x v="94"/>
    <s v="https://www.properati.com.pe/detalle/14032-32-c44c-cb19a3937e63-cba2504-a3bd-4a08"/>
  </r>
  <r>
    <s v="Casa en alquiler en As. Miguel Grau"/>
    <s v="As. Miguel Grau"/>
    <x v="31"/>
    <s v="Lima"/>
    <x v="0"/>
    <n v="1665"/>
    <n v="166.5"/>
    <x v="1"/>
    <n v="1"/>
    <x v="0"/>
    <s v="No"/>
    <n v="120"/>
    <x v="30"/>
    <s v="Economico"/>
    <s v="Precio Estadar"/>
    <s v="Casa"/>
    <s v="Alquiler"/>
    <d v="2024-07-16T00:00:00"/>
    <x v="220"/>
    <s v="https://www.properati.com.pe/detalle/14032-32-bc71-c73c661fb498-c94357a0-8d71-120d"/>
  </r>
  <r>
    <s v="Apartamento en alquiler en Ur. Los Andenes"/>
    <s v="Ur. Los Andenes"/>
    <x v="1"/>
    <s v="Arequipa"/>
    <x v="1"/>
    <n v="2300"/>
    <n v="115"/>
    <x v="1"/>
    <n v="3"/>
    <x v="1"/>
    <s v="Sí"/>
    <n v="120"/>
    <x v="38"/>
    <s v="Economico"/>
    <s v="Precio Estadar"/>
    <s v="Apartamento"/>
    <s v="Alquiler"/>
    <d v="2024-01-01T00:00:00"/>
    <x v="130"/>
    <s v="https://www.properati.com.pe/detalle/14032-32-7a8a-cf7d8448a11-eda963f-b1d9-443a"/>
  </r>
  <r>
    <s v="Apartamento en alquiler en Ur. Las Magnolias"/>
    <s v="Ur. Las Magnolias"/>
    <x v="4"/>
    <s v="Lima"/>
    <x v="0"/>
    <n v="2775"/>
    <n v="277.5"/>
    <x v="1"/>
    <n v="3"/>
    <x v="1"/>
    <s v="No"/>
    <n v="121"/>
    <x v="20"/>
    <s v="Caro"/>
    <s v="Precio Estadar"/>
    <s v="Apartamento"/>
    <s v="Alquiler"/>
    <d v="2024-12-17T00:00:00"/>
    <x v="23"/>
    <s v="https://www.properati.com.pe/detalle/14032-32-6233-d395937c0e17-42b066e9-a76c-4f91"/>
  </r>
  <r>
    <s v="Apartamento en alquiler en Lo. Chacra Cerro"/>
    <s v="Lo. Chacra Cerro"/>
    <x v="9"/>
    <s v="Lima"/>
    <x v="0"/>
    <n v="8"/>
    <n v="0.8"/>
    <x v="1"/>
    <n v="1"/>
    <x v="0"/>
    <s v="No"/>
    <n v="49"/>
    <x v="7"/>
    <s v="Economico"/>
    <s v="Precio Estadar"/>
    <s v="Apartamento"/>
    <s v="Alquiler"/>
    <d v="2023-02-19T00:00:00"/>
    <x v="23"/>
    <s v="https://www.properati.com.pe/detalle/14032-32-51af-bd59bf77d232-ed24aff0-8046-4397"/>
  </r>
  <r>
    <s v="Apartamento en alquiler en Ur. Las Laderas De Melgarejo"/>
    <s v="Ur. Las Laderas De Melgarejo"/>
    <x v="21"/>
    <s v="Lima"/>
    <x v="0"/>
    <n v="2300"/>
    <n v="230"/>
    <x v="0"/>
    <n v="3"/>
    <x v="0"/>
    <s v="No"/>
    <n v="76"/>
    <x v="27"/>
    <s v="Economico"/>
    <s v="Precio Estadar"/>
    <s v="Apartamento"/>
    <s v="Alquiler"/>
    <d v="2024-12-22T00:00:00"/>
    <x v="25"/>
    <s v="https://www.properati.com.pe/detalle/14032-32-5a50-fa71d36f18b8-ec2437fb-b653-5005"/>
  </r>
  <r>
    <s v="Apartamento en alquiler en Ur. Balta"/>
    <s v="Ur. Balta"/>
    <x v="0"/>
    <s v="Lima"/>
    <x v="0"/>
    <n v="3515"/>
    <n v="351.5"/>
    <x v="0"/>
    <n v="3"/>
    <x v="1"/>
    <s v="Sí"/>
    <n v="128"/>
    <x v="13"/>
    <s v="Caro"/>
    <s v="Precio Estadar"/>
    <s v="Apartamento"/>
    <s v="Alquiler"/>
    <d v="2023-07-24T00:00:00"/>
    <x v="135"/>
    <s v="https://www.properati.com.pe/detalle/14032-32-b329-3bcc8f6202ec-5f71e3ef-86e0-4d04"/>
  </r>
  <r>
    <s v="Casa en alquiler en Asia"/>
    <s v="Asia"/>
    <x v="34"/>
    <s v="Lima"/>
    <x v="0"/>
    <n v="2220"/>
    <n v="222"/>
    <x v="4"/>
    <n v="4"/>
    <x v="0"/>
    <s v="Sí"/>
    <n v="700"/>
    <x v="6"/>
    <s v="Economico"/>
    <s v="Buena Oferta"/>
    <s v="Casa"/>
    <s v="Alquiler"/>
    <d v="2024-08-28T00:00:00"/>
    <x v="84"/>
    <s v="https://www.properati.com.pe/detalle/14032-32-6c9f-6183348c61ed-dc4bbfdc-84ca-4801"/>
  </r>
  <r>
    <s v="Apartamento en alquiler en Santiago de Surco"/>
    <s v="Santiago de Surco"/>
    <x v="5"/>
    <s v="Lima"/>
    <x v="0"/>
    <n v="2960"/>
    <n v="296"/>
    <x v="0"/>
    <n v="2"/>
    <x v="0"/>
    <s v="Sí"/>
    <n v="145"/>
    <x v="16"/>
    <s v="Caro"/>
    <s v="Precio Estadar"/>
    <s v="Apartamento"/>
    <s v="Alquiler"/>
    <d v="2024-05-25T00:00:00"/>
    <x v="221"/>
    <s v="https://www.properati.com.pe/detalle/14032-32-c048-adde0b22dd60-d89176d0-b132-120d"/>
  </r>
  <r>
    <s v="Apartamento en alquiler en Ur. Mayorazgo Etapa Iv"/>
    <s v="Ur. Mayorazgo Etapa Iv"/>
    <x v="18"/>
    <s v="Lima"/>
    <x v="0"/>
    <n v="2000"/>
    <n v="200"/>
    <x v="0"/>
    <n v="2"/>
    <x v="1"/>
    <s v="No"/>
    <n v="120"/>
    <x v="8"/>
    <s v="Economico"/>
    <s v="Precio Estadar"/>
    <s v="Apartamento"/>
    <s v="Alquiler"/>
    <d v="2023-05-30T00:00:00"/>
    <x v="100"/>
    <s v="https://www.properati.com.pe/detalle/14032-32-22e6-21be8ef1e441-b0fe8edc-947e-49b1"/>
  </r>
  <r>
    <s v="Apartamento en alquiler en Sd. Aeropuerto De Collique"/>
    <s v="Sd. Aeropuerto De Collique"/>
    <x v="9"/>
    <s v="Lima"/>
    <x v="0"/>
    <n v="8"/>
    <n v="0.8"/>
    <x v="0"/>
    <n v="1"/>
    <x v="0"/>
    <s v="No"/>
    <n v="60"/>
    <x v="0"/>
    <s v="Economico"/>
    <s v="Precio Estadar"/>
    <s v="Apartamento"/>
    <s v="Alquiler"/>
    <d v="2023-12-09T00:00:00"/>
    <x v="92"/>
    <s v="https://www.properati.com.pe/detalle/14032-32-d8f0-6fc097f888a1-1d78eb10-8a77-4726"/>
  </r>
  <r>
    <s v="Apartamento en alquiler en Ur. Chacarilla Del Estanque"/>
    <s v="Ur. Chacarilla Del Estanque"/>
    <x v="4"/>
    <s v="Lima"/>
    <x v="0"/>
    <n v="8140"/>
    <n v="814"/>
    <x v="1"/>
    <n v="3"/>
    <x v="1"/>
    <s v="Sí"/>
    <n v="300"/>
    <x v="27"/>
    <s v="Caro"/>
    <s v="Precio Estadar"/>
    <s v="Apartamento"/>
    <s v="Alquiler"/>
    <d v="2023-08-02T00:00:00"/>
    <x v="222"/>
    <s v="https://www.properati.com.pe/detalle/14032-32-c06b-fb738b2ee363-26a151c0-aac3-120d"/>
  </r>
  <r>
    <s v="Apartamento en alquiler en Urb los Patricios"/>
    <s v="Urb los Patricios"/>
    <x v="5"/>
    <s v="Lima"/>
    <x v="0"/>
    <n v="3600"/>
    <n v="360"/>
    <x v="1"/>
    <n v="2"/>
    <x v="1"/>
    <s v="No"/>
    <n v="99"/>
    <x v="0"/>
    <s v="Caro"/>
    <s v="Precio Estadar"/>
    <s v="Apartamento"/>
    <s v="Alquiler"/>
    <d v="2024-10-16T00:00:00"/>
    <x v="52"/>
    <s v="https://www.properati.com.pe/detalle/14032-32-cd77-bc3bd68c89c5-ff43f21d-926c-43cc"/>
  </r>
  <r>
    <s v="Apartamento en alquiler en Las Acacias"/>
    <s v="Las Acacias"/>
    <x v="5"/>
    <s v="Lima"/>
    <x v="0"/>
    <n v="2405"/>
    <n v="240.5"/>
    <x v="2"/>
    <n v="1"/>
    <x v="1"/>
    <s v="Sí"/>
    <n v="130"/>
    <x v="30"/>
    <s v="Economico"/>
    <s v="Precio Estadar"/>
    <s v="Apartamento"/>
    <s v="Alquiler"/>
    <d v="2023-03-01T00:00:00"/>
    <x v="223"/>
    <s v="https://www.properati.com.pe/detalle/14032-32-4294-b4743415b9db-59868097-bc98-3b13"/>
  </r>
  <r>
    <s v="Apartamento en alquiler enMiraflores"/>
    <s v="Miraflores"/>
    <x v="5"/>
    <s v="Lima"/>
    <x v="0"/>
    <n v="2220"/>
    <n v="222"/>
    <x v="2"/>
    <n v="1"/>
    <x v="0"/>
    <s v="Sí"/>
    <n v="60"/>
    <x v="0"/>
    <s v="Economico"/>
    <s v="Precio Estadar"/>
    <s v="Apartamento"/>
    <s v="Alquiler"/>
    <d v="2024-05-27T00:00:00"/>
    <x v="221"/>
    <s v="https://www.properati.com.pe/detalle/14032-32-c047-4d38b668e473-ada67c00-8a37-120d"/>
  </r>
  <r>
    <s v="Apartamento en alquiler en Ur. Monterrico Norte"/>
    <s v="Ur. Monterrico Norte"/>
    <x v="11"/>
    <s v="Lima"/>
    <x v="0"/>
    <n v="3515"/>
    <n v="351.5"/>
    <x v="1"/>
    <n v="2"/>
    <x v="0"/>
    <s v="Sí"/>
    <n v="82"/>
    <x v="6"/>
    <s v="Caro"/>
    <s v="Precio Estadar"/>
    <s v="Apartamento"/>
    <s v="Alquiler"/>
    <d v="2024-06-06T00:00:00"/>
    <x v="35"/>
    <s v="https://www.properati.com.pe/detalle/14032-32-ce00-a494b50ac00b-1b9db7fa-9ef1-4df4"/>
  </r>
  <r>
    <s v="Apartamento en alquiler en Ur. San Antonio"/>
    <s v="Ur. San Antonio"/>
    <x v="0"/>
    <s v="Lima"/>
    <x v="0"/>
    <n v="3700"/>
    <n v="370"/>
    <x v="1"/>
    <n v="2"/>
    <x v="0"/>
    <s v="Sí"/>
    <n v="112"/>
    <x v="38"/>
    <s v="Caro"/>
    <s v="Precio Estadar"/>
    <s v="Apartamento"/>
    <s v="Alquiler"/>
    <d v="2023-10-16T00:00:00"/>
    <x v="195"/>
    <s v="https://www.properati.com.pe/detalle/14032-32-fdca-6ff02bd0a6d3-cbac234b-96b9-312c"/>
  </r>
  <r>
    <s v="Apartamento en alquiler en Ur. Monterrico Norte"/>
    <s v="Ur. Monterrico Norte"/>
    <x v="11"/>
    <s v="Lima"/>
    <x v="0"/>
    <n v="758500"/>
    <n v="75850"/>
    <x v="1"/>
    <n v="2"/>
    <x v="1"/>
    <s v="Sí"/>
    <n v="117"/>
    <x v="19"/>
    <s v="Caro"/>
    <s v="Precio Estadar"/>
    <s v="Apartamento"/>
    <s v="Alquiler"/>
    <d v="2023-12-10T00:00:00"/>
    <x v="224"/>
    <s v="https://www.properati.com.pe/detalle/14032-32-8519-cab47c4ff2fe-ad8574d5-a1f7-458d"/>
  </r>
  <r>
    <s v="Apartamento en alquiler en Lo. Parcelacion - Ex Fundo La Estrella Sector 23"/>
    <s v="Lo. Parcelacion - Ex Fundo La Estrella Sector 23"/>
    <x v="18"/>
    <s v="Lima"/>
    <x v="0"/>
    <n v="1000"/>
    <n v="100"/>
    <x v="1"/>
    <n v="2"/>
    <x v="1"/>
    <s v="No"/>
    <n v="65"/>
    <x v="15"/>
    <s v="Economico"/>
    <s v="Precio Estadar"/>
    <s v="Apartamento"/>
    <s v="Alquiler"/>
    <d v="2024-11-27T00:00:00"/>
    <x v="196"/>
    <s v="https://www.properati.com.pe/detalle/14032-32-9fdc-cddfd1955206-c2575ccd-a329-4011"/>
  </r>
  <r>
    <s v="Apartamento en alquiler en Ur. Maranga Etapa Ii"/>
    <s v="Ur. Maranga Etapa Ii"/>
    <x v="16"/>
    <s v="Lima"/>
    <x v="0"/>
    <n v="2500"/>
    <n v="250"/>
    <x v="1"/>
    <n v="2"/>
    <x v="0"/>
    <s v="No"/>
    <n v="124"/>
    <x v="13"/>
    <s v="Economico"/>
    <s v="Precio Estadar"/>
    <s v="Apartamento"/>
    <s v="Alquiler"/>
    <d v="2023-03-22T00:00:00"/>
    <x v="42"/>
    <s v="https://www.properati.com.pe/detalle/14032-32-c20-9506af32f857-edbebebc-b920-438d"/>
  </r>
  <r>
    <s v="Apartamento en alquiler en Surquillo"/>
    <s v="Surquillo"/>
    <x v="38"/>
    <s v="Lima"/>
    <x v="0"/>
    <n v="3145"/>
    <n v="314.5"/>
    <x v="0"/>
    <n v="2"/>
    <x v="0"/>
    <s v="No"/>
    <n v="90"/>
    <x v="19"/>
    <s v="Caro"/>
    <s v="Precio Estadar"/>
    <s v="Apartamento"/>
    <s v="Alquiler"/>
    <d v="2024-05-01T00:00:00"/>
    <x v="86"/>
    <s v="https://www.properati.com.pe/detalle/14032-32-7153-ed48552947b7-6a2440e1-8d99-4c50"/>
  </r>
  <r>
    <s v="Apartamento en alquiler en Surquillo"/>
    <s v="Surquillo"/>
    <x v="38"/>
    <s v="Lima"/>
    <x v="0"/>
    <n v="3145"/>
    <n v="314.5"/>
    <x v="0"/>
    <n v="2"/>
    <x v="0"/>
    <s v="No"/>
    <n v="90"/>
    <x v="16"/>
    <s v="Caro"/>
    <s v="Precio Estadar"/>
    <s v="Apartamento"/>
    <s v="Alquiler"/>
    <d v="2023-10-13T00:00:00"/>
    <x v="86"/>
    <s v="https://www.properati.com.pe/detalle/14032-32-79fb-11bb5e125d9e-6db5099b-a907-468d"/>
  </r>
  <r>
    <s v="Apartamento en alquiler en Ur. San Isidro"/>
    <s v="Ur. San Isidro"/>
    <x v="7"/>
    <s v="Lima"/>
    <x v="0"/>
    <n v="4070"/>
    <n v="407"/>
    <x v="0"/>
    <n v="3"/>
    <x v="0"/>
    <s v="Sí"/>
    <n v="110"/>
    <x v="27"/>
    <s v="Caro"/>
    <s v="Precio Estadar"/>
    <s v="Apartamento"/>
    <s v="Alquiler"/>
    <d v="2023-05-14T00:00:00"/>
    <x v="225"/>
    <s v="https://www.properati.com.pe/detalle/14032-32-919b-b380b8c43666-d2723b18-9876-4c7e"/>
  </r>
  <r>
    <s v="Apartamento en alquiler en Ur.Limatambo"/>
    <s v="Ur.Limatambo"/>
    <x v="7"/>
    <s v="Lima"/>
    <x v="0"/>
    <n v="5550"/>
    <n v="555"/>
    <x v="1"/>
    <n v="4"/>
    <x v="1"/>
    <s v="No"/>
    <n v="200"/>
    <x v="13"/>
    <s v="Caro"/>
    <s v="Precio Estadar"/>
    <s v="Apartamento"/>
    <s v="Alquiler"/>
    <d v="2023-09-03T00:00:00"/>
    <x v="226"/>
    <s v="https://www.properati.com.pe/detalle/14032-32-8ede-2dc787348dec-f6829be-84fa-4516"/>
  </r>
  <r>
    <s v="Apartamento en alquiler en Ur. Balta"/>
    <s v="Ur. Balta"/>
    <x v="0"/>
    <s v="Lima"/>
    <x v="0"/>
    <n v="4625"/>
    <n v="462.5"/>
    <x v="2"/>
    <n v="1"/>
    <x v="1"/>
    <s v="No"/>
    <n v="110"/>
    <x v="38"/>
    <s v="Caro"/>
    <s v="Precio Estadar"/>
    <s v="Apartamento"/>
    <s v="Alquiler"/>
    <d v="2023-07-09T00:00:00"/>
    <x v="227"/>
    <s v="https://www.properati.com.pe/detalle/14032-32-1580-847661ec7f0c-42f9b076-b2fb-45c3"/>
  </r>
  <r>
    <s v="Casa en alquiler en Ur. El Sol De La Molina Etapa I"/>
    <s v="Ur. El Sol De La Molina Etapa I"/>
    <x v="21"/>
    <s v="Lima"/>
    <x v="0"/>
    <n v="8140"/>
    <n v="814"/>
    <x v="4"/>
    <n v="3"/>
    <x v="0"/>
    <s v="Sí"/>
    <n v="330"/>
    <x v="0"/>
    <s v="Caro"/>
    <s v="Precio Estadar"/>
    <s v="Casa"/>
    <s v="Alquiler"/>
    <d v="2023-03-24T00:00:00"/>
    <x v="23"/>
    <s v="https://www.properati.com.pe/detalle/14032-32-7c27-9aef3ad01741-55e52c06-a397-4aca"/>
  </r>
  <r>
    <s v="Apartamento en alquiler en Chacra Rios Sur"/>
    <s v="Chacra Rios Sur"/>
    <x v="5"/>
    <s v="Lima"/>
    <x v="0"/>
    <n v="1469"/>
    <n v="146.9"/>
    <x v="0"/>
    <n v="2"/>
    <x v="0"/>
    <s v="Sí"/>
    <n v="58"/>
    <x v="10"/>
    <s v="Economico"/>
    <s v="Precio Estadar"/>
    <s v="Apartamento"/>
    <s v="Alquiler"/>
    <d v="2023-12-17T00:00:00"/>
    <x v="134"/>
    <s v="https://www.properati.com.pe/detalle/14032-32-42a3-ae85fc19d920-29002ad6-877d-4793"/>
  </r>
  <r>
    <s v="Casa en alquiler en Ur. El Sol De La Molina Etapa I"/>
    <s v="Ur. El Sol De La Molina Etapa I"/>
    <x v="21"/>
    <s v="Lima"/>
    <x v="0"/>
    <n v="8510"/>
    <n v="851"/>
    <x v="4"/>
    <n v="3"/>
    <x v="1"/>
    <s v="No"/>
    <n v="330"/>
    <x v="8"/>
    <s v="Caro"/>
    <s v="Precio Estadar"/>
    <s v="Casa"/>
    <s v="Alquiler"/>
    <d v="2023-04-25T00:00:00"/>
    <x v="23"/>
    <s v="https://www.properati.com.pe/detalle/14032-32-448b-c8a06f851ae-acb12818-bb46-4c4f"/>
  </r>
  <r>
    <s v="Casa en alquiler en Ur. El Sol De La Molina Etapa I"/>
    <s v="Ur. El Sol De La Molina Etapa I"/>
    <x v="21"/>
    <s v="Lima"/>
    <x v="0"/>
    <n v="7770"/>
    <n v="777"/>
    <x v="4"/>
    <n v="3"/>
    <x v="1"/>
    <s v="No"/>
    <n v="300"/>
    <x v="17"/>
    <s v="Caro"/>
    <s v="Precio Estadar"/>
    <s v="Casa"/>
    <s v="Alquiler"/>
    <d v="2024-10-18T00:00:00"/>
    <x v="23"/>
    <s v="https://www.properati.com.pe/detalle/14032-32-c949-d3d9505eef72-a80394cd-b458-4587"/>
  </r>
  <r>
    <s v="Casa en alquiler en Ur. Las Palmas De Surco"/>
    <s v="Ur. Las Palmas De Surco"/>
    <x v="4"/>
    <s v="Lima"/>
    <x v="0"/>
    <n v="5800"/>
    <n v="580"/>
    <x v="4"/>
    <n v="3"/>
    <x v="1"/>
    <s v="Sí"/>
    <n v="274"/>
    <x v="17"/>
    <s v="Caro"/>
    <s v="Precio Estadar"/>
    <s v="Casa"/>
    <s v="Alquiler"/>
    <d v="2023-12-07T00:00:00"/>
    <x v="228"/>
    <s v="https://www.properati.com.pe/detalle/14032-32-ef33-f4f05270a1ed-9ac88a94-a804-3b5c"/>
  </r>
  <r>
    <s v="Apartamento en alquiler en Ur. S/N"/>
    <s v="Ur. S/N"/>
    <x v="3"/>
    <s v="Lima"/>
    <x v="0"/>
    <n v="1900"/>
    <n v="190"/>
    <x v="2"/>
    <n v="1"/>
    <x v="0"/>
    <s v="No"/>
    <n v="47"/>
    <x v="0"/>
    <s v="Economico"/>
    <s v="Precio Estadar"/>
    <s v="Apartamento"/>
    <s v="Alquiler"/>
    <d v="2024-10-11T00:00:00"/>
    <x v="16"/>
    <s v="https://www.properati.com.pe/detalle/14032-32-5be1-7ebf9d9b9bba-4cdaa40d-b5e7-4340"/>
  </r>
  <r>
    <s v="Apartamento en alquiler en Hu. Cercado DeMiraflores"/>
    <s v="Hu. Cercado DeMiraflores"/>
    <x v="0"/>
    <s v="Lima"/>
    <x v="0"/>
    <n v="5735"/>
    <n v="573.5"/>
    <x v="0"/>
    <n v="3"/>
    <x v="1"/>
    <s v="Sí"/>
    <n v="153"/>
    <x v="16"/>
    <s v="Caro"/>
    <s v="Precio Estadar"/>
    <s v="Apartamento"/>
    <s v="Alquiler"/>
    <d v="2024-12-09T00:00:00"/>
    <x v="34"/>
    <s v="https://www.properati.com.pe/detalle/14032-32-fc54-c0eba2c56200-a3e64ae1-8940-47cf"/>
  </r>
  <r>
    <s v="Apartamento en alquiler en Ur. Santa Patricia Etapa Ii"/>
    <s v="Ur. Santa Patricia Etapa Ii"/>
    <x v="21"/>
    <s v="Lima"/>
    <x v="0"/>
    <n v="1500"/>
    <n v="150"/>
    <x v="0"/>
    <n v="1"/>
    <x v="0"/>
    <s v="No"/>
    <n v="75"/>
    <x v="38"/>
    <s v="Economico"/>
    <s v="Precio Estadar"/>
    <s v="Apartamento"/>
    <s v="Alquiler"/>
    <d v="2024-04-18T00:00:00"/>
    <x v="38"/>
    <s v="https://www.properati.com.pe/detalle/14032-32-bf1d-c1f7980a0236-74f4ffb0-bf16-120d"/>
  </r>
  <r>
    <s v="Oficina en alquiler en El Palomar"/>
    <s v="El Palomar"/>
    <x v="5"/>
    <s v="Lima"/>
    <x v="0"/>
    <n v="4810"/>
    <n v="481"/>
    <x v="4"/>
    <n v="2"/>
    <x v="1"/>
    <s v="Sí"/>
    <m/>
    <x v="19"/>
    <s v="Caro"/>
    <s v="Precio Estadar"/>
    <s v="Oficina"/>
    <s v="Alquiler"/>
    <d v="2024-02-10T00:00:00"/>
    <x v="229"/>
    <s v="https://www.properati.com.pe/detalle/14032-32-1198-515142e11f93-59412bf5-8c2d-3463"/>
  </r>
  <r>
    <s v="Apartamento en alquiler en Ur. San Rafael"/>
    <s v="Ur. San Rafael"/>
    <x v="43"/>
    <s v="Lima"/>
    <x v="0"/>
    <n v="1100"/>
    <n v="110"/>
    <x v="0"/>
    <n v="1"/>
    <x v="0"/>
    <s v="No"/>
    <n v="60"/>
    <x v="38"/>
    <s v="Economico"/>
    <s v="Precio Estadar"/>
    <s v="Apartamento"/>
    <s v="Alquiler"/>
    <d v="2024-02-07T00:00:00"/>
    <x v="38"/>
    <s v="https://www.properati.com.pe/detalle/14032-32-a079-bb34ba02ec8c-b04aa9b0-96c5-120d"/>
  </r>
  <r>
    <s v="Apartamento en alquiler en Ur. La ViÃ±ita"/>
    <s v="Ur. La ViÃ±ita"/>
    <x v="2"/>
    <s v="Lima"/>
    <x v="0"/>
    <n v="2220"/>
    <n v="222"/>
    <x v="2"/>
    <n v="1"/>
    <x v="0"/>
    <s v="Sí"/>
    <n v="41"/>
    <x v="13"/>
    <s v="Economico"/>
    <s v="Precio Estadar"/>
    <s v="Apartamento"/>
    <s v="Alquiler"/>
    <d v="2023-09-10T00:00:00"/>
    <x v="117"/>
    <s v="https://www.properati.com.pe/detalle/14032-32-b90c-36539b145c1-983fe410-9f5e-120d"/>
  </r>
  <r>
    <s v="Apartamento en alquiler en Ur. Santa Patricia Etapa Iii"/>
    <s v="Ur. Santa Patricia Etapa Iii"/>
    <x v="21"/>
    <s v="Lima"/>
    <x v="0"/>
    <n v="1100"/>
    <n v="110"/>
    <x v="0"/>
    <n v="1"/>
    <x v="1"/>
    <s v="Sí"/>
    <n v="50"/>
    <x v="19"/>
    <s v="Economico"/>
    <s v="Precio Estadar"/>
    <s v="Apartamento"/>
    <s v="Alquiler"/>
    <d v="2024-08-08T00:00:00"/>
    <x v="38"/>
    <s v="https://www.properati.com.pe/detalle/14032-32-a07d-43b463b85c32-b0be7d50-926f-120d"/>
  </r>
  <r>
    <s v="Apartamento en alquiler en Ur. Tejada Alta"/>
    <s v="Ur. Tejada Alta"/>
    <x v="2"/>
    <s v="Lima"/>
    <x v="0"/>
    <n v="2183"/>
    <n v="218.3"/>
    <x v="2"/>
    <n v="1"/>
    <x v="0"/>
    <s v="No"/>
    <n v="45"/>
    <x v="38"/>
    <s v="Economico"/>
    <s v="Precio Estadar"/>
    <s v="Apartamento"/>
    <s v="Alquiler"/>
    <d v="2023-11-19T00:00:00"/>
    <x v="227"/>
    <s v="https://www.properati.com.pe/detalle/14032-32-b5e4-cf88ec1247af-831d7ae5-b8e8-4ec2"/>
  </r>
  <r>
    <s v="Apartamento en alquiler en Ur. San Miguel"/>
    <s v="Ur. San Miguel"/>
    <x v="16"/>
    <s v="Lima"/>
    <x v="0"/>
    <n v="2600"/>
    <n v="260"/>
    <x v="0"/>
    <n v="2"/>
    <x v="0"/>
    <s v="No"/>
    <n v="69"/>
    <x v="18"/>
    <s v="Caro"/>
    <s v="Precio Estadar"/>
    <s v="Apartamento"/>
    <s v="Alquiler"/>
    <d v="2024-06-05T00:00:00"/>
    <x v="63"/>
    <s v="https://www.properati.com.pe/detalle/14032-32-2df7-5b619c1ec409-9bdb9e6b-a410-428d"/>
  </r>
  <r>
    <s v="Apartamento en alquiler en Hu. Cercado DeMiraflores"/>
    <s v="Hu. Cercado DeMiraflores"/>
    <x v="0"/>
    <s v="Lima"/>
    <x v="0"/>
    <n v="3145"/>
    <n v="314.5"/>
    <x v="0"/>
    <n v="2"/>
    <x v="0"/>
    <s v="No"/>
    <n v="90"/>
    <x v="20"/>
    <s v="Caro"/>
    <s v="Precio Estadar"/>
    <s v="Apartamento"/>
    <s v="Alquiler"/>
    <d v="2024-01-05T00:00:00"/>
    <x v="65"/>
    <s v="https://www.properati.com.pe/detalle/14032-32-4e15-75895301dc49-a57189c1-9bdc-4860"/>
  </r>
  <r>
    <s v="Apartamento en alquiler en Ur. Balta"/>
    <s v="Ur. Balta"/>
    <x v="0"/>
    <s v="Lima"/>
    <x v="0"/>
    <n v="3145"/>
    <n v="314.5"/>
    <x v="0"/>
    <n v="2"/>
    <x v="0"/>
    <s v="Sí"/>
    <m/>
    <x v="8"/>
    <s v="Caro"/>
    <s v="Precio Estadar"/>
    <s v="Apartamento"/>
    <s v="Alquiler"/>
    <d v="2024-08-27T00:00:00"/>
    <x v="230"/>
    <s v="https://www.properati.com.pe/detalle/14032-32-7349-8be320d6d96d-daa54281-8f66-3400"/>
  </r>
  <r>
    <s v="Apartamento en alquiler en Ur. Orrantia"/>
    <s v="Ur. Orrantia"/>
    <x v="7"/>
    <s v="Lima"/>
    <x v="0"/>
    <n v="2886"/>
    <n v="288.60000000000002"/>
    <x v="1"/>
    <n v="2"/>
    <x v="0"/>
    <s v="No"/>
    <n v="105"/>
    <x v="7"/>
    <s v="Caro"/>
    <s v="Precio Estadar"/>
    <s v="Apartamento"/>
    <s v="Alquiler"/>
    <d v="2024-10-21T00:00:00"/>
    <x v="231"/>
    <s v="https://www.properati.com.pe/detalle/14032-32-3051-b3e8812b96e6-24361292-ab56-3bcd"/>
  </r>
  <r>
    <s v="Apartamento en alquiler en San Miguel"/>
    <s v="San Miguel"/>
    <x v="5"/>
    <s v="Lima"/>
    <x v="0"/>
    <n v="2800"/>
    <n v="280"/>
    <x v="1"/>
    <n v="3"/>
    <x v="0"/>
    <s v="Sí"/>
    <n v="108"/>
    <x v="17"/>
    <s v="Caro"/>
    <s v="Precio Estadar"/>
    <s v="Apartamento"/>
    <s v="Alquiler"/>
    <d v="2024-11-16T00:00:00"/>
    <x v="21"/>
    <s v="https://www.properati.com.pe/detalle/14032-32-8127-f993a284f48c-db984799-ae36-4d89"/>
  </r>
  <r>
    <s v="Apartamento en alquiler en Ur. Confraternidad"/>
    <s v="Ur. Confraternidad"/>
    <x v="2"/>
    <s v="Lima"/>
    <x v="0"/>
    <n v="6660"/>
    <n v="666"/>
    <x v="0"/>
    <n v="2"/>
    <x v="0"/>
    <s v="No"/>
    <n v="165"/>
    <x v="16"/>
    <s v="Caro"/>
    <s v="Precio Estadar"/>
    <s v="Apartamento"/>
    <s v="Alquiler"/>
    <d v="2023-08-17T00:00:00"/>
    <x v="213"/>
    <s v="https://www.properati.com.pe/detalle/14032-32-82cd-57276ca491b1-c6075d56-a4d2-46d9"/>
  </r>
  <r>
    <s v="Apartamento en alquiler en Ur. Armendariz"/>
    <s v="Ur. Armendariz"/>
    <x v="0"/>
    <s v="Lima"/>
    <x v="0"/>
    <n v="7030"/>
    <n v="703"/>
    <x v="1"/>
    <n v="3"/>
    <x v="1"/>
    <s v="No"/>
    <n v="195"/>
    <x v="19"/>
    <s v="Caro"/>
    <s v="Precio Estadar"/>
    <s v="Apartamento"/>
    <s v="Alquiler"/>
    <d v="2024-07-19T00:00:00"/>
    <x v="213"/>
    <s v="https://www.properati.com.pe/detalle/14032-32-ce0c-96f8a62c821e-5e00420e-bd3e-4fc5"/>
  </r>
  <r>
    <s v="Apartamento en alquiler en Ur. Valle Hermoso Oeste"/>
    <s v="Ur. Valle Hermoso Oeste"/>
    <x v="4"/>
    <s v="Lima"/>
    <x v="0"/>
    <n v="4440"/>
    <n v="444"/>
    <x v="1"/>
    <n v="2"/>
    <x v="0"/>
    <s v="Sí"/>
    <n v="133"/>
    <x v="20"/>
    <s v="Caro"/>
    <s v="Precio Estadar"/>
    <s v="Apartamento"/>
    <s v="Alquiler"/>
    <d v="2024-01-16T00:00:00"/>
    <x v="213"/>
    <s v="https://www.properati.com.pe/detalle/14032-32-ace8-fc3916c3704f-8c744627-b9e2-428e"/>
  </r>
  <r>
    <s v="Apartamento en alquiler en Ur. El Rosario"/>
    <s v="Ur. El Rosario"/>
    <x v="7"/>
    <s v="Lima"/>
    <x v="0"/>
    <n v="7030"/>
    <n v="703"/>
    <x v="1"/>
    <n v="2"/>
    <x v="0"/>
    <s v="No"/>
    <n v="203"/>
    <x v="19"/>
    <s v="Caro"/>
    <s v="Precio Estadar"/>
    <s v="Apartamento"/>
    <s v="Alquiler"/>
    <d v="2024-12-30T00:00:00"/>
    <x v="94"/>
    <s v="https://www.properati.com.pe/detalle/14032-32-1ae8-2ef1cf1fab82-f77ad90f-9507-44e3"/>
  </r>
  <r>
    <s v="Casa en alquiler en Leuro"/>
    <s v="Leuro"/>
    <x v="5"/>
    <s v="Lima"/>
    <x v="0"/>
    <n v="12950"/>
    <n v="1295"/>
    <x v="1"/>
    <n v="2"/>
    <x v="0"/>
    <s v="Sí"/>
    <n v="570"/>
    <x v="8"/>
    <s v="Caro"/>
    <s v="Precio Estadar"/>
    <s v="Casa"/>
    <s v="Alquiler"/>
    <d v="2024-10-19T00:00:00"/>
    <x v="232"/>
    <s v="https://www.properati.com.pe/detalle/14032-32-8f96-c575a376318e-c16ca76b-ad45-4358"/>
  </r>
  <r>
    <s v="Apartamento en alquiler en Ur. Barboncito"/>
    <s v="Ur. Barboncito"/>
    <x v="0"/>
    <s v="Lima"/>
    <x v="0"/>
    <n v="3145"/>
    <n v="314.5"/>
    <x v="0"/>
    <n v="2"/>
    <x v="1"/>
    <s v="Sí"/>
    <n v="90"/>
    <x v="38"/>
    <s v="Caro"/>
    <s v="Precio Estadar"/>
    <s v="Apartamento"/>
    <s v="Alquiler"/>
    <d v="2023-10-25T00:00:00"/>
    <x v="233"/>
    <s v="https://www.properati.com.pe/detalle/14032-32-df3c-bce5496691b7-de446cdd-9587-4ff9"/>
  </r>
  <r>
    <s v="Casa en alquiler enLima"/>
    <s v="Lima"/>
    <x v="5"/>
    <s v="Lima"/>
    <x v="0"/>
    <n v="29600"/>
    <n v="2960"/>
    <x v="4"/>
    <n v="3"/>
    <x v="0"/>
    <s v="Sí"/>
    <n v="1477"/>
    <x v="30"/>
    <s v="Caro"/>
    <s v="Precio Estadar"/>
    <s v="Casa"/>
    <s v="Alquiler"/>
    <d v="2024-03-16T00:00:00"/>
    <x v="34"/>
    <s v="https://www.properati.com.pe/detalle/14032-32-60d3-7477ef7b7d0b-e71ed7d8-b175-4f3c"/>
  </r>
  <r>
    <s v="Apartamento en alquiler en Ur. San Isidro"/>
    <s v="Ur. San Isidro"/>
    <x v="7"/>
    <s v="Lima"/>
    <x v="0"/>
    <n v="5180"/>
    <n v="518"/>
    <x v="0"/>
    <n v="2"/>
    <x v="1"/>
    <s v="Sí"/>
    <n v="191"/>
    <x v="13"/>
    <s v="Caro"/>
    <s v="Precio Estadar"/>
    <s v="Apartamento"/>
    <s v="Alquiler"/>
    <d v="2023-10-13T00:00:00"/>
    <x v="17"/>
    <s v="https://www.properati.com.pe/detalle/14032-32-951-68e3a4440cac-7a685b7c-9b11-4b75"/>
  </r>
  <r>
    <s v="Apartamento en alquiler en Ur. Los Patricios (San Felipe)"/>
    <s v="Ur. Los Patricios (San Felipe)"/>
    <x v="22"/>
    <s v="Lima"/>
    <x v="0"/>
    <n v="2960"/>
    <n v="296"/>
    <x v="1"/>
    <n v="2"/>
    <x v="1"/>
    <s v="Sí"/>
    <n v="76"/>
    <x v="8"/>
    <s v="Caro"/>
    <s v="Precio Estadar"/>
    <s v="Apartamento"/>
    <s v="Alquiler"/>
    <d v="2024-02-15T00:00:00"/>
    <x v="19"/>
    <s v="https://www.properati.com.pe/detalle/14032-32-998c-974062cc4d8a-2245523a-95d2-414d"/>
  </r>
  <r>
    <s v="Apartamento en alquiler en Ur. Huacrachuco"/>
    <s v="Ur. Huacrachuco"/>
    <x v="8"/>
    <s v="Lima"/>
    <x v="0"/>
    <n v="1480"/>
    <n v="148"/>
    <x v="2"/>
    <n v="1"/>
    <x v="0"/>
    <s v="No"/>
    <n v="40"/>
    <x v="18"/>
    <s v="Economico"/>
    <s v="Precio Estadar"/>
    <s v="Apartamento"/>
    <s v="Alquiler"/>
    <d v="2024-06-21T00:00:00"/>
    <x v="111"/>
    <s v="https://www.properati.com.pe/detalle/14032-32-3fc3-a457482f39f2-59b0fc53-a20b-48b3"/>
  </r>
  <r>
    <s v="Apartamento en alquiler en Ur. San Felipe"/>
    <s v="Ur. San Felipe"/>
    <x v="22"/>
    <s v="Lima"/>
    <x v="0"/>
    <n v="2960"/>
    <n v="296"/>
    <x v="1"/>
    <n v="2"/>
    <x v="0"/>
    <s v="Sí"/>
    <n v="93"/>
    <x v="30"/>
    <s v="Caro"/>
    <s v="Precio Estadar"/>
    <s v="Apartamento"/>
    <s v="Alquiler"/>
    <d v="2023-04-15T00:00:00"/>
    <x v="23"/>
    <s v="https://www.properati.com.pe/detalle/14032-32-d7ce-ddfcdf65657c-ce6ed8b-b846-4237"/>
  </r>
  <r>
    <s v="Apartamento en alquiler en Hu. Ex Fundo Monterrico Chico Parcela 2 (San Idelfonso Del Vivero)"/>
    <s v="Hu. Ex Fundo Monterrico Chico Parcela 2 (San Idelfonso Del Vivero)"/>
    <x v="4"/>
    <s v="Lima"/>
    <x v="0"/>
    <n v="4070"/>
    <n v="407"/>
    <x v="1"/>
    <n v="3"/>
    <x v="1"/>
    <s v="Sí"/>
    <n v="165"/>
    <x v="17"/>
    <s v="Caro"/>
    <s v="Precio Estadar"/>
    <s v="Apartamento"/>
    <s v="Alquiler"/>
    <d v="2024-01-26T00:00:00"/>
    <x v="86"/>
    <s v="https://www.properati.com.pe/detalle/14032-32-6686-d14e38a7960f-511d3214-b40d-48a8"/>
  </r>
  <r>
    <s v="Apartamento en alquiler en Ur. La ViÃ±ita"/>
    <s v="Ur. La ViÃ±ita"/>
    <x v="2"/>
    <s v="Lima"/>
    <x v="0"/>
    <n v="1700"/>
    <n v="170"/>
    <x v="2"/>
    <n v="1"/>
    <x v="1"/>
    <s v="Sí"/>
    <n v="40"/>
    <x v="20"/>
    <s v="Economico"/>
    <s v="Precio Estadar"/>
    <s v="Apartamento"/>
    <s v="Alquiler"/>
    <d v="2023-10-19T00:00:00"/>
    <x v="234"/>
    <s v="https://www.properati.com.pe/detalle/14032-32-f897-95a7ecda825d-2b8516c7-bb50-3ab1"/>
  </r>
  <r>
    <s v="Apartamento en alquiler en Ur. German Astete"/>
    <s v="Ur. German Astete"/>
    <x v="17"/>
    <s v=" Callao"/>
    <x v="2"/>
    <n v="1600"/>
    <n v="80"/>
    <x v="1"/>
    <n v="2"/>
    <x v="1"/>
    <s v="Sí"/>
    <n v="82"/>
    <x v="20"/>
    <s v="Economico"/>
    <s v="Precio Estadar"/>
    <s v="Apartamento"/>
    <s v="Alquiler"/>
    <d v="2024-04-17T00:00:00"/>
    <x v="234"/>
    <s v="https://www.properati.com.pe/detalle/14032-32-82fc-88ca67d6c349-f3e6d089-b3c0-3e5d"/>
  </r>
  <r>
    <s v="Apartamento en alquiler en Ur. San Isidro"/>
    <s v="Ur. San Isidro"/>
    <x v="7"/>
    <s v="Lima"/>
    <x v="0"/>
    <n v="4440"/>
    <n v="444"/>
    <x v="0"/>
    <n v="2"/>
    <x v="1"/>
    <s v="Sí"/>
    <n v="106"/>
    <x v="18"/>
    <s v="Caro"/>
    <s v="Precio Estadar"/>
    <s v="Apartamento"/>
    <s v="Alquiler"/>
    <d v="2024-07-11T00:00:00"/>
    <x v="94"/>
    <s v="https://www.properati.com.pe/detalle/14032-32-52e6-440e2a7f48e5-c01cc136-a13c-4eef"/>
  </r>
  <r>
    <s v="Apartamento en alquiler en Fundo Monterrico Chico"/>
    <s v="Fundo Monterrico Chico"/>
    <x v="5"/>
    <s v="Lima"/>
    <x v="0"/>
    <n v="4070"/>
    <n v="407"/>
    <x v="1"/>
    <n v="3"/>
    <x v="1"/>
    <s v="Sí"/>
    <n v="131"/>
    <x v="6"/>
    <s v="Caro"/>
    <s v="Precio Estadar"/>
    <s v="Apartamento"/>
    <s v="Alquiler"/>
    <d v="2023-06-08T00:00:00"/>
    <x v="6"/>
    <s v="https://www.properati.com.pe/detalle/14032-32-371e-3ef3f5639118-a919ffa5-80d7-4b81"/>
  </r>
  <r>
    <s v="Apartamento en alquiler en Ur. Chacarilla Santa Cruz Zona Santa Isabel B"/>
    <s v="Ur. Chacarilla Santa Cruz Zona Santa Isabel B"/>
    <x v="7"/>
    <s v="Lima"/>
    <x v="0"/>
    <n v="6105"/>
    <n v="610.5"/>
    <x v="1"/>
    <n v="2"/>
    <x v="1"/>
    <s v="Sí"/>
    <n v="161"/>
    <x v="12"/>
    <s v="Caro"/>
    <s v="Precio Estadar"/>
    <s v="Apartamento"/>
    <s v="Alquiler"/>
    <d v="2024-11-04T00:00:00"/>
    <x v="233"/>
    <s v="https://www.properati.com.pe/detalle/14032-32-946-564c1a5a28df-994ccb3d-bb5e-4fe4"/>
  </r>
  <r>
    <s v="Apartamento en alquiler en Ur. Jacaranda"/>
    <s v="Ur. Jacaranda"/>
    <x v="11"/>
    <s v="Lima"/>
    <x v="0"/>
    <n v="3000"/>
    <n v="300"/>
    <x v="1"/>
    <n v="3"/>
    <x v="1"/>
    <s v="No"/>
    <n v="94"/>
    <x v="7"/>
    <s v="Caro"/>
    <s v="Precio Estadar"/>
    <s v="Apartamento"/>
    <s v="Alquiler"/>
    <d v="2024-01-30T00:00:00"/>
    <x v="6"/>
    <s v="https://www.properati.com.pe/detalle/14032-32-d479-e9ddef853b15-ad4a2249-9cc8-469c"/>
  </r>
  <r>
    <s v="Apartamento en alquiler en Ur. Campo De Polo"/>
    <s v="Ur. Campo De Polo"/>
    <x v="13"/>
    <s v="Lima"/>
    <x v="0"/>
    <n v="2775"/>
    <n v="277.5"/>
    <x v="2"/>
    <n v="1"/>
    <x v="1"/>
    <s v="No"/>
    <n v="45"/>
    <x v="19"/>
    <s v="Caro"/>
    <s v="Precio Estadar"/>
    <s v="Apartamento"/>
    <s v="Alquiler"/>
    <d v="2024-10-12T00:00:00"/>
    <x v="110"/>
    <s v="https://www.properati.com.pe/detalle/14032-32-cec6-2e0471f70181-6ff1747-a253-46d0"/>
  </r>
  <r>
    <s v="Apartamento en alquiler en San Borja"/>
    <s v="San Borja"/>
    <x v="5"/>
    <s v="Lima"/>
    <x v="0"/>
    <n v="2960"/>
    <n v="296"/>
    <x v="1"/>
    <n v="2"/>
    <x v="1"/>
    <s v="Sí"/>
    <n v="95"/>
    <x v="8"/>
    <s v="Caro"/>
    <s v="Precio Estadar"/>
    <s v="Apartamento"/>
    <s v="Alquiler"/>
    <d v="2024-04-12T00:00:00"/>
    <x v="21"/>
    <s v="https://www.properati.com.pe/detalle/14032-32-c319-f2c2ca7db955-e17a629c-9920-409d"/>
  </r>
  <r>
    <s v="Apartamento en alquiler en Ur. Oyague"/>
    <s v="Ur. Oyague"/>
    <x v="25"/>
    <s v="Lima"/>
    <x v="0"/>
    <n v="2500"/>
    <n v="250"/>
    <x v="1"/>
    <n v="3"/>
    <x v="0"/>
    <s v="Sí"/>
    <n v="150"/>
    <x v="27"/>
    <s v="Economico"/>
    <s v="Precio Estadar"/>
    <s v="Apartamento"/>
    <s v="Alquiler"/>
    <d v="2024-04-04T00:00:00"/>
    <x v="23"/>
    <s v="https://www.properati.com.pe/detalle/14032-32-4a71-663fa8f57892-21a9862b-92fb-4f8d"/>
  </r>
  <r>
    <s v="Casa en alquiler en Ur. Micaela Bastidas"/>
    <s v="Ur. Micaela Bastidas"/>
    <x v="29"/>
    <s v="Lima"/>
    <x v="0"/>
    <n v="14060"/>
    <n v="1406"/>
    <x v="3"/>
    <n v="5"/>
    <x v="0"/>
    <s v="Sí"/>
    <n v="540"/>
    <x v="16"/>
    <s v="Caro"/>
    <s v="Precio Estadar"/>
    <s v="Casa"/>
    <s v="Alquiler"/>
    <d v="2024-01-19T00:00:00"/>
    <x v="144"/>
    <s v="https://www.properati.com.pe/detalle/14032-32-c77b-a1c3e6fce978-bbb3fff3-a727-46ec"/>
  </r>
  <r>
    <s v="Apartamento en alquiler en Ur. Vista Alegre"/>
    <s v="Ur. Vista Alegre"/>
    <x v="4"/>
    <s v="Lima"/>
    <x v="0"/>
    <n v="4100"/>
    <n v="410"/>
    <x v="1"/>
    <n v="3"/>
    <x v="1"/>
    <s v="Sí"/>
    <n v="92"/>
    <x v="20"/>
    <s v="Caro"/>
    <s v="Precio Estadar"/>
    <s v="Apartamento"/>
    <s v="Alquiler"/>
    <d v="2024-11-21T00:00:00"/>
    <x v="23"/>
    <s v="https://www.properati.com.pe/detalle/14032-32-d3e7-943e2c1fef5e-fc217ab8-a99e-4080"/>
  </r>
  <r>
    <s v="Apartamento en alquiler en Ur. Risso"/>
    <s v="Ur. Risso"/>
    <x v="3"/>
    <s v="Lima"/>
    <x v="0"/>
    <n v="2500"/>
    <n v="250"/>
    <x v="0"/>
    <n v="2"/>
    <x v="1"/>
    <s v="Sí"/>
    <n v="75"/>
    <x v="18"/>
    <s v="Economico"/>
    <s v="Precio Estadar"/>
    <s v="Apartamento"/>
    <s v="Alquiler"/>
    <d v="2023-05-21T00:00:00"/>
    <x v="25"/>
    <s v="https://www.properati.com.pe/detalle/14032-32-3cdb-262ac65a8eac-9e9a34c7-894d-40b9"/>
  </r>
  <r>
    <s v="Apartamento en alquiler en Ur. Valle Hermoso Residencial Etapa Ii"/>
    <s v="Ur. Valle Hermoso Residencial Etapa Ii"/>
    <x v="4"/>
    <s v="Lima"/>
    <x v="0"/>
    <n v="5180"/>
    <n v="518"/>
    <x v="1"/>
    <n v="3"/>
    <x v="1"/>
    <s v="No"/>
    <n v="300"/>
    <x v="17"/>
    <s v="Caro"/>
    <s v="Precio Estadar"/>
    <s v="Apartamento"/>
    <s v="Alquiler"/>
    <d v="2024-10-28T00:00:00"/>
    <x v="235"/>
    <s v="https://www.properati.com.pe/detalle/14032-32-8a8a-37ccd979c701-c92c721d-83dc-4073"/>
  </r>
  <r>
    <s v="Apartamento en alquiler en San Isidro"/>
    <s v="San Isidro"/>
    <x v="5"/>
    <s v="Lima"/>
    <x v="0"/>
    <n v="9620"/>
    <n v="962"/>
    <x v="1"/>
    <n v="3"/>
    <x v="1"/>
    <s v="Sí"/>
    <n v="330"/>
    <x v="19"/>
    <s v="Caro"/>
    <s v="Precio Estadar"/>
    <s v="Apartamento"/>
    <s v="Alquiler"/>
    <d v="2024-06-05T00:00:00"/>
    <x v="34"/>
    <s v="https://www.properati.com.pe/detalle/14032-32-7444-44dd48a9da8f-af958a24-92e8-414d"/>
  </r>
  <r>
    <s v="Apartamento en alquiler en Hu. Cercado DeMiraflores"/>
    <s v="Hu. Cercado DeMiraflores"/>
    <x v="0"/>
    <s v="Lima"/>
    <x v="0"/>
    <n v="3700"/>
    <n v="370"/>
    <x v="1"/>
    <n v="3"/>
    <x v="1"/>
    <s v="No"/>
    <n v="112"/>
    <x v="18"/>
    <s v="Caro"/>
    <s v="Precio Estadar"/>
    <s v="Apartamento"/>
    <s v="Alquiler"/>
    <d v="2023-12-12T00:00:00"/>
    <x v="51"/>
    <s v="https://www.properati.com.pe/detalle/14032-32-972e-fb714669d198-9bf7fafe-990b-48da"/>
  </r>
  <r>
    <s v="Apartamento en alquiler en Santa Cruz"/>
    <s v="Santa Cruz"/>
    <x v="12"/>
    <s v="Lima"/>
    <x v="0"/>
    <n v="5550"/>
    <n v="555"/>
    <x v="1"/>
    <n v="2"/>
    <x v="0"/>
    <s v="Sí"/>
    <n v="115"/>
    <x v="7"/>
    <s v="Caro"/>
    <s v="Precio Estadar"/>
    <s v="Apartamento"/>
    <s v="Alquiler"/>
    <d v="2024-09-02T00:00:00"/>
    <x v="19"/>
    <s v="https://www.properati.com.pe/detalle/14032-32-6d61-cee736aea1bb-3818e47d-a30f-4dd1"/>
  </r>
  <r>
    <s v="Apartamento en alquiler en UrbanizaciÃ³n ZÃ¡rate"/>
    <s v="UrbanizaciÃ³n ZÃ¡rate"/>
    <x v="40"/>
    <s v="Lima"/>
    <x v="0"/>
    <n v="1000"/>
    <n v="100"/>
    <x v="1"/>
    <n v="1"/>
    <x v="1"/>
    <s v="No"/>
    <m/>
    <x v="15"/>
    <s v="Economico"/>
    <s v="Precio Estadar"/>
    <s v="Apartamento"/>
    <s v="Alquiler"/>
    <d v="2023-04-29T00:00:00"/>
    <x v="236"/>
    <s v="https://www.properati.com.pe/detalle/14032-32-ba51-53a5dddb3e53-56747550-a50a-120d"/>
  </r>
  <r>
    <s v="Apartamento en alquiler en Ur. Nueva Castilla"/>
    <s v="Ur. Nueva Castilla"/>
    <x v="4"/>
    <s v="Lima"/>
    <x v="0"/>
    <n v="3626"/>
    <n v="362.6"/>
    <x v="1"/>
    <n v="3"/>
    <x v="1"/>
    <s v="Sí"/>
    <n v="140"/>
    <x v="10"/>
    <s v="Caro"/>
    <s v="Precio Estadar"/>
    <s v="Apartamento"/>
    <s v="Alquiler"/>
    <d v="2024-09-22T00:00:00"/>
    <x v="198"/>
    <s v="https://www.properati.com.pe/detalle/14032-32-a20e-8df9ef4bc2e4-66fe14db-b5f6-4e01"/>
  </r>
  <r>
    <s v="Apartamento en alquiler en San Isidro"/>
    <s v="San Isidro"/>
    <x v="5"/>
    <s v="Lima"/>
    <x v="0"/>
    <n v="11285"/>
    <n v="1128.5"/>
    <x v="1"/>
    <n v="3"/>
    <x v="1"/>
    <s v="Sí"/>
    <n v="173"/>
    <x v="8"/>
    <s v="Caro"/>
    <s v="Precio Estadar"/>
    <s v="Apartamento"/>
    <s v="Alquiler"/>
    <d v="2024-08-21T00:00:00"/>
    <x v="34"/>
    <s v="https://www.properati.com.pe/detalle/14032-32-dbf9-138ed6ee263f-170e0d2-893c-4192"/>
  </r>
  <r>
    <s v="Casa en alquiler en Cieneguilla"/>
    <s v="Cieneguilla"/>
    <x v="5"/>
    <s v="Lima"/>
    <x v="0"/>
    <n v="3663"/>
    <n v="366.3"/>
    <x v="4"/>
    <n v="3"/>
    <x v="1"/>
    <s v="No"/>
    <n v="1024"/>
    <x v="12"/>
    <s v="Caro"/>
    <s v="Precio Estadar"/>
    <s v="Casa"/>
    <s v="Alquiler"/>
    <d v="2023-03-27T00:00:00"/>
    <x v="214"/>
    <s v="https://www.properati.com.pe/detalle/14032-32-554b-98555dea96c9-2026c44a-bb98-4d18"/>
  </r>
  <r>
    <s v="Casa en alquiler enLima"/>
    <s v="Lima"/>
    <x v="5"/>
    <s v="Lima"/>
    <x v="0"/>
    <n v="5920"/>
    <n v="592"/>
    <x v="3"/>
    <n v="6"/>
    <x v="0"/>
    <s v="No"/>
    <n v="1024"/>
    <x v="0"/>
    <s v="Caro"/>
    <s v="Precio Estadar"/>
    <s v="Casa"/>
    <s v="Alquiler"/>
    <d v="2024-08-15T00:00:00"/>
    <x v="214"/>
    <s v="https://www.properati.com.pe/detalle/14032-32-798d-feeda2f11d87-b9d5c66c-b41a-4128"/>
  </r>
  <r>
    <s v="Apartamento en alquiler en Hu. Cercado DeMiraflores"/>
    <s v="Hu. Cercado DeMiraflores"/>
    <x v="0"/>
    <s v="Lima"/>
    <x v="0"/>
    <n v="8880"/>
    <n v="888"/>
    <x v="1"/>
    <n v="2"/>
    <x v="1"/>
    <s v="Sí"/>
    <n v="200"/>
    <x v="13"/>
    <s v="Caro"/>
    <s v="Precio Estadar"/>
    <s v="Apartamento"/>
    <s v="Alquiler"/>
    <d v="2024-07-20T00:00:00"/>
    <x v="34"/>
    <s v="https://www.properati.com.pe/detalle/14032-32-11ec-7377078ccf67-355c7069-b65d-5016"/>
  </r>
  <r>
    <s v="Apartamento en alquiler en Ur. America"/>
    <s v="Ur. America"/>
    <x v="0"/>
    <s v="Lima"/>
    <x v="0"/>
    <n v="2590"/>
    <n v="259"/>
    <x v="2"/>
    <n v="1"/>
    <x v="1"/>
    <s v="Sí"/>
    <n v="50"/>
    <x v="17"/>
    <s v="Caro"/>
    <s v="Precio Estadar"/>
    <s v="Apartamento"/>
    <s v="Alquiler"/>
    <d v="2024-11-06T00:00:00"/>
    <x v="214"/>
    <s v="https://www.properati.com.pe/detalle/14032-32-e1-70648799a85f-217000ee-ba69-4f43"/>
  </r>
  <r>
    <s v="Apartamento en alquiler en Ur. Confraternidad"/>
    <s v="Ur. Confraternidad"/>
    <x v="2"/>
    <s v="Lima"/>
    <x v="0"/>
    <n v="3515"/>
    <n v="351.5"/>
    <x v="0"/>
    <n v="3"/>
    <x v="1"/>
    <s v="Sí"/>
    <n v="85"/>
    <x v="16"/>
    <s v="Caro"/>
    <s v="Precio Estadar"/>
    <s v="Apartamento"/>
    <s v="Alquiler"/>
    <d v="2023-01-26T00:00:00"/>
    <x v="214"/>
    <s v="https://www.properati.com.pe/detalle/14032-32-aa29-e9f2a37908b5-24e1ae20-8b1c-447d"/>
  </r>
  <r>
    <s v="Apartamento en alquiler en Re. San Felipe"/>
    <s v="Re. San Felipe"/>
    <x v="7"/>
    <s v="Lima"/>
    <x v="0"/>
    <n v="9805"/>
    <n v="980.5"/>
    <x v="1"/>
    <n v="3"/>
    <x v="1"/>
    <s v="Sí"/>
    <n v="450"/>
    <x v="20"/>
    <s v="Caro"/>
    <s v="Precio Estadar"/>
    <s v="Apartamento"/>
    <s v="Alquiler"/>
    <d v="2023-05-14T00:00:00"/>
    <x v="34"/>
    <s v="https://www.properati.com.pe/detalle/14032-32-8bc1-c853fbbb192a-f1f878a9-8f59-40b1"/>
  </r>
  <r>
    <s v="Apartamento en alquiler en Ur. Maranga Etapa Iii"/>
    <s v="Ur. Maranga Etapa Iii"/>
    <x v="16"/>
    <s v="Lima"/>
    <x v="0"/>
    <n v="1600"/>
    <n v="160"/>
    <x v="0"/>
    <n v="1"/>
    <x v="1"/>
    <s v="Sí"/>
    <n v="53"/>
    <x v="20"/>
    <s v="Economico"/>
    <s v="Precio Estadar"/>
    <s v="Apartamento"/>
    <s v="Alquiler"/>
    <d v="2023-04-30T00:00:00"/>
    <x v="50"/>
    <s v="https://www.properati.com.pe/detalle/14032-32-30f2-2c7a63c4abc-58b92a4c-b5fb-4960"/>
  </r>
  <r>
    <s v="Apartamento en alquiler enMiraflores"/>
    <s v="Miraflores"/>
    <x v="5"/>
    <s v="Lima"/>
    <x v="0"/>
    <n v="2800"/>
    <n v="280"/>
    <x v="0"/>
    <n v="3"/>
    <x v="0"/>
    <s v="No"/>
    <n v="115"/>
    <x v="7"/>
    <s v="Caro"/>
    <s v="Precio Estadar"/>
    <s v="Apartamento"/>
    <s v="Alquiler"/>
    <d v="2023-06-23T00:00:00"/>
    <x v="70"/>
    <s v="https://www.properati.com.pe/detalle/14032-32-f3d4-6a7543e8e7e7-ce8dfe33-b397-4d4c"/>
  </r>
  <r>
    <s v="Casa en alquiler en Surco"/>
    <s v="Surco"/>
    <x v="4"/>
    <s v="Lima"/>
    <x v="0"/>
    <n v="9250"/>
    <n v="925"/>
    <x v="3"/>
    <n v="5"/>
    <x v="0"/>
    <s v="Sí"/>
    <n v="300"/>
    <x v="18"/>
    <s v="Caro"/>
    <s v="Precio Estadar"/>
    <s v="Casa"/>
    <s v="Alquiler"/>
    <d v="2023-11-25T00:00:00"/>
    <x v="23"/>
    <s v="https://www.properati.com.pe/detalle/14032-32-8572-4c3c43423cfd-3c8de3a5-82b8-4692"/>
  </r>
  <r>
    <s v="Apartamento en alquiler en Ur. Los Jazmines"/>
    <s v="Ur. Los Jazmines"/>
    <x v="4"/>
    <s v="Lima"/>
    <x v="0"/>
    <n v="2960"/>
    <n v="296"/>
    <x v="1"/>
    <n v="3"/>
    <x v="1"/>
    <s v="No"/>
    <n v="170"/>
    <x v="17"/>
    <s v="Caro"/>
    <s v="Precio Estadar"/>
    <s v="Apartamento"/>
    <s v="Alquiler"/>
    <d v="2023-06-16T00:00:00"/>
    <x v="51"/>
    <s v="https://www.properati.com.pe/detalle/14032-32-688b-1375a15a8fcd-ecd54b3a-bd38-403d"/>
  </r>
  <r>
    <s v="Apartamento en alquiler en Urb Haras Tyber"/>
    <s v="Urb Haras Tyber"/>
    <x v="5"/>
    <s v="Lima"/>
    <x v="0"/>
    <n v="1300"/>
    <n v="130"/>
    <x v="2"/>
    <n v="1"/>
    <x v="1"/>
    <s v="No"/>
    <n v="15"/>
    <x v="10"/>
    <s v="Economico"/>
    <s v="Precio Estadar"/>
    <s v="Apartamento"/>
    <s v="Alquiler"/>
    <d v="2023-10-09T00:00:00"/>
    <x v="237"/>
    <s v="https://www.properati.com.pe/detalle/14032-32-61ea-302e3e59a505-6bb0871b-8f87-315a"/>
  </r>
  <r>
    <s v="Apartamento en alquiler en Ur. Aurora"/>
    <s v="Ur. Aurora"/>
    <x v="0"/>
    <s v="Lima"/>
    <x v="0"/>
    <n v="11063"/>
    <n v="1106.3"/>
    <x v="1"/>
    <n v="4"/>
    <x v="1"/>
    <s v="Sí"/>
    <n v="355"/>
    <x v="0"/>
    <s v="Caro"/>
    <s v="Precio Estadar"/>
    <s v="Apartamento"/>
    <s v="Alquiler"/>
    <d v="2023-06-21T00:00:00"/>
    <x v="227"/>
    <s v="https://www.properati.com.pe/detalle/14032-32-e0ca-fa1410aff861-caeb33ac-8072-4c39"/>
  </r>
  <r>
    <s v="Apartamento en alquiler en Surquillo"/>
    <s v="Surquillo"/>
    <x v="33"/>
    <s v="Lima"/>
    <x v="0"/>
    <n v="4465.9000000000005"/>
    <n v="446.59000000000009"/>
    <x v="1"/>
    <n v="4"/>
    <x v="1"/>
    <s v="No"/>
    <n v="132"/>
    <x v="27"/>
    <s v="Caro"/>
    <s v="Precio Estadar"/>
    <s v="Apartamento"/>
    <s v="Alquiler"/>
    <d v="2023-04-01T00:00:00"/>
    <x v="227"/>
    <s v="https://www.properati.com.pe/detalle/14032-32-ae1c-a909eb3775d7-cff891cd-a943-4dba"/>
  </r>
  <r>
    <s v="Apartamento en alquiler en Ur. Prolongacion Benavides"/>
    <s v="Ur. Prolongacion Benavides"/>
    <x v="4"/>
    <s v="Lima"/>
    <x v="0"/>
    <n v="1800"/>
    <n v="180"/>
    <x v="0"/>
    <n v="1"/>
    <x v="1"/>
    <s v="No"/>
    <n v="90"/>
    <x v="0"/>
    <s v="Economico"/>
    <s v="Precio Estadar"/>
    <s v="Apartamento"/>
    <s v="Alquiler"/>
    <d v="2023-02-12T00:00:00"/>
    <x v="10"/>
    <s v="https://www.properati.com.pe/detalle/14032-32-6c7c-7f19d2f767d2-4dabc45b-a3a1-4c76"/>
  </r>
  <r>
    <s v="Apartamento en alquiler en Ur. Balta"/>
    <s v="Ur. Balta"/>
    <x v="0"/>
    <s v="Lima"/>
    <x v="0"/>
    <n v="7770"/>
    <n v="777"/>
    <x v="1"/>
    <n v="3"/>
    <x v="0"/>
    <s v="No"/>
    <n v="190"/>
    <x v="10"/>
    <s v="Caro"/>
    <s v="Precio Estadar"/>
    <s v="Apartamento"/>
    <s v="Alquiler"/>
    <d v="2023-02-16T00:00:00"/>
    <x v="170"/>
    <s v="https://www.properati.com.pe/detalle/14032-32-1618-5805e38df61b-6103048c-bae4-4e3c"/>
  </r>
  <r>
    <s v="Apartamento en alquiler en Urb Costa Sur"/>
    <s v="Urb Costa Sur"/>
    <x v="5"/>
    <s v="Lima"/>
    <x v="0"/>
    <n v="2250"/>
    <n v="225"/>
    <x v="2"/>
    <n v="2"/>
    <x v="1"/>
    <s v="Sí"/>
    <n v="58"/>
    <x v="16"/>
    <s v="Economico"/>
    <s v="Precio Estadar"/>
    <s v="Apartamento"/>
    <s v="Alquiler"/>
    <d v="2024-05-22T00:00:00"/>
    <x v="63"/>
    <s v="https://www.properati.com.pe/detalle/14032-32-b21f-316324697aa5-414bde3d-8767-483f"/>
  </r>
  <r>
    <s v="Apartamento en alquiler en Urb Huertos de San Antonio"/>
    <s v="Urb Huertos de San Antonio"/>
    <x v="5"/>
    <s v="Lima"/>
    <x v="0"/>
    <n v="2405"/>
    <n v="240.5"/>
    <x v="1"/>
    <n v="2"/>
    <x v="0"/>
    <s v="Sí"/>
    <n v="165"/>
    <x v="20"/>
    <s v="Economico"/>
    <s v="Precio Estadar"/>
    <s v="Apartamento"/>
    <s v="Alquiler"/>
    <d v="2023-11-28T00:00:00"/>
    <x v="86"/>
    <s v="https://www.properati.com.pe/detalle/14032-32-fbcb-f235e92e9a0-8c1a18c3-8895-4bc8"/>
  </r>
  <r>
    <s v="Apartamento en alquiler en Ur. Huertos De San Antonio"/>
    <s v="Ur. Huertos De San Antonio"/>
    <x v="4"/>
    <s v="Lima"/>
    <x v="0"/>
    <n v="2405"/>
    <n v="240.5"/>
    <x v="1"/>
    <n v="2"/>
    <x v="0"/>
    <s v="Sí"/>
    <n v="170"/>
    <x v="6"/>
    <s v="Economico"/>
    <s v="Precio Estadar"/>
    <s v="Apartamento"/>
    <s v="Alquiler"/>
    <d v="2024-04-24T00:00:00"/>
    <x v="86"/>
    <s v="https://www.properati.com.pe/detalle/14032-32-58bf-a75a26f50657-d3e8e44f-ab50-4c0f"/>
  </r>
  <r>
    <s v="Apartamento en alquiler en Ur. Jardin"/>
    <s v="Ur. Jardin"/>
    <x v="7"/>
    <s v="Lima"/>
    <x v="0"/>
    <n v="4440"/>
    <n v="444"/>
    <x v="4"/>
    <n v="3"/>
    <x v="1"/>
    <s v="Sí"/>
    <n v="156"/>
    <x v="18"/>
    <s v="Caro"/>
    <s v="Precio Estadar"/>
    <s v="Apartamento"/>
    <s v="Alquiler"/>
    <d v="2023-06-09T00:00:00"/>
    <x v="93"/>
    <s v="https://www.properati.com.pe/detalle/14032-32-fd2b-fa8e8374ef47-a9b776e9-aff2-4ab4"/>
  </r>
  <r>
    <s v="Apartamento en alquiler en Ur. Armendariz"/>
    <s v="Ur. Armendariz"/>
    <x v="0"/>
    <s v="Lima"/>
    <x v="0"/>
    <n v="8140"/>
    <n v="814"/>
    <x v="1"/>
    <n v="2"/>
    <x v="0"/>
    <s v="Sí"/>
    <n v="200"/>
    <x v="19"/>
    <s v="Caro"/>
    <s v="Precio Estadar"/>
    <s v="Apartamento"/>
    <s v="Alquiler"/>
    <d v="2024-07-26T00:00:00"/>
    <x v="23"/>
    <s v="https://www.properati.com.pe/detalle/14032-32-1bda-ae285943ffc4-70cdde0f-b5b5-428f"/>
  </r>
  <r>
    <s v="Apartamento en alquiler en Ur. Los Tulipanes"/>
    <s v="Ur. Los Tulipanes"/>
    <x v="0"/>
    <s v="Lima"/>
    <x v="0"/>
    <n v="4000"/>
    <n v="400"/>
    <x v="1"/>
    <n v="2"/>
    <x v="1"/>
    <s v="No"/>
    <n v="121"/>
    <x v="6"/>
    <s v="Caro"/>
    <s v="Precio Estadar"/>
    <s v="Apartamento"/>
    <s v="Alquiler"/>
    <d v="2023-08-23T00:00:00"/>
    <x v="108"/>
    <s v="https://www.properati.com.pe/detalle/14032-32-33c9-f4ebbe9a4d85-26f10c68-b685-4b62"/>
  </r>
  <r>
    <s v="Apartamento en alquiler en Urb las Gardenias Etapa 1"/>
    <s v="Urb las Gardenias Etapa 1"/>
    <x v="5"/>
    <s v="Lima"/>
    <x v="0"/>
    <n v="1200"/>
    <n v="120"/>
    <x v="2"/>
    <n v="1"/>
    <x v="1"/>
    <s v="Sí"/>
    <n v="30"/>
    <x v="16"/>
    <s v="Economico"/>
    <s v="Precio Estadar"/>
    <s v="Apartamento"/>
    <s v="Alquiler"/>
    <d v="2024-10-15T00:00:00"/>
    <x v="31"/>
    <s v="https://www.properati.com.pe/detalle/14032-32-3ec1-6943670a3c82-b4c53102-b86e-4e0c"/>
  </r>
  <r>
    <s v="Apartamento en alquiler en Ur. Orrantia Del Mar"/>
    <s v="Ur. Orrantia Del Mar"/>
    <x v="7"/>
    <s v="Lima"/>
    <x v="0"/>
    <n v="4070"/>
    <n v="407"/>
    <x v="1"/>
    <n v="2"/>
    <x v="0"/>
    <s v="No"/>
    <n v="124"/>
    <x v="27"/>
    <s v="Caro"/>
    <s v="Precio Estadar"/>
    <s v="Apartamento"/>
    <s v="Alquiler"/>
    <d v="2023-02-20T00:00:00"/>
    <x v="6"/>
    <s v="https://www.properati.com.pe/detalle/14032-32-694a-fd96106fb6c6-323ecb67-949a-40a6"/>
  </r>
  <r>
    <s v="Apartamento en alquiler en Ur. San Luis"/>
    <s v="Ur. San Luis"/>
    <x v="0"/>
    <s v="Lima"/>
    <x v="0"/>
    <n v="2960"/>
    <n v="296"/>
    <x v="1"/>
    <n v="3"/>
    <x v="1"/>
    <s v="Sí"/>
    <n v="86"/>
    <x v="17"/>
    <s v="Caro"/>
    <s v="Precio Estadar"/>
    <s v="Apartamento"/>
    <s v="Alquiler"/>
    <d v="2024-07-17T00:00:00"/>
    <x v="23"/>
    <s v="https://www.properati.com.pe/detalle/14032-32-41d2-2a28d767d2a7-4257d844-8f1b-4c58"/>
  </r>
  <r>
    <s v="Apartamento en alquiler en Ur. Chacarilla Santa Cruz Zona Santa Isabel"/>
    <s v="Ur. Chacarilla Santa Cruz Zona Santa Isabel"/>
    <x v="7"/>
    <s v="Lima"/>
    <x v="0"/>
    <n v="5550"/>
    <n v="555"/>
    <x v="1"/>
    <n v="3"/>
    <x v="1"/>
    <s v="Sí"/>
    <n v="120"/>
    <x v="6"/>
    <s v="Caro"/>
    <s v="Precio Estadar"/>
    <s v="Apartamento"/>
    <s v="Alquiler"/>
    <d v="2024-03-04T00:00:00"/>
    <x v="238"/>
    <s v="https://www.properati.com.pe/detalle/14032-32-168a-e9b070553ad4-2ff1474c-8321-424a"/>
  </r>
  <r>
    <s v="Apartamento en alquiler en Ur. San Antonio"/>
    <s v="Ur. San Antonio"/>
    <x v="0"/>
    <s v="Lima"/>
    <x v="0"/>
    <n v="2775"/>
    <n v="277.5"/>
    <x v="2"/>
    <n v="1"/>
    <x v="1"/>
    <s v="Sí"/>
    <n v="70"/>
    <x v="7"/>
    <s v="Caro"/>
    <s v="Precio Estadar"/>
    <s v="Apartamento"/>
    <s v="Alquiler"/>
    <d v="2024-06-08T00:00:00"/>
    <x v="100"/>
    <s v="https://www.properati.com.pe/detalle/14032-32-b22b-9168decfdefe-9693e428-874f-4d1d"/>
  </r>
  <r>
    <s v="Apartamento en alquiler en San Felipe"/>
    <s v="San Felipe"/>
    <x v="5"/>
    <s v="Lima"/>
    <x v="0"/>
    <n v="3145"/>
    <n v="314.5"/>
    <x v="0"/>
    <n v="2"/>
    <x v="0"/>
    <s v="No"/>
    <n v="75"/>
    <x v="8"/>
    <s v="Caro"/>
    <s v="Precio Estadar"/>
    <s v="Apartamento"/>
    <s v="Alquiler"/>
    <d v="2024-07-23T00:00:00"/>
    <x v="87"/>
    <s v="https://www.properati.com.pe/detalle/14032-32-9eb2-72eff95e4d5f-de0fbff1-b96f-4d87"/>
  </r>
  <r>
    <s v="Casa en alquiler en Lurin"/>
    <s v="Lurin"/>
    <x v="5"/>
    <s v="Lima"/>
    <x v="0"/>
    <n v="1200"/>
    <n v="120"/>
    <x v="1"/>
    <n v="1"/>
    <x v="1"/>
    <s v="Sí"/>
    <n v="150"/>
    <x v="6"/>
    <s v="Economico"/>
    <s v="Precio Estadar"/>
    <s v="Casa"/>
    <s v="Alquiler"/>
    <d v="2024-09-24T00:00:00"/>
    <x v="35"/>
    <s v="https://www.properati.com.pe/detalle/14032-32-c9dd-ed5ac183e59d-9ab7d56e-8150-4747"/>
  </r>
  <r>
    <s v="Apartamento en alquiler en Barranco"/>
    <s v="Barranco"/>
    <x v="5"/>
    <s v="Lima"/>
    <x v="0"/>
    <n v="2220"/>
    <n v="222"/>
    <x v="2"/>
    <n v="1"/>
    <x v="1"/>
    <s v="Sí"/>
    <n v="60"/>
    <x v="15"/>
    <s v="Economico"/>
    <s v="Precio Estadar"/>
    <s v="Apartamento"/>
    <s v="Alquiler"/>
    <d v="2024-12-17T00:00:00"/>
    <x v="71"/>
    <s v="https://www.properati.com.pe/detalle/14032-32-e165-4f8a293979b3-b24648d4-b4aa-4e00"/>
  </r>
  <r>
    <s v="Apartamento en alquiler en Ur. Confraternidad"/>
    <s v="Ur. Confraternidad"/>
    <x v="2"/>
    <s v="Lima"/>
    <x v="0"/>
    <n v="4440"/>
    <n v="444"/>
    <x v="1"/>
    <n v="3"/>
    <x v="0"/>
    <s v="No"/>
    <n v="110"/>
    <x v="7"/>
    <s v="Caro"/>
    <s v="Precio Estadar"/>
    <s v="Apartamento"/>
    <s v="Alquiler"/>
    <d v="2023-11-05T00:00:00"/>
    <x v="71"/>
    <s v="https://www.properati.com.pe/detalle/14032-32-1250-4ee6de009722-f8af4558-a625-44e6"/>
  </r>
  <r>
    <s v="Apartamento en alquiler enLima"/>
    <s v="Lima"/>
    <x v="5"/>
    <s v="Lima"/>
    <x v="0"/>
    <n v="6660"/>
    <n v="666"/>
    <x v="1"/>
    <n v="3"/>
    <x v="0"/>
    <s v="No"/>
    <n v="114"/>
    <x v="8"/>
    <s v="Caro"/>
    <s v="Precio Estadar"/>
    <s v="Apartamento"/>
    <s v="Alquiler"/>
    <d v="2024-10-05T00:00:00"/>
    <x v="23"/>
    <s v="https://www.properati.com.pe/detalle/14032-32-eb2c-9f47874d20c5-786aa543-8e3b-42c0"/>
  </r>
  <r>
    <s v="Apartamento en alquiler en Santiago de Surco"/>
    <s v="Santiago de Surco"/>
    <x v="5"/>
    <s v="Lima"/>
    <x v="0"/>
    <n v="4070"/>
    <n v="407"/>
    <x v="0"/>
    <n v="3"/>
    <x v="1"/>
    <s v="Sí"/>
    <n v="130"/>
    <x v="13"/>
    <s v="Caro"/>
    <s v="Precio Estadar"/>
    <s v="Apartamento"/>
    <s v="Alquiler"/>
    <d v="2024-05-09T00:00:00"/>
    <x v="239"/>
    <s v="https://www.properati.com.pe/detalle/14032-32-b5ae-e30b153f50d4-57f12ba0-8b95-120d"/>
  </r>
  <r>
    <s v="Apartamento en alquiler en Surquillo"/>
    <s v="Surquillo"/>
    <x v="38"/>
    <s v="Lima"/>
    <x v="0"/>
    <n v="2405"/>
    <n v="240.5"/>
    <x v="2"/>
    <n v="1"/>
    <x v="1"/>
    <s v="Sí"/>
    <n v="57"/>
    <x v="18"/>
    <s v="Economico"/>
    <s v="Precio Estadar"/>
    <s v="Apartamento"/>
    <s v="Alquiler"/>
    <d v="2023-04-12T00:00:00"/>
    <x v="240"/>
    <s v="https://www.properati.com.pe/detalle/14032-32-af7-6600f6a012c-212716d4-9760-40e3"/>
  </r>
  <r>
    <s v="Casa en alquiler enLimaPolo and Hunt Club"/>
    <s v="LimaPolo and Hunt Club"/>
    <x v="5"/>
    <s v="Lima"/>
    <x v="0"/>
    <n v="8325"/>
    <n v="832.5"/>
    <x v="1"/>
    <n v="2"/>
    <x v="0"/>
    <s v="Sí"/>
    <n v="312"/>
    <x v="18"/>
    <s v="Caro"/>
    <s v="Precio Estadar"/>
    <s v="Casa"/>
    <s v="Alquiler"/>
    <d v="2024-04-20T00:00:00"/>
    <x v="232"/>
    <s v="https://www.properati.com.pe/detalle/14032-32-2717-ce3f2fd0fc3d-ea1f31bd-acd1-4700"/>
  </r>
  <r>
    <s v="Casa en alquiler en Ur. San Juan Sector A"/>
    <s v="Ur. San Juan Sector A"/>
    <x v="14"/>
    <s v="Lima"/>
    <x v="0"/>
    <n v="11000"/>
    <n v="1100"/>
    <x v="11"/>
    <n v="10"/>
    <x v="1"/>
    <s v="No"/>
    <n v="165"/>
    <x v="0"/>
    <s v="Caro"/>
    <s v="Precio Estadar"/>
    <s v="Casa"/>
    <s v="Alquiler"/>
    <d v="2024-10-14T00:00:00"/>
    <x v="33"/>
    <s v="https://www.properati.com.pe/detalle/14032-32-3ed6-515c72162e41-263f2e17-b794-47ac"/>
  </r>
  <r>
    <s v="Casa en alquiler en Ur. America"/>
    <s v="Ur. America"/>
    <x v="0"/>
    <s v="Lima"/>
    <x v="0"/>
    <n v="11100"/>
    <n v="1110"/>
    <x v="11"/>
    <n v="10"/>
    <x v="0"/>
    <s v="Sí"/>
    <n v="250"/>
    <x v="30"/>
    <s v="Caro"/>
    <s v="Precio Estadar"/>
    <s v="Casa"/>
    <s v="Alquiler"/>
    <d v="2024-04-11T00:00:00"/>
    <x v="100"/>
    <s v="https://www.properati.com.pe/detalle/14032-32-12b3-3941988bded1-423779e9-9ad3-4105"/>
  </r>
  <r>
    <s v="Apartamento en alquiler en Surquillo"/>
    <s v="Surquillo"/>
    <x v="33"/>
    <s v="Lima"/>
    <x v="0"/>
    <n v="2960"/>
    <n v="296"/>
    <x v="1"/>
    <n v="3"/>
    <x v="1"/>
    <s v="No"/>
    <n v="91"/>
    <x v="18"/>
    <s v="Caro"/>
    <s v="Precio Estadar"/>
    <s v="Apartamento"/>
    <s v="Alquiler"/>
    <d v="2024-05-25T00:00:00"/>
    <x v="23"/>
    <s v="https://www.properati.com.pe/detalle/14032-32-bedb-4b547115ceea-c190f7fc-a186-4d9b"/>
  </r>
  <r>
    <s v="Apartamento en alquiler en Ur. Santa Rosa De Surco"/>
    <s v="Ur. Santa Rosa De Surco"/>
    <x v="4"/>
    <s v="Lima"/>
    <x v="0"/>
    <n v="3515"/>
    <n v="351.5"/>
    <x v="1"/>
    <n v="4"/>
    <x v="0"/>
    <s v="No"/>
    <n v="140"/>
    <x v="27"/>
    <s v="Caro"/>
    <s v="Precio Estadar"/>
    <s v="Apartamento"/>
    <s v="Alquiler"/>
    <d v="2023-11-08T00:00:00"/>
    <x v="42"/>
    <s v="https://www.properati.com.pe/detalle/14032-32-e721-a461b49f40b-25f54c8a-858c-424b"/>
  </r>
  <r>
    <s v="Apartamento en alquiler en Ur. Valle Hermoso Oeste"/>
    <s v="Ur. Valle Hermoso Oeste"/>
    <x v="4"/>
    <s v="Lima"/>
    <x v="0"/>
    <n v="5180"/>
    <n v="518"/>
    <x v="1"/>
    <n v="3"/>
    <x v="1"/>
    <s v="Sí"/>
    <n v="200"/>
    <x v="13"/>
    <s v="Caro"/>
    <s v="Precio Estadar"/>
    <s v="Apartamento"/>
    <s v="Alquiler"/>
    <d v="2023-04-03T00:00:00"/>
    <x v="72"/>
    <s v="https://www.properati.com.pe/detalle/14032-32-ad5a-df72fccaf31d-79f1a330-97c2-4965"/>
  </r>
  <r>
    <s v="Casa de playa en alquiler en Provincia de Cañete"/>
    <s v="Provincia de Cañete"/>
    <x v="44"/>
    <s v="Lima"/>
    <x v="0"/>
    <n v="3700"/>
    <n v="370"/>
    <x v="4"/>
    <n v="3"/>
    <x v="1"/>
    <s v="No"/>
    <m/>
    <x v="27"/>
    <s v="Caro"/>
    <s v="Precio Estadar"/>
    <s v="Casa de playa"/>
    <s v="Alquiler"/>
    <d v="2024-01-26T00:00:00"/>
    <x v="241"/>
    <s v="https://www.properati.com.pe/detalle/14032-32-54d-b40441026a62-b112d261-98e2-42e9"/>
  </r>
  <r>
    <s v="Apartamento en alquiler en Pj. Hacienda Pro"/>
    <s v="Pj. Hacienda Pro"/>
    <x v="29"/>
    <s v="Lima"/>
    <x v="0"/>
    <n v="1500"/>
    <n v="150"/>
    <x v="1"/>
    <n v="2"/>
    <x v="0"/>
    <s v="No"/>
    <n v="77"/>
    <x v="18"/>
    <s v="Economico"/>
    <s v="Precio Estadar"/>
    <s v="Apartamento"/>
    <s v="Alquiler"/>
    <d v="2023-05-04T00:00:00"/>
    <x v="35"/>
    <s v="https://www.properati.com.pe/detalle/14032-32-3f89-e32784bc99ae-1edd2db8-b4af-465e"/>
  </r>
  <r>
    <s v="Apartamento en alquiler en Ur. Chacarilla Santa Cruz"/>
    <s v="Ur. Chacarilla Santa Cruz"/>
    <x v="7"/>
    <s v="Lima"/>
    <x v="0"/>
    <n v="3293"/>
    <n v="329.3"/>
    <x v="0"/>
    <n v="2"/>
    <x v="1"/>
    <s v="Sí"/>
    <n v="62"/>
    <x v="38"/>
    <s v="Caro"/>
    <s v="Precio Estadar"/>
    <s v="Apartamento"/>
    <s v="Alquiler"/>
    <d v="2023-12-19T00:00:00"/>
    <x v="100"/>
    <s v="https://www.properati.com.pe/detalle/14032-32-f36a-68bd6ac1f73d-f38a3b79-8cf9-4a97"/>
  </r>
  <r>
    <s v="Apartamento en alquiler en Ur. Chacarilla Santa Cruz"/>
    <s v="Ur. Chacarilla Santa Cruz"/>
    <x v="7"/>
    <s v="Lima"/>
    <x v="0"/>
    <n v="2812"/>
    <n v="281.2"/>
    <x v="2"/>
    <n v="1"/>
    <x v="0"/>
    <s v="No"/>
    <n v="45"/>
    <x v="27"/>
    <s v="Caro"/>
    <s v="Precio Estadar"/>
    <s v="Apartamento"/>
    <s v="Alquiler"/>
    <d v="2023-04-15T00:00:00"/>
    <x v="42"/>
    <s v="https://www.properati.com.pe/detalle/14032-32-79a1-6276337f755b-90d06212-985f-473c"/>
  </r>
  <r>
    <s v="Apartamento en alquiler en San Juan Zona B"/>
    <s v="San Juan Zona B"/>
    <x v="5"/>
    <s v="Lima"/>
    <x v="0"/>
    <n v="1500"/>
    <n v="150"/>
    <x v="4"/>
    <n v="2"/>
    <x v="0"/>
    <s v="No"/>
    <n v="120"/>
    <x v="10"/>
    <s v="Economico"/>
    <s v="Buena Oferta"/>
    <s v="Apartamento"/>
    <s v="Alquiler"/>
    <d v="2023-02-28T00:00:00"/>
    <x v="242"/>
    <s v="https://www.properati.com.pe/detalle/14032-32-4338-d28f4fdbaf4b-7f7e7ea5-84d5-4e7c"/>
  </r>
  <r>
    <s v="Apartamento en alquiler en Ur. La Perla"/>
    <s v="Ur. La Perla"/>
    <x v="17"/>
    <s v=" Callao"/>
    <x v="2"/>
    <n v="2000"/>
    <n v="100"/>
    <x v="0"/>
    <n v="2"/>
    <x v="0"/>
    <s v="Sí"/>
    <n v="56"/>
    <x v="15"/>
    <s v="Economico"/>
    <s v="Precio Estadar"/>
    <s v="Apartamento"/>
    <s v="Alquiler"/>
    <d v="2023-05-28T00:00:00"/>
    <x v="42"/>
    <s v="https://www.properati.com.pe/detalle/14032-32-a7ab-ebde941bf2e3-d8cd1876-a97c-4ac7"/>
  </r>
  <r>
    <s v="Apartamento en alquiler en Rimac"/>
    <s v="Rimac"/>
    <x v="5"/>
    <s v="Lima"/>
    <x v="0"/>
    <n v="1300"/>
    <n v="130"/>
    <x v="0"/>
    <n v="1"/>
    <x v="1"/>
    <s v="Sí"/>
    <n v="51"/>
    <x v="19"/>
    <s v="Economico"/>
    <s v="Precio Estadar"/>
    <s v="Apartamento"/>
    <s v="Alquiler"/>
    <d v="2023-07-11T00:00:00"/>
    <x v="223"/>
    <s v="https://www.properati.com.pe/detalle/14032-32-b573-1f86107fda0e-cba00bb0-9846-120d"/>
  </r>
  <r>
    <s v="Apartamento en alquiler en Fundo Conde San Isidro"/>
    <s v="Fundo Conde San Isidro"/>
    <x v="5"/>
    <s v="Lima"/>
    <x v="0"/>
    <n v="5180"/>
    <n v="518"/>
    <x v="1"/>
    <n v="3"/>
    <x v="0"/>
    <s v="No"/>
    <n v="175"/>
    <x v="19"/>
    <s v="Caro"/>
    <s v="Precio Estadar"/>
    <s v="Apartamento"/>
    <s v="Alquiler"/>
    <d v="2023-01-04T00:00:00"/>
    <x v="157"/>
    <s v="https://www.properati.com.pe/detalle/14032-32-59a9-b3f4765c2482-1dfc29b0-acac-120d"/>
  </r>
  <r>
    <s v="Apartamento en alquiler en Ur. Chacarilla Santa Cruz Zona Santa Isabel B"/>
    <s v="Ur. Chacarilla Santa Cruz Zona Santa Isabel B"/>
    <x v="7"/>
    <s v="Lima"/>
    <x v="0"/>
    <n v="6105"/>
    <n v="610.5"/>
    <x v="1"/>
    <n v="2"/>
    <x v="1"/>
    <s v="Sí"/>
    <n v="170"/>
    <x v="6"/>
    <s v="Caro"/>
    <s v="Precio Estadar"/>
    <s v="Apartamento"/>
    <s v="Alquiler"/>
    <d v="2024-08-28T00:00:00"/>
    <x v="241"/>
    <s v="https://www.properati.com.pe/detalle/14032-32-f0ad-3042b1ab8381-50d0f42e-a40a-45df"/>
  </r>
  <r>
    <s v="Apartamento en alquiler en Ur. Oyague"/>
    <s v="Ur. Oyague"/>
    <x v="13"/>
    <s v="Lima"/>
    <x v="0"/>
    <n v="3145"/>
    <n v="314.5"/>
    <x v="1"/>
    <n v="2"/>
    <x v="0"/>
    <s v="Sí"/>
    <n v="76"/>
    <x v="27"/>
    <s v="Caro"/>
    <s v="Precio Estadar"/>
    <s v="Apartamento"/>
    <s v="Alquiler"/>
    <d v="2023-12-01T00:00:00"/>
    <x v="243"/>
    <s v="https://www.properati.com.pe/detalle/14032-32-5371-c8a8421cb383-68c9bee-a69f-4566"/>
  </r>
  <r>
    <s v="Apartamento en alquiler en Ur. Armendariz"/>
    <s v="Ur. Armendariz"/>
    <x v="0"/>
    <s v="Lima"/>
    <x v="0"/>
    <n v="8880"/>
    <n v="888"/>
    <x v="1"/>
    <n v="2"/>
    <x v="1"/>
    <s v="No"/>
    <n v="332"/>
    <x v="18"/>
    <s v="Caro"/>
    <s v="Precio Estadar"/>
    <s v="Apartamento"/>
    <s v="Alquiler"/>
    <d v="2023-09-20T00:00:00"/>
    <x v="65"/>
    <s v="https://www.properati.com.pe/detalle/14032-32-7979-542d27934b01-9dab0932-a53c-4668"/>
  </r>
  <r>
    <s v="Casa en alquiler en Ur. Los Cedros De Villa Etapa Xi"/>
    <s v="Ur. Los Cedros De Villa Etapa Xi"/>
    <x v="8"/>
    <s v="Lima"/>
    <x v="0"/>
    <n v="3700"/>
    <n v="370"/>
    <x v="12"/>
    <n v="4"/>
    <x v="1"/>
    <s v="No"/>
    <n v="90"/>
    <x v="27"/>
    <s v="Caro"/>
    <s v="Precio Estadar"/>
    <s v="Casa"/>
    <s v="Alquiler"/>
    <d v="2024-06-24T00:00:00"/>
    <x v="244"/>
    <s v="https://www.properati.com.pe/detalle/14032-32-bb9f-e9b0866f2530-194e584-892b-4fb3"/>
  </r>
  <r>
    <s v="Apartamento en alquiler en Uv. Mirones"/>
    <s v="Uv. Mirones"/>
    <x v="5"/>
    <s v="Lima"/>
    <x v="0"/>
    <n v="1690"/>
    <n v="169"/>
    <x v="0"/>
    <n v="2"/>
    <x v="0"/>
    <s v="No"/>
    <n v="60"/>
    <x v="16"/>
    <s v="Economico"/>
    <s v="Precio Estadar"/>
    <s v="Apartamento"/>
    <s v="Alquiler"/>
    <d v="2024-07-20T00:00:00"/>
    <x v="43"/>
    <s v="https://www.properati.com.pe/detalle/14032-32-5208-f57e72da4a0f-e5b8427a-a7fa-47f3"/>
  </r>
  <r>
    <s v="Apartamento en alquiler en Ur. Leuro"/>
    <s v="Ur. Leuro"/>
    <x v="0"/>
    <s v="Lima"/>
    <x v="0"/>
    <n v="3589"/>
    <n v="358.90000000000003"/>
    <x v="2"/>
    <n v="2"/>
    <x v="0"/>
    <s v="Sí"/>
    <n v="105"/>
    <x v="13"/>
    <s v="Caro"/>
    <s v="Precio Estadar"/>
    <s v="Apartamento"/>
    <s v="Alquiler"/>
    <d v="2024-09-11T00:00:00"/>
    <x v="86"/>
    <s v="https://www.properati.com.pe/detalle/14032-32-7278-d726b8b99692-56cd5903-8237-47e0"/>
  </r>
  <r>
    <s v="Apartamento en alquiler en Ur. Leuro"/>
    <s v="Ur. Leuro"/>
    <x v="0"/>
    <s v="Lima"/>
    <x v="0"/>
    <n v="3589"/>
    <n v="358.90000000000003"/>
    <x v="2"/>
    <n v="2"/>
    <x v="0"/>
    <s v="No"/>
    <n v="105"/>
    <x v="0"/>
    <s v="Caro"/>
    <s v="Precio Estadar"/>
    <s v="Apartamento"/>
    <s v="Alquiler"/>
    <d v="2023-09-21T00:00:00"/>
    <x v="86"/>
    <s v="https://www.properati.com.pe/detalle/14032-32-f940-364e7be96dd5-f4adc101-90d7-4b17"/>
  </r>
  <r>
    <s v="Casa en alquiler en Cayma"/>
    <s v="Cayma"/>
    <x v="1"/>
    <s v="Arequipa"/>
    <x v="1"/>
    <n v="5250"/>
    <n v="262.5"/>
    <x v="3"/>
    <n v="9"/>
    <x v="1"/>
    <s v="No"/>
    <n v="350"/>
    <x v="19"/>
    <s v="Caro"/>
    <s v="Precio Estadar"/>
    <s v="Casa"/>
    <s v="Alquiler"/>
    <d v="2023-07-29T00:00:00"/>
    <x v="245"/>
    <s v="https://www.properati.com.pe/detalle/14032-32-ade1-bd7dc48e66c9-995251bd-b6d8-45f8"/>
  </r>
  <r>
    <s v="Apartamento en alquiler enMiraflores"/>
    <s v="Miraflores"/>
    <x v="1"/>
    <s v="Arequipa "/>
    <x v="3"/>
    <n v="3700"/>
    <n v="185"/>
    <x v="0"/>
    <n v="4"/>
    <x v="1"/>
    <s v="No"/>
    <n v="121"/>
    <x v="20"/>
    <s v="Caro"/>
    <s v="Precio Estadar"/>
    <s v="Apartamento"/>
    <s v="Alquiler"/>
    <d v="2024-09-05T00:00:00"/>
    <x v="6"/>
    <s v="https://www.properati.com.pe/detalle/14032-32-c4ba-82e5b7b24078-5b49aa35-8144-44fb"/>
  </r>
  <r>
    <s v="Apartamento en alquiler en Ur. Balta"/>
    <s v="Ur. Balta"/>
    <x v="0"/>
    <s v="Lima"/>
    <x v="0"/>
    <n v="3145"/>
    <n v="314.5"/>
    <x v="0"/>
    <n v="2"/>
    <x v="0"/>
    <s v="Sí"/>
    <n v="85"/>
    <x v="16"/>
    <s v="Caro"/>
    <s v="Precio Estadar"/>
    <s v="Apartamento"/>
    <s v="Alquiler"/>
    <d v="2024-04-21T00:00:00"/>
    <x v="124"/>
    <s v="https://www.properati.com.pe/detalle/14032-32-ace-3805761c4b55-6df83312-9382-486f"/>
  </r>
  <r>
    <s v="Apartamento en alquiler en Ur. Chacarilla Santa Cruz Zona Santa Isabel B"/>
    <s v="Ur. Chacarilla Santa Cruz Zona Santa Isabel B"/>
    <x v="7"/>
    <s v="Lima"/>
    <x v="0"/>
    <n v="6105"/>
    <n v="610.5"/>
    <x v="1"/>
    <n v="2"/>
    <x v="0"/>
    <s v="Sí"/>
    <n v="170"/>
    <x v="18"/>
    <s v="Caro"/>
    <s v="Precio Estadar"/>
    <s v="Apartamento"/>
    <s v="Alquiler"/>
    <d v="2024-02-12T00:00:00"/>
    <x v="65"/>
    <s v="https://www.properati.com.pe/detalle/14032-32-e189-d378a83c99d7-a2d802db-a7e1-4650"/>
  </r>
  <r>
    <s v="Apartamento en alquiler en Ur. San Jose"/>
    <s v="Ur. San Jose"/>
    <x v="32"/>
    <s v=" Callao"/>
    <x v="2"/>
    <n v="1800"/>
    <n v="90"/>
    <x v="1"/>
    <n v="2"/>
    <x v="0"/>
    <s v="Sí"/>
    <n v="160"/>
    <x v="15"/>
    <s v="Economico"/>
    <s v="Precio Estadar"/>
    <s v="Apartamento"/>
    <s v="Alquiler"/>
    <d v="2023-01-24T00:00:00"/>
    <x v="177"/>
    <s v="https://www.properati.com.pe/detalle/14032-32-207f-541f529f156c-f163e947-ba3f-48b7"/>
  </r>
  <r>
    <s v="Apartamento en alquiler en Ur. Balta"/>
    <s v="Ur. Balta"/>
    <x v="0"/>
    <s v="Lima"/>
    <x v="0"/>
    <n v="3145"/>
    <n v="314.5"/>
    <x v="0"/>
    <n v="3"/>
    <x v="0"/>
    <s v="Sí"/>
    <n v="90"/>
    <x v="30"/>
    <s v="Caro"/>
    <s v="Precio Estadar"/>
    <s v="Apartamento"/>
    <s v="Alquiler"/>
    <d v="2023-03-13T00:00:00"/>
    <x v="246"/>
    <s v="https://www.properati.com.pe/detalle/14032-32-5573-8c503d6ac96a-2b34ffa4-a685-4a55"/>
  </r>
  <r>
    <s v="Casa de playa en alquiler en Ur. Punta Negra"/>
    <s v="Ur. Punta Negra"/>
    <x v="45"/>
    <s v="Lima"/>
    <x v="0"/>
    <n v="2960"/>
    <n v="296"/>
    <x v="1"/>
    <n v="2"/>
    <x v="1"/>
    <s v="Sí"/>
    <n v="120"/>
    <x v="38"/>
    <s v="Caro"/>
    <s v="Precio Estadar"/>
    <s v="Casa de playa"/>
    <s v="Alquiler"/>
    <d v="2023-12-14T00:00:00"/>
    <x v="247"/>
    <s v="https://www.properati.com.pe/detalle/14032-32-e704-c9ad113a8900-6d677976-a60e-4667"/>
  </r>
  <r>
    <s v="Apartamento en alquiler en Urb Santa Cruz"/>
    <s v="Urb Santa Cruz"/>
    <x v="5"/>
    <s v="Lima"/>
    <x v="0"/>
    <n v="3330"/>
    <n v="333"/>
    <x v="2"/>
    <n v="2"/>
    <x v="0"/>
    <s v="No"/>
    <n v="105"/>
    <x v="18"/>
    <s v="Caro"/>
    <s v="Precio Estadar"/>
    <s v="Apartamento"/>
    <s v="Alquiler"/>
    <d v="2024-05-03T00:00:00"/>
    <x v="119"/>
    <s v="https://www.properati.com.pe/detalle/14032-32-624f-31f2361f6878-a2a57c33-b7d9-49d4"/>
  </r>
  <r>
    <s v="Apartamento en alquiler en ArmendÃ¡riz"/>
    <s v="ArmendÃ¡riz"/>
    <x v="5"/>
    <s v="Lima"/>
    <x v="0"/>
    <n v="9250"/>
    <n v="925"/>
    <x v="1"/>
    <n v="3"/>
    <x v="0"/>
    <s v="Sí"/>
    <n v="180"/>
    <x v="12"/>
    <s v="Caro"/>
    <s v="Precio Estadar"/>
    <s v="Apartamento"/>
    <s v="Alquiler"/>
    <d v="2023-08-13T00:00:00"/>
    <x v="95"/>
    <s v="https://www.properati.com.pe/detalle/14032-32-c052-3f617002477f-9b39fb89-9735-419f"/>
  </r>
  <r>
    <s v="Apartamento en alquiler en Leuro"/>
    <s v="Leuro"/>
    <x v="5"/>
    <s v="Lima"/>
    <x v="0"/>
    <n v="5735"/>
    <n v="573.5"/>
    <x v="3"/>
    <n v="4"/>
    <x v="0"/>
    <s v="Sí"/>
    <n v="200"/>
    <x v="30"/>
    <s v="Caro"/>
    <s v="Precio Estadar"/>
    <s v="Apartamento"/>
    <s v="Alquiler"/>
    <d v="2024-07-02T00:00:00"/>
    <x v="17"/>
    <s v="https://www.properati.com.pe/detalle/14032-32-3b49-cfb15daad0b6-3af69b61-b9e1-454b"/>
  </r>
  <r>
    <s v="Casa en alquiler en As. Los Zorzales"/>
    <s v="As. Los Zorzales"/>
    <x v="19"/>
    <s v="Lima"/>
    <x v="0"/>
    <n v="2889.7000000000003"/>
    <n v="288.97000000000003"/>
    <x v="3"/>
    <n v="4"/>
    <x v="1"/>
    <s v="No"/>
    <n v="120"/>
    <x v="12"/>
    <s v="Caro"/>
    <s v="Precio Estadar"/>
    <s v="Casa"/>
    <s v="Alquiler"/>
    <d v="2024-03-14T00:00:00"/>
    <x v="10"/>
    <s v="https://www.properati.com.pe/detalle/14032-32-daed-55e611929e4c-737b75cd-abe5-43d6"/>
  </r>
  <r>
    <s v="Casa en alquiler en Chaclacayo"/>
    <s v="Chaclacayo"/>
    <x v="5"/>
    <s v="Lima"/>
    <x v="0"/>
    <n v="1500"/>
    <n v="150"/>
    <x v="1"/>
    <n v="3"/>
    <x v="1"/>
    <s v="Sí"/>
    <n v="135"/>
    <x v="8"/>
    <s v="Economico"/>
    <s v="Precio Estadar"/>
    <s v="Casa"/>
    <s v="Alquiler"/>
    <d v="2024-08-16T00:00:00"/>
    <x v="248"/>
    <s v="https://www.properati.com.pe/detalle/14032-32-6707-571ed4f2c043-d3a93edc-81d8-45d6"/>
  </r>
  <r>
    <s v="Apartamento en alquiler en Ur. Chacarilla Santa Cruz"/>
    <s v="Ur. Chacarilla Santa Cruz"/>
    <x v="7"/>
    <s v="Lima"/>
    <x v="0"/>
    <n v="2923"/>
    <n v="292.3"/>
    <x v="2"/>
    <n v="1"/>
    <x v="0"/>
    <s v="No"/>
    <n v="45"/>
    <x v="15"/>
    <s v="Caro"/>
    <s v="Precio Estadar"/>
    <s v="Apartamento"/>
    <s v="Alquiler"/>
    <d v="2023-02-25T00:00:00"/>
    <x v="52"/>
    <s v="https://www.properati.com.pe/detalle/14032-32-b95b-1d6f7115c480-16e8b844-9eaf-4289"/>
  </r>
  <r>
    <s v="Apartamento en alquiler en Chacarilla-Santa Cruz"/>
    <s v="Chacarilla-Santa Cruz"/>
    <x v="46"/>
    <s v="Lima"/>
    <x v="0"/>
    <n v="27750"/>
    <n v="2775"/>
    <x v="4"/>
    <n v="4"/>
    <x v="1"/>
    <s v="Sí"/>
    <n v="880"/>
    <x v="17"/>
    <s v="Caro"/>
    <s v="Precio Estadar"/>
    <s v="Apartamento"/>
    <s v="Alquiler"/>
    <d v="2023-10-06T00:00:00"/>
    <x v="189"/>
    <s v="https://www.properati.com.pe/detalle/14032-32-ef0a-8457bf39b305-8da1dbb0-8d8d-375b"/>
  </r>
  <r>
    <s v="Casa en alquiler en Cv. C.I.P"/>
    <s v="Cv. C.I.P"/>
    <x v="1"/>
    <s v="Arequipa"/>
    <x v="1"/>
    <n v="9250"/>
    <n v="462.5"/>
    <x v="4"/>
    <n v="5"/>
    <x v="0"/>
    <s v="Sí"/>
    <n v="400"/>
    <x v="13"/>
    <s v="Caro"/>
    <s v="Precio Estadar"/>
    <s v="Casa"/>
    <s v="Alquiler"/>
    <d v="2023-01-11T00:00:00"/>
    <x v="249"/>
    <s v="https://www.properati.com.pe/detalle/14032-32-71b3-2a22209cddbd-28ff3a60-9eae-4c86"/>
  </r>
  <r>
    <s v="Apartamento en alquiler en Ur. El Rosal"/>
    <s v="Ur. El Rosal"/>
    <x v="0"/>
    <s v="Lima"/>
    <x v="0"/>
    <n v="4255"/>
    <n v="425.5"/>
    <x v="4"/>
    <n v="5"/>
    <x v="0"/>
    <s v="Sí"/>
    <n v="165"/>
    <x v="0"/>
    <s v="Caro"/>
    <s v="Precio Estadar"/>
    <s v="Apartamento"/>
    <s v="Alquiler"/>
    <d v="2024-01-03T00:00:00"/>
    <x v="205"/>
    <s v="https://www.properati.com.pe/detalle/14032-32-ec4c-e1f3d0220fd1-d78d5ab5-8826-4b21"/>
  </r>
  <r>
    <s v="Casa en alquiler en Ur. Santa Monica"/>
    <s v="Ur. Santa Monica"/>
    <x v="7"/>
    <s v="Lima"/>
    <x v="0"/>
    <n v="18500"/>
    <n v="1850"/>
    <x v="4"/>
    <n v="5"/>
    <x v="0"/>
    <s v="No"/>
    <n v="379"/>
    <x v="18"/>
    <s v="Caro"/>
    <s v="Precio Estadar"/>
    <s v="Casa"/>
    <s v="Alquiler"/>
    <d v="2024-05-10T00:00:00"/>
    <x v="127"/>
    <s v="https://www.properati.com.pe/detalle/14032-32-b5a5-784e30091bc4-6d6b3761-be85-4176"/>
  </r>
  <r>
    <s v="Apartamento en alquiler en Ur. Prolongacion Benavides"/>
    <s v="Ur. Prolongacion Benavides"/>
    <x v="4"/>
    <s v="Lima"/>
    <x v="0"/>
    <n v="4810"/>
    <n v="481"/>
    <x v="1"/>
    <n v="3"/>
    <x v="1"/>
    <s v="Sí"/>
    <n v="110"/>
    <x v="13"/>
    <s v="Caro"/>
    <s v="Precio Estadar"/>
    <s v="Apartamento"/>
    <s v="Alquiler"/>
    <d v="2024-02-13T00:00:00"/>
    <x v="61"/>
    <s v="https://www.properati.com.pe/detalle/14032-32-d07a-3ceb6952319d-df8cff09-b332-4834"/>
  </r>
  <r>
    <s v="Apartamento en alquiler en Ur. El Rosal"/>
    <s v="Ur. El Rosal"/>
    <x v="0"/>
    <s v="Lima"/>
    <x v="0"/>
    <n v="4255"/>
    <n v="425.5"/>
    <x v="4"/>
    <n v="5"/>
    <x v="0"/>
    <s v="Sí"/>
    <n v="165"/>
    <x v="12"/>
    <s v="Caro"/>
    <s v="Precio Estadar"/>
    <s v="Apartamento"/>
    <s v="Alquiler"/>
    <d v="2024-12-05T00:00:00"/>
    <x v="205"/>
    <s v="https://www.properati.com.pe/detalle/14032-32-880f-cadbfdf6f736-8f5b0135-916d-41df"/>
  </r>
  <r>
    <s v="Apartamento en alquiler en Fundo Conde San Isidro"/>
    <s v="Fundo Conde San Isidro"/>
    <x v="5"/>
    <s v="Lima"/>
    <x v="0"/>
    <n v="7400"/>
    <n v="740"/>
    <x v="1"/>
    <n v="3"/>
    <x v="0"/>
    <s v="Sí"/>
    <n v="200"/>
    <x v="7"/>
    <s v="Caro"/>
    <s v="Precio Estadar"/>
    <s v="Apartamento"/>
    <s v="Alquiler"/>
    <d v="2024-07-23T00:00:00"/>
    <x v="250"/>
    <s v="https://www.properati.com.pe/detalle/14032-32-40ce-565106f135ca-9825c73d-ad33-473a"/>
  </r>
  <r>
    <s v="Apartamento en alquiler en As. Las ViÃ±as De San Antonio Etapa I"/>
    <s v="As. Las ViÃ±as De San Antonio Etapa I"/>
    <x v="4"/>
    <s v="Lima"/>
    <x v="0"/>
    <n v="2682.5"/>
    <n v="268.25"/>
    <x v="1"/>
    <n v="3"/>
    <x v="0"/>
    <s v="Sí"/>
    <n v="110"/>
    <x v="15"/>
    <s v="Caro"/>
    <s v="Precio Estadar"/>
    <s v="Apartamento"/>
    <s v="Alquiler"/>
    <d v="2024-08-07T00:00:00"/>
    <x v="100"/>
    <s v="https://www.properati.com.pe/detalle/14032-32-18be-257e599e4be5-22fae440-a3bc-439b"/>
  </r>
  <r>
    <s v="Apartamento en alquiler en Reducto"/>
    <s v="Reducto"/>
    <x v="38"/>
    <s v="Lima"/>
    <x v="0"/>
    <n v="9250"/>
    <n v="925"/>
    <x v="3"/>
    <n v="5"/>
    <x v="0"/>
    <s v="Sí"/>
    <n v="535"/>
    <x v="8"/>
    <s v="Caro"/>
    <s v="Precio Estadar"/>
    <s v="Apartamento"/>
    <s v="Alquiler"/>
    <d v="2023-06-06T00:00:00"/>
    <x v="93"/>
    <s v="https://www.properati.com.pe/detalle/14032-32-f00-b9b25b667c69-26d51ca9-b374-4994"/>
  </r>
  <r>
    <s v="Apartamento en alquiler en As. Los Heraldos"/>
    <s v="As. Los Heraldos"/>
    <x v="4"/>
    <s v="Lima"/>
    <x v="0"/>
    <n v="2500"/>
    <n v="250"/>
    <x v="1"/>
    <n v="4"/>
    <x v="0"/>
    <s v="Sí"/>
    <n v="180"/>
    <x v="7"/>
    <s v="Economico"/>
    <s v="Precio Estadar"/>
    <s v="Apartamento"/>
    <s v="Alquiler"/>
    <d v="2023-01-18T00:00:00"/>
    <x v="122"/>
    <s v="https://www.properati.com.pe/detalle/14032-32-5906-f6c3269ce632-19492f70-8603-42e1"/>
  </r>
  <r>
    <s v="Apartamento en alquiler en Pj. El Carmen Alto"/>
    <s v="Pj. El Carmen Alto"/>
    <x v="9"/>
    <s v="Lima"/>
    <x v="0"/>
    <n v="1100"/>
    <n v="110"/>
    <x v="1"/>
    <n v="1"/>
    <x v="1"/>
    <s v="Sí"/>
    <n v="65"/>
    <x v="6"/>
    <s v="Economico"/>
    <s v="Precio Estadar"/>
    <s v="Apartamento"/>
    <s v="Alquiler"/>
    <d v="2024-12-30T00:00:00"/>
    <x v="251"/>
    <s v="https://www.properati.com.pe/detalle/14032-32-fefc-71d74dbfd06e-56da298c-99b9-4ad3"/>
  </r>
  <r>
    <s v="Apartamento en alquiler en Ur. Santa Cruz"/>
    <s v="Ur. Santa Cruz"/>
    <x v="0"/>
    <s v="Lima"/>
    <x v="0"/>
    <n v="2775"/>
    <n v="277.5"/>
    <x v="0"/>
    <n v="2"/>
    <x v="0"/>
    <s v="No"/>
    <n v="80"/>
    <x v="20"/>
    <s v="Caro"/>
    <s v="Precio Estadar"/>
    <s v="Apartamento"/>
    <s v="Alquiler"/>
    <d v="2024-01-31T00:00:00"/>
    <x v="252"/>
    <s v="https://www.properati.com.pe/detalle/14032-32-9d9f-2fcd8da0514a-e1c9faff-b307-4900"/>
  </r>
  <r>
    <s v="Apartamento en alquiler en Ur. Miramar"/>
    <s v="Ur. Miramar"/>
    <x v="16"/>
    <s v="Lima"/>
    <x v="0"/>
    <n v="2775"/>
    <n v="277.5"/>
    <x v="1"/>
    <n v="2"/>
    <x v="1"/>
    <s v="No"/>
    <n v="83"/>
    <x v="27"/>
    <s v="Caro"/>
    <s v="Precio Estadar"/>
    <s v="Apartamento"/>
    <s v="Alquiler"/>
    <d v="2024-11-20T00:00:00"/>
    <x v="243"/>
    <s v="https://www.properati.com.pe/detalle/14032-32-d83-a73504cea72b-1f0e3a25-b307-40ca"/>
  </r>
  <r>
    <s v="Apartamento en alquiler en Ur. El Olivar"/>
    <s v="Ur. El Olivar"/>
    <x v="20"/>
    <s v=" Callao"/>
    <x v="2"/>
    <n v="1000"/>
    <n v="50"/>
    <x v="0"/>
    <n v="1"/>
    <x v="0"/>
    <s v="Sí"/>
    <n v="100"/>
    <x v="10"/>
    <s v="Economico"/>
    <s v="Precio Estadar"/>
    <s v="Apartamento"/>
    <s v="Alquiler"/>
    <d v="2024-11-11T00:00:00"/>
    <x v="66"/>
    <s v="https://www.properati.com.pe/detalle/14032-32-3f1e-3174905120b1-f050477e-baaa-433a"/>
  </r>
  <r>
    <s v="Apartamento en alquiler en Ur. San Ignacio"/>
    <s v="Ur. San Ignacio"/>
    <x v="2"/>
    <s v="Lima"/>
    <x v="0"/>
    <n v="2775"/>
    <n v="277.5"/>
    <x v="2"/>
    <n v="1"/>
    <x v="1"/>
    <s v="No"/>
    <n v="50"/>
    <x v="19"/>
    <s v="Caro"/>
    <s v="Precio Estadar"/>
    <s v="Apartamento"/>
    <s v="Alquiler"/>
    <d v="2023-02-22T00:00:00"/>
    <x v="33"/>
    <s v="https://www.properati.com.pe/detalle/14032-32-1218-7c5e24d59500-6e796f32-99d5-4854"/>
  </r>
  <r>
    <s v="Apartamento en alquiler en Urb los Girasoles de Huampani"/>
    <s v="Urb los Girasoles de Huampani"/>
    <x v="5"/>
    <s v="Lima"/>
    <x v="0"/>
    <n v="1700"/>
    <n v="170"/>
    <x v="1"/>
    <n v="2"/>
    <x v="0"/>
    <s v="Sí"/>
    <n v="90"/>
    <x v="20"/>
    <s v="Economico"/>
    <s v="Precio Estadar"/>
    <s v="Apartamento"/>
    <s v="Alquiler"/>
    <d v="2023-12-10T00:00:00"/>
    <x v="41"/>
    <s v="https://www.properati.com.pe/detalle/14032-32-411c-bbe3883626fd-7e742256-8f3f-4f63"/>
  </r>
  <r>
    <s v="Apartamento en alquiler en Ur. Confraternidad"/>
    <s v="Ur. Confraternidad"/>
    <x v="2"/>
    <s v="Lima"/>
    <x v="0"/>
    <n v="1850"/>
    <n v="185"/>
    <x v="2"/>
    <n v="1"/>
    <x v="1"/>
    <s v="No"/>
    <n v="47"/>
    <x v="7"/>
    <s v="Economico"/>
    <s v="Precio Estadar"/>
    <s v="Apartamento"/>
    <s v="Alquiler"/>
    <d v="2023-10-22T00:00:00"/>
    <x v="252"/>
    <s v="https://www.properati.com.pe/detalle/14032-32-b834-7ba81460b0a6-68b1e781-bd64-4cab"/>
  </r>
  <r>
    <s v="Apartamento en alquiler en Uv Del Rimac"/>
    <s v="Uv Del Rimac"/>
    <x v="6"/>
    <s v="Lima"/>
    <x v="0"/>
    <n v="1200"/>
    <n v="120"/>
    <x v="0"/>
    <n v="1"/>
    <x v="0"/>
    <s v="Sí"/>
    <n v="55"/>
    <x v="17"/>
    <s v="Economico"/>
    <s v="Precio Estadar"/>
    <s v="Apartamento"/>
    <s v="Alquiler"/>
    <d v="2023-02-15T00:00:00"/>
    <x v="160"/>
    <s v="https://www.properati.com.pe/detalle/14032-32-2614-d2ab896c59dc-efc133b3-9220-474c"/>
  </r>
  <r>
    <s v="Apartamento en alquiler en Ur. Confraternidad"/>
    <s v="Ur. Confraternidad"/>
    <x v="2"/>
    <s v="Lima"/>
    <x v="0"/>
    <n v="2035"/>
    <n v="203.5"/>
    <x v="2"/>
    <n v="1"/>
    <x v="0"/>
    <s v="No"/>
    <n v="48"/>
    <x v="13"/>
    <s v="Economico"/>
    <s v="Precio Estadar"/>
    <s v="Apartamento"/>
    <s v="Alquiler"/>
    <d v="2024-04-04T00:00:00"/>
    <x v="252"/>
    <s v="https://www.properati.com.pe/detalle/14032-32-b956-ebb6494af1bd-191cc5c5-9dc7-40df"/>
  </r>
  <r>
    <s v="Apartamento en alquiler en Ur. Balta"/>
    <s v="Ur. Balta"/>
    <x v="0"/>
    <s v="Lima"/>
    <x v="0"/>
    <n v="5180"/>
    <n v="518"/>
    <x v="0"/>
    <n v="2"/>
    <x v="1"/>
    <s v="Sí"/>
    <n v="115"/>
    <x v="7"/>
    <s v="Caro"/>
    <s v="Precio Estadar"/>
    <s v="Apartamento"/>
    <s v="Alquiler"/>
    <d v="2023-02-04T00:00:00"/>
    <x v="97"/>
    <s v="https://www.properati.com.pe/detalle/14032-32-c334-145749678b62-1e08d7f9-bcd6-4d96"/>
  </r>
  <r>
    <s v="Casa en alquiler en Ur. Collique"/>
    <s v="Ur. Collique"/>
    <x v="9"/>
    <s v="Lima"/>
    <x v="0"/>
    <n v="3700"/>
    <n v="370"/>
    <x v="8"/>
    <n v="3"/>
    <x v="0"/>
    <s v="No"/>
    <n v="54"/>
    <x v="6"/>
    <s v="Caro"/>
    <s v="Precio Estadar"/>
    <s v="Casa"/>
    <s v="Alquiler"/>
    <d v="2023-05-02T00:00:00"/>
    <x v="63"/>
    <s v="https://www.properati.com.pe/detalle/14032-32-84ab-df5a350c0f4c-d8047e00-ac58-4db3"/>
  </r>
  <r>
    <s v="Casa en alquiler en Los Manzanos"/>
    <s v="Los Manzanos"/>
    <x v="5"/>
    <s v="Lima"/>
    <x v="0"/>
    <n v="66600"/>
    <n v="6660"/>
    <x v="12"/>
    <n v="4"/>
    <x v="1"/>
    <s v="No"/>
    <n v="1298"/>
    <x v="38"/>
    <s v="Caro"/>
    <s v="Precio Estadar"/>
    <s v="Casa"/>
    <s v="Alquiler"/>
    <d v="2024-07-06T00:00:00"/>
    <x v="189"/>
    <s v="https://www.properati.com.pe/detalle/14032-32-97de-b5155ed05b01-e8cedbf3-a4dd-31e8"/>
  </r>
  <r>
    <s v="Apartamento en alquiler en Urb Confraternidad"/>
    <s v="Urb Confraternidad"/>
    <x v="5"/>
    <s v="Lima"/>
    <x v="0"/>
    <n v="6660"/>
    <n v="666"/>
    <x v="0"/>
    <n v="2"/>
    <x v="1"/>
    <s v="Sí"/>
    <n v="165"/>
    <x v="7"/>
    <s v="Caro"/>
    <s v="Precio Estadar"/>
    <s v="Apartamento"/>
    <s v="Alquiler"/>
    <d v="2024-07-11T00:00:00"/>
    <x v="189"/>
    <s v="https://www.properati.com.pe/detalle/14032-32-3b71-97e0b0dbc454-c315f12b-8a46-34c7"/>
  </r>
  <r>
    <s v="Apartamento en alquiler en Surquillo"/>
    <s v="Surquillo"/>
    <x v="33"/>
    <s v="Lima"/>
    <x v="0"/>
    <n v="5180"/>
    <n v="518"/>
    <x v="1"/>
    <n v="2"/>
    <x v="1"/>
    <s v="Sí"/>
    <n v="140"/>
    <x v="20"/>
    <s v="Caro"/>
    <s v="Precio Estadar"/>
    <s v="Apartamento"/>
    <s v="Alquiler"/>
    <d v="2024-03-20T00:00:00"/>
    <x v="189"/>
    <s v="https://www.properati.com.pe/detalle/14032-32-4a4b-8fef0b8b8388-bbf93495-84ed-3835"/>
  </r>
  <r>
    <s v="Apartamento en alquiler en Lo. Huertos Del Naranjal"/>
    <s v="Lo. Huertos Del Naranjal"/>
    <x v="28"/>
    <s v="Lima"/>
    <x v="0"/>
    <n v="1000"/>
    <n v="100"/>
    <x v="0"/>
    <n v="1"/>
    <x v="1"/>
    <s v="No"/>
    <n v="65"/>
    <x v="6"/>
    <s v="Economico"/>
    <s v="Precio Estadar"/>
    <s v="Apartamento"/>
    <s v="Alquiler"/>
    <d v="2023-04-10T00:00:00"/>
    <x v="10"/>
    <s v="https://www.properati.com.pe/detalle/14032-32-f0a3-85b5011b425a-a9d1172c-ae32-40ac"/>
  </r>
  <r>
    <s v="Apartamento en alquiler en Orrantia del Mar"/>
    <s v="Orrantia del Mar"/>
    <x v="41"/>
    <s v="Lima"/>
    <x v="0"/>
    <n v="17760"/>
    <n v="1776"/>
    <x v="1"/>
    <n v="3"/>
    <x v="0"/>
    <s v="Sí"/>
    <n v="410"/>
    <x v="18"/>
    <s v="Caro"/>
    <s v="Precio Estadar"/>
    <s v="Apartamento"/>
    <s v="Alquiler"/>
    <d v="2023-04-23T00:00:00"/>
    <x v="189"/>
    <s v="https://www.properati.com.pe/detalle/14032-32-4556-720d9237a0ef-a3340962-ae52-3e86"/>
  </r>
  <r>
    <s v="Casa en alquiler en Sector 3"/>
    <s v="Sector 3"/>
    <x v="5"/>
    <s v="Lima"/>
    <x v="0"/>
    <n v="29600"/>
    <n v="2960"/>
    <x v="3"/>
    <n v="3"/>
    <x v="0"/>
    <s v="No"/>
    <n v="890"/>
    <x v="6"/>
    <s v="Caro"/>
    <s v="Precio Estadar"/>
    <s v="Casa"/>
    <s v="Alquiler"/>
    <d v="2024-02-17T00:00:00"/>
    <x v="189"/>
    <s v="https://www.properati.com.pe/detalle/14032-32-dd23-b83b5b9d111f-4329d4ed-bcb9-3155"/>
  </r>
  <r>
    <s v="Apartamento en alquiler en Ur. Santa Cruz"/>
    <s v="Ur. Santa Cruz"/>
    <x v="0"/>
    <s v="Lima"/>
    <x v="0"/>
    <n v="2960"/>
    <n v="296"/>
    <x v="2"/>
    <n v="1"/>
    <x v="0"/>
    <s v="No"/>
    <n v="58"/>
    <x v="10"/>
    <s v="Caro"/>
    <s v="Precio Estadar"/>
    <s v="Apartamento"/>
    <s v="Alquiler"/>
    <d v="2023-09-15T00:00:00"/>
    <x v="253"/>
    <s v="https://www.properati.com.pe/detalle/14032-32-5e27-11fd7c388e5d-127af30f-99c6-4cf5"/>
  </r>
  <r>
    <s v="Apartamento en alquiler en Aurora"/>
    <s v="Aurora"/>
    <x v="5"/>
    <s v="Lima"/>
    <x v="0"/>
    <n v="13690"/>
    <n v="1369"/>
    <x v="4"/>
    <n v="4"/>
    <x v="0"/>
    <s v="Sí"/>
    <n v="330"/>
    <x v="15"/>
    <s v="Caro"/>
    <s v="Precio Estadar"/>
    <s v="Apartamento"/>
    <s v="Alquiler"/>
    <d v="2024-05-03T00:00:00"/>
    <x v="17"/>
    <s v="https://www.properati.com.pe/detalle/14032-32-a9b2-a0ad50c0b380-1022e841-9cd7-48e4"/>
  </r>
  <r>
    <s v="Apartamento en alquiler en Chacarilla-Santa Cruz"/>
    <s v="Chacarilla-Santa Cruz"/>
    <x v="5"/>
    <s v="Lima"/>
    <x v="0"/>
    <n v="3700"/>
    <n v="370"/>
    <x v="0"/>
    <n v="1"/>
    <x v="0"/>
    <s v="No"/>
    <n v="70"/>
    <x v="18"/>
    <s v="Caro"/>
    <s v="Precio Estadar"/>
    <s v="Apartamento"/>
    <s v="Alquiler"/>
    <d v="2023-11-19T00:00:00"/>
    <x v="17"/>
    <s v="https://www.properati.com.pe/detalle/14032-32-95da-16df08c7b791-2eab4145-bc3a-4a2a"/>
  </r>
  <r>
    <s v="Apartamento en alquiler en Ur. Balta"/>
    <s v="Ur. Balta"/>
    <x v="0"/>
    <s v="Lima"/>
    <x v="0"/>
    <n v="3663"/>
    <n v="366.3"/>
    <x v="0"/>
    <n v="2"/>
    <x v="1"/>
    <s v="No"/>
    <n v="110"/>
    <x v="0"/>
    <s v="Caro"/>
    <s v="Precio Estadar"/>
    <s v="Apartamento"/>
    <s v="Alquiler"/>
    <d v="2024-06-14T00:00:00"/>
    <x v="52"/>
    <s v="https://www.properati.com.pe/detalle/14032-32-767c-a214d6e80fe4-1567cfe9-984f-4f9c"/>
  </r>
  <r>
    <s v="Apartamento en alquiler en Orrantia del Mar"/>
    <s v="Orrantia del Mar"/>
    <x v="41"/>
    <s v="Lima"/>
    <x v="0"/>
    <n v="18500"/>
    <n v="1850"/>
    <x v="4"/>
    <n v="4"/>
    <x v="0"/>
    <s v="Sí"/>
    <n v="532"/>
    <x v="17"/>
    <s v="Caro"/>
    <s v="Precio Estadar"/>
    <s v="Apartamento"/>
    <s v="Alquiler"/>
    <d v="2023-03-27T00:00:00"/>
    <x v="189"/>
    <s v="https://www.properati.com.pe/detalle/14032-32-33d9-3f71c63b0549-4eb9a452-9e39-3521"/>
  </r>
  <r>
    <s v="Casa en alquiler en Ah. Por La Union"/>
    <s v="Ah. Por La Union"/>
    <x v="42"/>
    <s v="Lima"/>
    <x v="0"/>
    <n v="3300"/>
    <n v="330"/>
    <x v="0"/>
    <n v="3"/>
    <x v="0"/>
    <s v="Sí"/>
    <n v="278"/>
    <x v="27"/>
    <s v="Caro"/>
    <s v="Precio Estadar"/>
    <s v="Casa"/>
    <s v="Alquiler"/>
    <d v="2023-04-22T00:00:00"/>
    <x v="42"/>
    <s v="https://www.properati.com.pe/detalle/14032-32-fa4e-6572429bc4e0-f8d94993-b9c4-4fba"/>
  </r>
  <r>
    <s v="Apartamento en alquiler en Ur. Orrantia Del Mar"/>
    <s v="Ur. Orrantia Del Mar"/>
    <x v="7"/>
    <s v="Lima"/>
    <x v="0"/>
    <n v="4070"/>
    <n v="407"/>
    <x v="1"/>
    <n v="2"/>
    <x v="1"/>
    <s v="No"/>
    <n v="130"/>
    <x v="17"/>
    <s v="Caro"/>
    <s v="Precio Estadar"/>
    <s v="Apartamento"/>
    <s v="Alquiler"/>
    <d v="2024-05-20T00:00:00"/>
    <x v="52"/>
    <s v="https://www.properati.com.pe/detalle/14032-32-f0a7-f14e347a6b6a-efbff344-ad72-41a7"/>
  </r>
  <r>
    <s v="Apartamento en alquiler enMiraflores"/>
    <s v="Miraflores"/>
    <x v="5"/>
    <s v="Lima"/>
    <x v="0"/>
    <n v="4440"/>
    <n v="444"/>
    <x v="0"/>
    <n v="3"/>
    <x v="1"/>
    <s v="No"/>
    <n v="140"/>
    <x v="12"/>
    <s v="Caro"/>
    <s v="Precio Estadar"/>
    <s v="Apartamento"/>
    <s v="Alquiler"/>
    <d v="2023-05-10T00:00:00"/>
    <x v="124"/>
    <s v="https://www.properati.com.pe/detalle/14032-32-e07d-2ab1bf407f8f-6ec5878c-a759-4517"/>
  </r>
  <r>
    <s v="Apartamento en alquiler en Hu. Cercado DeMiraflores"/>
    <s v="Hu. Cercado DeMiraflores"/>
    <x v="0"/>
    <s v="Lima"/>
    <x v="0"/>
    <n v="2035"/>
    <n v="203.5"/>
    <x v="2"/>
    <n v="1"/>
    <x v="1"/>
    <s v="No"/>
    <n v="50"/>
    <x v="27"/>
    <s v="Economico"/>
    <s v="Precio Estadar"/>
    <s v="Apartamento"/>
    <s v="Alquiler"/>
    <d v="2023-01-25T00:00:00"/>
    <x v="254"/>
    <s v="https://www.properati.com.pe/detalle/14032-32-3bd8-96d63fb96430-4d4fff13-a681-4ef5"/>
  </r>
  <r>
    <s v="Apartamento en alquiler en Hu. Cercado DeMiraflores"/>
    <s v="Hu. Cercado DeMiraflores"/>
    <x v="0"/>
    <s v="Lima"/>
    <x v="0"/>
    <n v="14800"/>
    <n v="1480"/>
    <x v="1"/>
    <n v="2"/>
    <x v="0"/>
    <s v="Sí"/>
    <n v="310"/>
    <x v="8"/>
    <s v="Caro"/>
    <s v="Precio Estadar"/>
    <s v="Apartamento"/>
    <s v="Alquiler"/>
    <d v="2024-11-19T00:00:00"/>
    <x v="255"/>
    <s v="https://www.properati.com.pe/detalle/14032-32-cf1-913f75cd2bda-1be72353-b9cc-41e2"/>
  </r>
  <r>
    <s v="Apartamento en alquiler en Urb Residencial Valle Hermoso"/>
    <s v="Urb Residencial Valle Hermoso"/>
    <x v="5"/>
    <s v="Lima"/>
    <x v="0"/>
    <n v="3515"/>
    <n v="351.5"/>
    <x v="1"/>
    <n v="4"/>
    <x v="0"/>
    <s v="Sí"/>
    <n v="110"/>
    <x v="12"/>
    <s v="Caro"/>
    <s v="Precio Estadar"/>
    <s v="Apartamento"/>
    <s v="Alquiler"/>
    <d v="2024-11-09T00:00:00"/>
    <x v="256"/>
    <s v="https://www.properati.com.pe/detalle/14032-32-9e37-da7472df6eb9-b1f840db-a3cd-4d52"/>
  </r>
  <r>
    <s v="Apartamento en alquiler en Ur. Santa Rosa"/>
    <s v="Ur. Santa Rosa"/>
    <x v="7"/>
    <s v="Lima"/>
    <x v="0"/>
    <n v="9620"/>
    <n v="962"/>
    <x v="1"/>
    <n v="4"/>
    <x v="1"/>
    <s v="Sí"/>
    <n v="244"/>
    <x v="30"/>
    <s v="Caro"/>
    <s v="Precio Estadar"/>
    <s v="Apartamento"/>
    <s v="Alquiler"/>
    <d v="2023-04-10T00:00:00"/>
    <x v="72"/>
    <s v="https://www.properati.com.pe/detalle/14032-32-8038-8db6ab952c33-a858f17c-a07a-4b36"/>
  </r>
  <r>
    <s v="Apartamento en alquiler en Ur. Orrantia Del Mar"/>
    <s v="Ur. Orrantia Del Mar"/>
    <x v="7"/>
    <s v="Lima"/>
    <x v="0"/>
    <n v="3700"/>
    <n v="370"/>
    <x v="0"/>
    <n v="2"/>
    <x v="1"/>
    <s v="No"/>
    <n v="140"/>
    <x v="19"/>
    <s v="Caro"/>
    <s v="Precio Estadar"/>
    <s v="Apartamento"/>
    <s v="Alquiler"/>
    <d v="2024-02-08T00:00:00"/>
    <x v="51"/>
    <s v="https://www.properati.com.pe/detalle/14032-32-586c-962f3028c518-cb67887a-998d-4641"/>
  </r>
  <r>
    <s v="Apartamento en alquiler en Ur. El Cortijo Etapa I"/>
    <s v="Ur. El Cortijo Etapa I"/>
    <x v="4"/>
    <s v="Lima"/>
    <x v="0"/>
    <n v="4255"/>
    <n v="425.5"/>
    <x v="1"/>
    <n v="3"/>
    <x v="0"/>
    <s v="No"/>
    <n v="145"/>
    <x v="19"/>
    <s v="Caro"/>
    <s v="Precio Estadar"/>
    <s v="Apartamento"/>
    <s v="Alquiler"/>
    <d v="2023-10-19T00:00:00"/>
    <x v="10"/>
    <s v="https://www.properati.com.pe/detalle/14032-32-2a12-919ff3f1a334-b6ecd00c-a9b1-4c4a"/>
  </r>
  <r>
    <s v="Apartamento en alquiler en Sector 3"/>
    <s v="Sector 3"/>
    <x v="5"/>
    <s v="Lima"/>
    <x v="0"/>
    <n v="2035"/>
    <n v="203.5"/>
    <x v="2"/>
    <n v="1"/>
    <x v="1"/>
    <s v="Sí"/>
    <n v="50"/>
    <x v="15"/>
    <s v="Economico"/>
    <s v="Precio Estadar"/>
    <s v="Apartamento"/>
    <s v="Alquiler"/>
    <d v="2024-06-17T00:00:00"/>
    <x v="257"/>
    <s v="https://www.properati.com.pe/detalle/14032-32-5009-89be9cb2209b-3fe53006-b20c-4807"/>
  </r>
  <r>
    <s v="Casa en alquiler enArequipa"/>
    <s v="Arequipa"/>
    <x v="1"/>
    <s v="Arequipa "/>
    <x v="3"/>
    <n v="9250"/>
    <n v="462.5"/>
    <x v="6"/>
    <n v="3"/>
    <x v="0"/>
    <s v="No"/>
    <n v="480"/>
    <x v="10"/>
    <s v="Caro"/>
    <s v="Precio Estadar"/>
    <s v="Casa"/>
    <s v="Alquiler"/>
    <d v="2024-05-14T00:00:00"/>
    <x v="249"/>
    <s v="https://www.properati.com.pe/detalle/14032-32-80b1-a72b75b73954-7cf677c9-886d-4b0a"/>
  </r>
  <r>
    <s v="Apartamento en alquiler en Ur. Risso"/>
    <s v="Ur. Risso"/>
    <x v="3"/>
    <s v="Lima"/>
    <x v="0"/>
    <n v="2500"/>
    <n v="250"/>
    <x v="0"/>
    <n v="2"/>
    <x v="0"/>
    <s v="Sí"/>
    <n v="65"/>
    <x v="8"/>
    <s v="Economico"/>
    <s v="Precio Estadar"/>
    <s v="Apartamento"/>
    <s v="Alquiler"/>
    <d v="2023-02-07T00:00:00"/>
    <x v="50"/>
    <s v="https://www.properati.com.pe/detalle/14032-32-e8ca-fe09d7d3860-57443d7-b22e-4918"/>
  </r>
  <r>
    <s v="Apartamento en alquiler en Res el Pinar"/>
    <s v="Res el Pinar"/>
    <x v="5"/>
    <s v="Lima"/>
    <x v="0"/>
    <n v="87"/>
    <n v="8.7000000000000011"/>
    <x v="0"/>
    <n v="1"/>
    <x v="0"/>
    <s v="No"/>
    <n v="79"/>
    <x v="27"/>
    <s v="Economico"/>
    <s v="Precio Estadar"/>
    <s v="Apartamento"/>
    <s v="Alquiler"/>
    <d v="2023-11-16T00:00:00"/>
    <x v="152"/>
    <s v="https://www.properati.com.pe/detalle/14032-32-e99-5c20ca15a8a7-95de9a0f-9d91-4b74"/>
  </r>
  <r>
    <s v="Apartamento en alquiler en Urb las Lomas de Monterrico"/>
    <s v="Urb las Lomas de Monterrico"/>
    <x v="5"/>
    <s v="Lima"/>
    <x v="0"/>
    <n v="3515"/>
    <n v="351.5"/>
    <x v="1"/>
    <n v="3"/>
    <x v="1"/>
    <s v="No"/>
    <n v="168"/>
    <x v="30"/>
    <s v="Caro"/>
    <s v="Precio Estadar"/>
    <s v="Apartamento"/>
    <s v="Alquiler"/>
    <d v="2023-08-25T00:00:00"/>
    <x v="16"/>
    <s v="https://www.properati.com.pe/detalle/14032-32-6e66-71a4ad924980-2c63f5f3-97d7-49d0"/>
  </r>
  <r>
    <s v="Apartamento en alquiler en Ur. San Eugenio"/>
    <s v="Ur. San Eugenio"/>
    <x v="3"/>
    <s v="Lima"/>
    <x v="0"/>
    <n v="2500"/>
    <n v="250"/>
    <x v="0"/>
    <n v="2"/>
    <x v="0"/>
    <s v="Sí"/>
    <n v="65"/>
    <x v="15"/>
    <s v="Economico"/>
    <s v="Precio Estadar"/>
    <s v="Apartamento"/>
    <s v="Alquiler"/>
    <d v="2023-02-13T00:00:00"/>
    <x v="33"/>
    <s v="https://www.properati.com.pe/detalle/14032-32-2cb-d7dd52313207-dfdacf61-8a16-4ddc"/>
  </r>
  <r>
    <s v="Apartamento en alquiler en La Calera De La Merced"/>
    <s v="La Calera De La Merced"/>
    <x v="5"/>
    <s v="Lima"/>
    <x v="0"/>
    <n v="1950"/>
    <n v="195"/>
    <x v="2"/>
    <n v="1"/>
    <x v="0"/>
    <s v="No"/>
    <n v="45"/>
    <x v="8"/>
    <s v="Economico"/>
    <s v="Precio Estadar"/>
    <s v="Apartamento"/>
    <s v="Alquiler"/>
    <d v="2024-02-27T00:00:00"/>
    <x v="178"/>
    <s v="https://www.properati.com.pe/detalle/14032-32-8e9e-54bae35cafb0-b9e9fef-b067-41d1"/>
  </r>
  <r>
    <s v="Casa en alquiler en Bellavista"/>
    <s v="Bellavista"/>
    <x v="20"/>
    <s v=" Callao "/>
    <x v="4"/>
    <n v="4810"/>
    <n v="240.5"/>
    <x v="4"/>
    <n v="2"/>
    <x v="0"/>
    <s v="Sí"/>
    <n v="200"/>
    <x v="27"/>
    <s v="Caro"/>
    <s v="Precio Estadar"/>
    <s v="Casa"/>
    <s v="Alquiler"/>
    <d v="2023-10-18T00:00:00"/>
    <x v="258"/>
    <s v="https://www.properati.com.pe/detalle/14032-32-f12e-8479e8826f22-ea075fce-8eba-4c61"/>
  </r>
  <r>
    <s v="Apartamento en alquiler en Ur. Los Pinares"/>
    <s v="Ur. Los Pinares"/>
    <x v="29"/>
    <s v="Lima"/>
    <x v="0"/>
    <n v="9"/>
    <n v="0.9"/>
    <x v="0"/>
    <n v="1"/>
    <x v="0"/>
    <s v="No"/>
    <n v="80"/>
    <x v="6"/>
    <s v="Economico"/>
    <s v="Precio Estadar"/>
    <s v="Apartamento"/>
    <s v="Alquiler"/>
    <d v="2023-12-27T00:00:00"/>
    <x v="124"/>
    <s v="https://www.properati.com.pe/detalle/14032-32-f4bb-105f7751e212-5dad729d-b73a-4e03"/>
  </r>
  <r>
    <s v="Apartamento en alquiler en La Molina"/>
    <s v="La Molina"/>
    <x v="5"/>
    <s v="Lima"/>
    <x v="0"/>
    <n v="4440"/>
    <n v="444"/>
    <x v="1"/>
    <n v="2"/>
    <x v="0"/>
    <s v="No"/>
    <n v="140"/>
    <x v="30"/>
    <s v="Caro"/>
    <s v="Precio Estadar"/>
    <s v="Apartamento"/>
    <s v="Alquiler"/>
    <d v="2024-03-25T00:00:00"/>
    <x v="21"/>
    <s v="https://www.properati.com.pe/detalle/14032-32-837e-47b80445ae29-69139c5-8db3-40a5"/>
  </r>
  <r>
    <s v="Apartamento en alquiler en Ur. San Fernando"/>
    <s v="Ur. San Fernando"/>
    <x v="17"/>
    <s v=" Callao"/>
    <x v="2"/>
    <n v="2600"/>
    <n v="130"/>
    <x v="1"/>
    <n v="2"/>
    <x v="0"/>
    <s v="Sí"/>
    <n v="120"/>
    <x v="38"/>
    <s v="Caro"/>
    <s v="Precio Estadar"/>
    <s v="Apartamento"/>
    <s v="Alquiler"/>
    <d v="2023-06-15T00:00:00"/>
    <x v="50"/>
    <s v="https://www.properati.com.pe/detalle/14032-32-1319-f7f118cecb16-98a1ba38-a301-4b9f"/>
  </r>
  <r>
    <s v="Apartamento en alquiler en Ate"/>
    <s v="Ate"/>
    <x v="5"/>
    <s v="Lima"/>
    <x v="0"/>
    <n v="1800"/>
    <n v="180"/>
    <x v="1"/>
    <n v="2"/>
    <x v="1"/>
    <s v="Sí"/>
    <n v="110"/>
    <x v="0"/>
    <s v="Economico"/>
    <s v="Precio Estadar"/>
    <s v="Apartamento"/>
    <s v="Alquiler"/>
    <d v="2024-02-27T00:00:00"/>
    <x v="41"/>
    <s v="https://www.properati.com.pe/detalle/14032-32-b5d1-d75e6823b173-36e301c5-a1b9-414d"/>
  </r>
  <r>
    <s v="Apartamento en alquiler en Neptuno"/>
    <s v="Neptuno"/>
    <x v="5"/>
    <s v="Lima"/>
    <x v="0"/>
    <n v="2850"/>
    <n v="285"/>
    <x v="1"/>
    <n v="2"/>
    <x v="0"/>
    <s v="No"/>
    <n v="115"/>
    <x v="13"/>
    <s v="Caro"/>
    <s v="Precio Estadar"/>
    <s v="Apartamento"/>
    <s v="Alquiler"/>
    <d v="2023-06-25T00:00:00"/>
    <x v="86"/>
    <s v="https://www.properati.com.pe/detalle/14032-32-f0e2-4ad86d50d89e-a825e22-b0a6-4121"/>
  </r>
  <r>
    <s v="Apartamento en alquiler en Ur. Paulo Vi"/>
    <s v="Ur. Paulo Vi"/>
    <x v="16"/>
    <s v="Lima"/>
    <x v="0"/>
    <n v="1800"/>
    <n v="180"/>
    <x v="0"/>
    <n v="1"/>
    <x v="0"/>
    <s v="No"/>
    <n v="90"/>
    <x v="13"/>
    <s v="Economico"/>
    <s v="Precio Estadar"/>
    <s v="Apartamento"/>
    <s v="Alquiler"/>
    <d v="2023-02-06T00:00:00"/>
    <x v="124"/>
    <s v="https://www.properati.com.pe/detalle/14032-32-e95c-11ca87ff99f4-b76d348d-aa60-40e3"/>
  </r>
  <r>
    <s v="Casa en alquiler en Ur. Balta"/>
    <s v="Ur. Balta"/>
    <x v="0"/>
    <s v="Lima"/>
    <x v="0"/>
    <n v="6660"/>
    <n v="666"/>
    <x v="1"/>
    <n v="2"/>
    <x v="1"/>
    <s v="No"/>
    <n v="230"/>
    <x v="6"/>
    <s v="Caro"/>
    <s v="Precio Estadar"/>
    <s v="Casa"/>
    <s v="Alquiler"/>
    <d v="2024-08-11T00:00:00"/>
    <x v="109"/>
    <s v="https://www.properati.com.pe/detalle/14032-32-49a2-c32420c17a80-df3d227c-b8ed-42ec"/>
  </r>
  <r>
    <s v="Casa en alquiler en Cieneguilla"/>
    <s v="Cieneguilla"/>
    <x v="5"/>
    <s v="Lima"/>
    <x v="0"/>
    <n v="4000"/>
    <n v="400"/>
    <x v="12"/>
    <n v="6"/>
    <x v="0"/>
    <s v="No"/>
    <n v="1000"/>
    <x v="8"/>
    <s v="Caro"/>
    <s v="Precio Estadar"/>
    <s v="Casa"/>
    <s v="Alquiler"/>
    <d v="2023-10-01T00:00:00"/>
    <x v="150"/>
    <s v="https://www.properati.com.pe/detalle/14032-32-a5a9-79a85dfa7b50-9528940-b031-120d"/>
  </r>
  <r>
    <s v="Apartamento en alquiler en Ur. Armendariz"/>
    <s v="Ur. Armendariz"/>
    <x v="0"/>
    <s v="Lima"/>
    <x v="0"/>
    <n v="9620"/>
    <n v="962"/>
    <x v="4"/>
    <n v="5"/>
    <x v="1"/>
    <s v="No"/>
    <n v="313"/>
    <x v="17"/>
    <s v="Caro"/>
    <s v="Precio Estadar"/>
    <s v="Apartamento"/>
    <s v="Alquiler"/>
    <d v="2024-08-24T00:00:00"/>
    <x v="23"/>
    <s v="https://www.properati.com.pe/detalle/14032-32-c8f0-b351c9b5dcdb-11b4ddbd-945e-4fbe"/>
  </r>
  <r>
    <s v="Apartamento en alquiler en Urb las Gardenias Etapa 1"/>
    <s v="Urb las Gardenias Etapa 1"/>
    <x v="5"/>
    <s v="Lima"/>
    <x v="0"/>
    <n v="1200"/>
    <n v="120"/>
    <x v="2"/>
    <n v="1"/>
    <x v="0"/>
    <s v="Sí"/>
    <n v="30"/>
    <x v="12"/>
    <s v="Economico"/>
    <s v="Precio Estadar"/>
    <s v="Apartamento"/>
    <s v="Alquiler"/>
    <d v="2023-11-23T00:00:00"/>
    <x v="31"/>
    <s v="https://www.properati.com.pe/detalle/14032-32-8a4a-aea4db3fca4e-7269c3d2-b989-4b19"/>
  </r>
  <r>
    <s v="Casa en alquiler en Ur. Las Magnolias"/>
    <s v="Ur. Las Magnolias"/>
    <x v="11"/>
    <s v="Lima"/>
    <x v="0"/>
    <n v="9250"/>
    <n v="925"/>
    <x v="9"/>
    <n v="7"/>
    <x v="1"/>
    <s v="No"/>
    <n v="416"/>
    <x v="7"/>
    <s v="Caro"/>
    <s v="Precio Estadar"/>
    <s v="Casa"/>
    <s v="Alquiler"/>
    <d v="2024-10-09T00:00:00"/>
    <x v="259"/>
    <s v="https://www.properati.com.pe/detalle/14032-32-6af0-e506e174bb10-d1c7a548-b416-39f6"/>
  </r>
  <r>
    <s v="Apartamento en alquiler en Ur. Los Chasquis Iii Etapa"/>
    <s v="Ur. Los Chasquis Iii Etapa"/>
    <x v="9"/>
    <s v="Lima"/>
    <x v="0"/>
    <n v="1600"/>
    <n v="160"/>
    <x v="1"/>
    <n v="3"/>
    <x v="1"/>
    <s v="Sí"/>
    <n v="84"/>
    <x v="6"/>
    <s v="Economico"/>
    <s v="Precio Estadar"/>
    <s v="Apartamento"/>
    <s v="Alquiler"/>
    <d v="2024-09-03T00:00:00"/>
    <x v="222"/>
    <s v="https://www.properati.com.pe/detalle/14032-32-86f4-edb85fcbc9e9-6b353050-8323-120d"/>
  </r>
  <r>
    <s v="Apartamento en alquiler en San Miguel deMiraflores"/>
    <s v="San Miguel deMiraflores"/>
    <x v="38"/>
    <s v="Lima"/>
    <x v="0"/>
    <n v="6290"/>
    <n v="629"/>
    <x v="1"/>
    <n v="4"/>
    <x v="0"/>
    <s v="No"/>
    <n v="240"/>
    <x v="19"/>
    <s v="Caro"/>
    <s v="Precio Estadar"/>
    <s v="Apartamento"/>
    <s v="Alquiler"/>
    <d v="2023-11-13T00:00:00"/>
    <x v="151"/>
    <s v="https://www.properati.com.pe/detalle/14032-32-a27b-41823ed29199-8f1a2553-97c8-4c99"/>
  </r>
  <r>
    <s v="Apartamento en alquiler en Ur. Corpac"/>
    <s v="Ur. Corpac"/>
    <x v="7"/>
    <s v="Lima"/>
    <x v="0"/>
    <n v="5180"/>
    <n v="518"/>
    <x v="0"/>
    <n v="2"/>
    <x v="0"/>
    <s v="No"/>
    <n v="179"/>
    <x v="38"/>
    <s v="Caro"/>
    <s v="Precio Estadar"/>
    <s v="Apartamento"/>
    <s v="Alquiler"/>
    <d v="2023-03-03T00:00:00"/>
    <x v="67"/>
    <s v="https://www.properati.com.pe/detalle/14032-32-87fc-3ace2e82e289-cbeef671-bc0b-3672"/>
  </r>
  <r>
    <s v="Apartamento en alquiler en Ur. Leuro"/>
    <s v="Ur. Leuro"/>
    <x v="0"/>
    <s v="Lima"/>
    <x v="0"/>
    <n v="3145"/>
    <n v="314.5"/>
    <x v="1"/>
    <n v="3"/>
    <x v="0"/>
    <s v="Sí"/>
    <n v="110"/>
    <x v="7"/>
    <s v="Caro"/>
    <s v="Precio Estadar"/>
    <s v="Apartamento"/>
    <s v="Alquiler"/>
    <d v="2024-08-06T00:00:00"/>
    <x v="129"/>
    <s v="https://www.properati.com.pe/detalle/14032-32-63a0-a84513f30005-a82056c6-bd92-4b2c"/>
  </r>
  <r>
    <s v="Apartamento en alquiler en Ur. Chama"/>
    <s v="Ur. Chama"/>
    <x v="4"/>
    <s v="Lima"/>
    <x v="0"/>
    <n v="2200"/>
    <n v="220"/>
    <x v="0"/>
    <n v="1"/>
    <x v="0"/>
    <s v="No"/>
    <n v="95"/>
    <x v="7"/>
    <s v="Economico"/>
    <s v="Precio Estadar"/>
    <s v="Apartamento"/>
    <s v="Alquiler"/>
    <d v="2023-04-26T00:00:00"/>
    <x v="178"/>
    <s v="https://www.properati.com.pe/detalle/14032-32-514b-71ebd02655f6-2f180b4c-a7c8-4eb1"/>
  </r>
  <r>
    <s v="Apartamento en alquiler en Fundo Conde San Isidro"/>
    <s v="Fundo Conde San Isidro"/>
    <x v="5"/>
    <s v="Lima"/>
    <x v="0"/>
    <n v="7400"/>
    <n v="740"/>
    <x v="1"/>
    <n v="3"/>
    <x v="0"/>
    <s v="Sí"/>
    <n v="200"/>
    <x v="16"/>
    <s v="Caro"/>
    <s v="Precio Estadar"/>
    <s v="Apartamento"/>
    <s v="Alquiler"/>
    <d v="2024-04-13T00:00:00"/>
    <x v="200"/>
    <s v="https://www.properati.com.pe/detalle/14032-32-be05-5833134dab6f-28ae16e7-bbcb-4e8f"/>
  </r>
  <r>
    <s v="Apartamento en alquiler en Country Club"/>
    <s v="Country Club"/>
    <x v="5"/>
    <s v="Lima"/>
    <x v="0"/>
    <n v="4995"/>
    <n v="499.5"/>
    <x v="0"/>
    <n v="2"/>
    <x v="1"/>
    <s v="No"/>
    <n v="130"/>
    <x v="0"/>
    <s v="Caro"/>
    <s v="Precio Estadar"/>
    <s v="Apartamento"/>
    <s v="Alquiler"/>
    <d v="2023-07-20T00:00:00"/>
    <x v="17"/>
    <s v="https://www.properati.com.pe/detalle/14032-32-8ee3-bba1de16b826-fe33ba3-899c-4bce"/>
  </r>
  <r>
    <s v="Apartamento en alquiler enLima"/>
    <s v="Lima"/>
    <x v="5"/>
    <s v="Lima"/>
    <x v="0"/>
    <n v="2405"/>
    <n v="240.5"/>
    <x v="0"/>
    <n v="2"/>
    <x v="1"/>
    <s v="Sí"/>
    <n v="70"/>
    <x v="19"/>
    <s v="Economico"/>
    <s v="Precio Estadar"/>
    <s v="Apartamento"/>
    <s v="Alquiler"/>
    <d v="2024-08-29T00:00:00"/>
    <x v="260"/>
    <s v="https://www.properati.com.pe/detalle/14032-32-3b8d-7fa23aa21fea-b31a4094-a919-4348"/>
  </r>
  <r>
    <s v="Apartamento en alquiler en A.h la Planicie"/>
    <s v="A.h la Planicie"/>
    <x v="5"/>
    <s v="Lima"/>
    <x v="0"/>
    <n v="9250"/>
    <n v="925"/>
    <x v="1"/>
    <n v="3"/>
    <x v="0"/>
    <s v="No"/>
    <n v="106"/>
    <x v="12"/>
    <s v="Caro"/>
    <s v="Precio Estadar"/>
    <s v="Apartamento"/>
    <s v="Alquiler"/>
    <d v="2024-04-05T00:00:00"/>
    <x v="261"/>
    <s v="https://www.properati.com.pe/detalle/14032-32-c1e2-f48dbc1bf604-e28d211-b899-48fa"/>
  </r>
  <r>
    <s v="Apartamento en alquiler en Arenales"/>
    <s v="Arenales"/>
    <x v="1"/>
    <s v="Arequipa "/>
    <x v="3"/>
    <n v="1600"/>
    <n v="80"/>
    <x v="2"/>
    <n v="1"/>
    <x v="0"/>
    <s v="No"/>
    <n v="38"/>
    <x v="0"/>
    <s v="Economico"/>
    <s v="Precio Estadar"/>
    <s v="Apartamento"/>
    <s v="Alquiler"/>
    <d v="2023-05-08T00:00:00"/>
    <x v="42"/>
    <s v="https://www.properati.com.pe/detalle/14032-32-48ea-f3d1b8e62200-5246e7c7-8581-4766"/>
  </r>
  <r>
    <s v="Casa en alquiler enMiraflores"/>
    <s v="Miraflores"/>
    <x v="1"/>
    <s v="Arequipa"/>
    <x v="1"/>
    <n v="6064.3"/>
    <n v="303.21500000000003"/>
    <x v="8"/>
    <n v="4"/>
    <x v="0"/>
    <s v="Sí"/>
    <n v="272"/>
    <x v="17"/>
    <s v="Caro"/>
    <s v="Precio Estadar"/>
    <s v="Casa"/>
    <s v="Alquiler"/>
    <d v="2024-06-13T00:00:00"/>
    <x v="227"/>
    <s v="https://www.properati.com.pe/detalle/14032-32-ad0f-5578fe85719e-f9c8b6b6-9b19-4fc2"/>
  </r>
  <r>
    <s v="Apartamento en alquiler en Ur. La Virreyna"/>
    <s v="Ur. La Virreyna"/>
    <x v="4"/>
    <s v="Lima"/>
    <x v="0"/>
    <n v="2300"/>
    <n v="230"/>
    <x v="0"/>
    <n v="3"/>
    <x v="1"/>
    <s v="No"/>
    <n v="110"/>
    <x v="6"/>
    <s v="Economico"/>
    <s v="Precio Estadar"/>
    <s v="Apartamento"/>
    <s v="Alquiler"/>
    <d v="2024-10-11T00:00:00"/>
    <x v="33"/>
    <s v="https://www.properati.com.pe/detalle/14032-32-3328-b6d4509e59c1-2a07ba79-8825-4346"/>
  </r>
  <r>
    <s v="Apartamento en alquiler en Ur. Armendariz"/>
    <s v="Ur. Armendariz"/>
    <x v="0"/>
    <s v="Lima"/>
    <x v="0"/>
    <n v="3700"/>
    <n v="370"/>
    <x v="12"/>
    <n v="2"/>
    <x v="0"/>
    <s v="No"/>
    <n v="120"/>
    <x v="6"/>
    <s v="Caro"/>
    <s v="Precio Estadar"/>
    <s v="Apartamento"/>
    <s v="Alquiler"/>
    <d v="2023-09-23T00:00:00"/>
    <x v="262"/>
    <s v="https://www.properati.com.pe/detalle/14032-32-5b61-6b5643cd1f61-cdc74c03-af8d-4b81"/>
  </r>
  <r>
    <s v="Apartamento en alquiler en Ur. Campo De Polo"/>
    <s v="Ur. Campo De Polo"/>
    <x v="13"/>
    <s v="Lima"/>
    <x v="0"/>
    <n v="3900"/>
    <n v="390"/>
    <x v="1"/>
    <n v="3"/>
    <x v="1"/>
    <s v="No"/>
    <n v="100"/>
    <x v="30"/>
    <s v="Caro"/>
    <s v="Precio Estadar"/>
    <s v="Apartamento"/>
    <s v="Alquiler"/>
    <d v="2024-04-22T00:00:00"/>
    <x v="100"/>
    <s v="https://www.properati.com.pe/detalle/14032-32-af2e-1d4f69ddb2cd-b3db4a2e-974d-4540"/>
  </r>
  <r>
    <s v="Casa en alquiler en Ur. Los Bungalows"/>
    <s v="Ur. Los Bungalows"/>
    <x v="31"/>
    <s v="Lima"/>
    <x v="0"/>
    <n v="7400"/>
    <n v="740"/>
    <x v="4"/>
    <n v="3"/>
    <x v="0"/>
    <s v="Sí"/>
    <n v="360"/>
    <x v="8"/>
    <s v="Caro"/>
    <s v="Precio Estadar"/>
    <s v="Casa"/>
    <s v="Alquiler"/>
    <d v="2023-12-09T00:00:00"/>
    <x v="120"/>
    <s v="https://www.properati.com.pe/detalle/14032-32-57da-39aaf6640713-ae27c9a5-b1a5-41cd"/>
  </r>
  <r>
    <s v="Apartamento en alquiler en Carabayllo"/>
    <s v="Carabayllo"/>
    <x v="5"/>
    <s v="Lima"/>
    <x v="0"/>
    <n v="88"/>
    <n v="8.8000000000000007"/>
    <x v="1"/>
    <n v="1"/>
    <x v="0"/>
    <s v="Sí"/>
    <n v="55"/>
    <x v="19"/>
    <s v="Economico"/>
    <s v="Precio Estadar"/>
    <s v="Apartamento"/>
    <s v="Alquiler"/>
    <d v="2023-12-30T00:00:00"/>
    <x v="33"/>
    <s v="https://www.properati.com.pe/detalle/14032-32-cd24-a8cf43a83f7c-a2baaacb-b1cd-427f"/>
  </r>
  <r>
    <s v="Apartamento en alquiler en Ur. Maranga Etapa V"/>
    <s v="Ur. Maranga Etapa V"/>
    <x v="16"/>
    <s v="Lima"/>
    <x v="0"/>
    <n v="2700"/>
    <n v="270"/>
    <x v="1"/>
    <n v="2"/>
    <x v="0"/>
    <s v="No"/>
    <n v="140"/>
    <x v="38"/>
    <s v="Caro"/>
    <s v="Precio Estadar"/>
    <s v="Apartamento"/>
    <s v="Alquiler"/>
    <d v="2023-02-23T00:00:00"/>
    <x v="150"/>
    <s v="https://www.properati.com.pe/detalle/14032-32-9d04-59507aea7342-2abc1860-8436-120d"/>
  </r>
  <r>
    <s v="Apartamento en alquiler en Surquillo"/>
    <s v="Surquillo"/>
    <x v="33"/>
    <s v="Lima"/>
    <x v="0"/>
    <n v="5683.2000000000007"/>
    <n v="568.32000000000005"/>
    <x v="4"/>
    <n v="4"/>
    <x v="0"/>
    <s v="Sí"/>
    <n v="180"/>
    <x v="0"/>
    <s v="Caro"/>
    <s v="Precio Estadar"/>
    <s v="Apartamento"/>
    <s v="Alquiler"/>
    <d v="2024-08-13T00:00:00"/>
    <x v="227"/>
    <s v="https://www.properati.com.pe/detalle/14032-32-e86d-d567db948f39-5844f515-8e8d-420d"/>
  </r>
  <r>
    <s v="Apartamento en alquiler en Hu. Cercado DeMiraflores"/>
    <s v="Hu. Cercado DeMiraflores"/>
    <x v="0"/>
    <s v="Lima"/>
    <x v="0"/>
    <n v="9250"/>
    <n v="925"/>
    <x v="1"/>
    <n v="3"/>
    <x v="1"/>
    <s v="Sí"/>
    <n v="100"/>
    <x v="38"/>
    <s v="Caro"/>
    <s v="Precio Estadar"/>
    <s v="Apartamento"/>
    <s v="Alquiler"/>
    <d v="2024-03-30T00:00:00"/>
    <x v="227"/>
    <s v="https://www.properati.com.pe/detalle/14032-32-dfda-e3c586049dfd-25a011bd-83ee-484a"/>
  </r>
  <r>
    <s v="Casa en alquiler en Ur. San Miguel"/>
    <s v="Ur. San Miguel"/>
    <x v="16"/>
    <s v="Lima"/>
    <x v="0"/>
    <n v="4400"/>
    <n v="440"/>
    <x v="4"/>
    <n v="3"/>
    <x v="0"/>
    <s v="Sí"/>
    <n v="160"/>
    <x v="0"/>
    <s v="Caro"/>
    <s v="Precio Estadar"/>
    <s v="Casa"/>
    <s v="Alquiler"/>
    <d v="2024-12-11T00:00:00"/>
    <x v="150"/>
    <s v="https://www.properati.com.pe/detalle/14032-32-8017-27092107870f-83e25030-8dc3-120d"/>
  </r>
  <r>
    <s v="Apartamento en alquiler enLima"/>
    <s v="Lima"/>
    <x v="5"/>
    <s v="Lima"/>
    <x v="0"/>
    <n v="1490"/>
    <n v="149"/>
    <x v="2"/>
    <n v="1"/>
    <x v="1"/>
    <s v="Sí"/>
    <n v="44"/>
    <x v="10"/>
    <s v="Economico"/>
    <s v="Precio Estadar"/>
    <s v="Apartamento"/>
    <s v="Alquiler"/>
    <d v="2024-08-13T00:00:00"/>
    <x v="263"/>
    <s v="https://www.properati.com.pe/detalle/14032-32-2c1e-b7f94df21cd8-cf17992b-8a5c-4192"/>
  </r>
  <r>
    <s v="Apartamento en alquiler en Surquillo"/>
    <s v="Surquillo"/>
    <x v="38"/>
    <s v="Lima"/>
    <x v="0"/>
    <n v="5020.9000000000005"/>
    <n v="502.09000000000009"/>
    <x v="1"/>
    <n v="4"/>
    <x v="1"/>
    <s v="Sí"/>
    <n v="105"/>
    <x v="13"/>
    <s v="Caro"/>
    <s v="Precio Estadar"/>
    <s v="Apartamento"/>
    <s v="Alquiler"/>
    <d v="2023-08-19T00:00:00"/>
    <x v="227"/>
    <s v="https://www.properati.com.pe/detalle/14032-32-4840-f3e580f8b69c-884bb670-9398-120d"/>
  </r>
  <r>
    <s v="Apartamento en alquiler en Hu. Cercado DeMiraflores"/>
    <s v="Hu. Cercado DeMiraflores"/>
    <x v="0"/>
    <s v="Lima"/>
    <x v="0"/>
    <n v="3769"/>
    <n v="376.90000000000003"/>
    <x v="0"/>
    <n v="2"/>
    <x v="0"/>
    <s v="No"/>
    <n v="65"/>
    <x v="8"/>
    <s v="Caro"/>
    <s v="Precio Estadar"/>
    <s v="Apartamento"/>
    <s v="Alquiler"/>
    <d v="2023-06-29T00:00:00"/>
    <x v="227"/>
    <s v="https://www.properati.com.pe/detalle/14032-32-a4e3-5870872bcd9a-446d95a2-a850-45db"/>
  </r>
  <r>
    <s v="Apartamento en alquiler en Ur. San Borja"/>
    <s v="Ur. San Borja"/>
    <x v="11"/>
    <s v="Lima"/>
    <x v="0"/>
    <n v="3400"/>
    <n v="340"/>
    <x v="1"/>
    <n v="3"/>
    <x v="0"/>
    <s v="No"/>
    <n v="91"/>
    <x v="0"/>
    <s v="Caro"/>
    <s v="Precio Estadar"/>
    <s v="Apartamento"/>
    <s v="Alquiler"/>
    <d v="2023-11-05T00:00:00"/>
    <x v="220"/>
    <s v="https://www.properati.com.pe/detalle/14032-32-662b-5b1103224919-d6de7530-c006-120d"/>
  </r>
  <r>
    <s v="Apartamento en alquiler en Urb San Borja"/>
    <s v="Urb San Borja"/>
    <x v="5"/>
    <s v="Lima"/>
    <x v="0"/>
    <n v="4440"/>
    <n v="444"/>
    <x v="1"/>
    <n v="1"/>
    <x v="1"/>
    <s v="Sí"/>
    <n v="64"/>
    <x v="30"/>
    <s v="Caro"/>
    <s v="Precio Estadar"/>
    <s v="Apartamento"/>
    <s v="Alquiler"/>
    <d v="2024-11-08T00:00:00"/>
    <x v="264"/>
    <s v="https://www.properati.com.pe/detalle/14032-32-2a5-79bd0eef8c81-726d276e-827d-37bd"/>
  </r>
  <r>
    <s v="Apartamento en alquiler en San Isidro"/>
    <s v="San Isidro"/>
    <x v="5"/>
    <s v="Lima"/>
    <x v="0"/>
    <n v="7400"/>
    <n v="740"/>
    <x v="1"/>
    <n v="3"/>
    <x v="1"/>
    <s v="No"/>
    <n v="200"/>
    <x v="27"/>
    <s v="Caro"/>
    <s v="Precio Estadar"/>
    <s v="Apartamento"/>
    <s v="Alquiler"/>
    <d v="2023-10-12T00:00:00"/>
    <x v="265"/>
    <s v="https://www.properati.com.pe/detalle/14032-32-e9a3-8fe88f748431-f91c00c4-80d4-4985"/>
  </r>
  <r>
    <s v="Apartamento en alquiler enMiraflores"/>
    <s v="Miraflores"/>
    <x v="5"/>
    <s v="Lima"/>
    <x v="0"/>
    <n v="3700"/>
    <n v="370"/>
    <x v="0"/>
    <n v="2"/>
    <x v="0"/>
    <s v="Sí"/>
    <n v="100"/>
    <x v="20"/>
    <s v="Caro"/>
    <s v="Precio Estadar"/>
    <s v="Apartamento"/>
    <s v="Alquiler"/>
    <d v="2024-05-12T00:00:00"/>
    <x v="266"/>
    <s v="https://www.properati.com.pe/detalle/14032-32-1748-7d12aa7efc6e-dc11783f-b600-4bdd"/>
  </r>
  <r>
    <s v="Apartamento en alquiler en Hu. Cercado DeMiraflores"/>
    <s v="Hu. Cercado DeMiraflores"/>
    <x v="0"/>
    <s v="Lima"/>
    <x v="0"/>
    <n v="4810"/>
    <n v="481"/>
    <x v="1"/>
    <n v="3"/>
    <x v="0"/>
    <s v="Sí"/>
    <n v="160"/>
    <x v="16"/>
    <s v="Caro"/>
    <s v="Precio Estadar"/>
    <s v="Apartamento"/>
    <s v="Alquiler"/>
    <d v="2023-06-01T00:00:00"/>
    <x v="51"/>
    <s v="https://www.properati.com.pe/detalle/14032-32-7e79-5650437ac62d-b0554d91-9218-4d23"/>
  </r>
  <r>
    <s v="Apartamento en alquiler en Urb Confraternidad"/>
    <s v="Urb Confraternidad"/>
    <x v="5"/>
    <s v="Lima"/>
    <x v="0"/>
    <n v="2220"/>
    <n v="222"/>
    <x v="2"/>
    <n v="1"/>
    <x v="0"/>
    <s v="No"/>
    <n v="42"/>
    <x v="18"/>
    <s v="Economico"/>
    <s v="Precio Estadar"/>
    <s v="Apartamento"/>
    <s v="Alquiler"/>
    <d v="2023-12-11T00:00:00"/>
    <x v="40"/>
    <s v="https://www.properati.com.pe/detalle/14032-32-f264-281a655c73f9-e87fc94a-a125-42c5"/>
  </r>
  <r>
    <s v="Casa en alquiler enLima"/>
    <s v="Lima"/>
    <x v="5"/>
    <s v="Lima"/>
    <x v="0"/>
    <n v="4810"/>
    <n v="481"/>
    <x v="1"/>
    <n v="4"/>
    <x v="1"/>
    <s v="No"/>
    <n v="114"/>
    <x v="8"/>
    <s v="Caro"/>
    <s v="Precio Estadar"/>
    <s v="Casa"/>
    <s v="Alquiler"/>
    <d v="2023-01-22T00:00:00"/>
    <x v="39"/>
    <s v="https://www.properati.com.pe/detalle/14032-32-6ca9-cb3dbfab8cbf-43532ceb-c000-45ba"/>
  </r>
  <r>
    <s v="Apartamento en alquiler en Fundo Conde San Isidro"/>
    <s v="Fundo Conde San Isidro"/>
    <x v="5"/>
    <s v="Lima"/>
    <x v="0"/>
    <n v="7400"/>
    <n v="740"/>
    <x v="1"/>
    <n v="2"/>
    <x v="1"/>
    <s v="No"/>
    <n v="200"/>
    <x v="20"/>
    <s v="Caro"/>
    <s v="Precio Estadar"/>
    <s v="Apartamento"/>
    <s v="Alquiler"/>
    <d v="2023-03-23T00:00:00"/>
    <x v="36"/>
    <s v="https://www.properati.com.pe/detalle/14032-32-243a-555b226273cd-94cc6629-8531-4e6a"/>
  </r>
  <r>
    <s v="Apartamento en alquiler en Ur. Risso"/>
    <s v="Ur. Risso"/>
    <x v="7"/>
    <s v="Lima"/>
    <x v="0"/>
    <n v="2995"/>
    <n v="299.5"/>
    <x v="2"/>
    <n v="2"/>
    <x v="0"/>
    <s v="No"/>
    <n v="65"/>
    <x v="8"/>
    <s v="Caro"/>
    <s v="Precio Estadar"/>
    <s v="Apartamento"/>
    <s v="Alquiler"/>
    <d v="2024-07-06T00:00:00"/>
    <x v="88"/>
    <s v="https://www.properati.com.pe/detalle/14032-32-5536-5ef3e309b62d-f47fb3db-b603-3dfd"/>
  </r>
  <r>
    <s v="Apartamento en alquiler en Ur. Lobaton"/>
    <s v="Ur. Lobaton"/>
    <x v="7"/>
    <s v="Lima"/>
    <x v="0"/>
    <n v="6660"/>
    <n v="666"/>
    <x v="1"/>
    <n v="3"/>
    <x v="1"/>
    <s v="No"/>
    <n v="398"/>
    <x v="13"/>
    <s v="Caro"/>
    <s v="Precio Estadar"/>
    <s v="Apartamento"/>
    <s v="Alquiler"/>
    <d v="2023-11-14T00:00:00"/>
    <x v="137"/>
    <s v="https://www.properati.com.pe/detalle/14032-32-81cf-c82dc4d2510-e96a3716-a9e6-4667"/>
  </r>
  <r>
    <s v="Apartamento en alquiler en Ur. Las Lagunas De La Molina Etapa Iii"/>
    <s v="Ur. Las Lagunas De La Molina Etapa Iii"/>
    <x v="21"/>
    <s v="Lima"/>
    <x v="0"/>
    <n v="2775"/>
    <n v="277.5"/>
    <x v="1"/>
    <n v="2"/>
    <x v="0"/>
    <s v="Sí"/>
    <n v="95"/>
    <x v="6"/>
    <s v="Caro"/>
    <s v="Precio Estadar"/>
    <s v="Apartamento"/>
    <s v="Alquiler"/>
    <d v="2023-10-18T00:00:00"/>
    <x v="52"/>
    <s v="https://www.properati.com.pe/detalle/14032-32-be99-248da778eb4d-d6d5373f-8020-4c01"/>
  </r>
  <r>
    <s v="Apartamento en alquiler en Ur. Las Violetas"/>
    <s v="Ur. Las Violetas"/>
    <x v="4"/>
    <s v="Lima"/>
    <x v="0"/>
    <n v="4775"/>
    <n v="477.5"/>
    <x v="1"/>
    <n v="2"/>
    <x v="1"/>
    <s v="No"/>
    <n v="187"/>
    <x v="16"/>
    <s v="Caro"/>
    <s v="Precio Estadar"/>
    <s v="Apartamento"/>
    <s v="Alquiler"/>
    <d v="2023-01-07T00:00:00"/>
    <x v="142"/>
    <s v="https://www.properati.com.pe/detalle/14032-32-3e27-4db864529614-3900156e-bb89-459f"/>
  </r>
  <r>
    <s v="Apartamento en alquiler en Ur. Confraternidad"/>
    <s v="Ur. Confraternidad"/>
    <x v="2"/>
    <s v="Lima"/>
    <x v="0"/>
    <n v="2590"/>
    <n v="259"/>
    <x v="0"/>
    <n v="2"/>
    <x v="0"/>
    <s v="No"/>
    <n v="53"/>
    <x v="18"/>
    <s v="Caro"/>
    <s v="Precio Estadar"/>
    <s v="Apartamento"/>
    <s v="Alquiler"/>
    <d v="2024-08-02T00:00:00"/>
    <x v="267"/>
    <s v="https://www.properati.com.pe/detalle/14032-32-a811-1c129b81b993-dd6aac9f-a827-47e0"/>
  </r>
  <r>
    <s v="Apartamento en alquiler enLima"/>
    <s v="Lima"/>
    <x v="5"/>
    <s v="Lima"/>
    <x v="0"/>
    <n v="3330"/>
    <n v="333"/>
    <x v="1"/>
    <n v="2"/>
    <x v="0"/>
    <s v="No"/>
    <n v="146"/>
    <x v="27"/>
    <s v="Caro"/>
    <s v="Precio Estadar"/>
    <s v="Apartamento"/>
    <s v="Alquiler"/>
    <d v="2023-03-15T00:00:00"/>
    <x v="21"/>
    <s v="https://www.properati.com.pe/detalle/14032-32-6c54-a8dc18b17bdf-ffbbc693-9f17-48f9"/>
  </r>
  <r>
    <s v="Apartamento en alquiler en Fundo Conde San Isidro"/>
    <s v="Fundo Conde San Isidro"/>
    <x v="5"/>
    <s v="Lima"/>
    <x v="0"/>
    <n v="4625"/>
    <n v="462.5"/>
    <x v="0"/>
    <n v="3"/>
    <x v="0"/>
    <s v="No"/>
    <n v="180"/>
    <x v="19"/>
    <s v="Caro"/>
    <s v="Precio Estadar"/>
    <s v="Apartamento"/>
    <s v="Alquiler"/>
    <d v="2023-03-10T00:00:00"/>
    <x v="268"/>
    <s v="https://www.properati.com.pe/detalle/14032-32-fad7-676124854889-f0f53906-8cdd-4ea9"/>
  </r>
  <r>
    <s v="Casa en alquiler en Surco"/>
    <s v="Surco"/>
    <x v="4"/>
    <s v="Lima"/>
    <x v="0"/>
    <n v="5550"/>
    <n v="555"/>
    <x v="4"/>
    <n v="4"/>
    <x v="0"/>
    <s v="No"/>
    <n v="310"/>
    <x v="16"/>
    <s v="Caro"/>
    <s v="Precio Estadar"/>
    <s v="Casa"/>
    <s v="Alquiler"/>
    <d v="2024-10-23T00:00:00"/>
    <x v="172"/>
    <s v="https://www.properati.com.pe/detalle/14032-32-939b-30d09cc2095b-cc755c94-b97f-3b80"/>
  </r>
  <r>
    <s v="Casa en alquiler en Ur. La Encantada"/>
    <s v="Ur. La Encantada"/>
    <x v="8"/>
    <s v="Lima"/>
    <x v="0"/>
    <n v="14800"/>
    <n v="1480"/>
    <x v="3"/>
    <n v="7"/>
    <x v="0"/>
    <s v="No"/>
    <n v="659"/>
    <x v="38"/>
    <s v="Caro"/>
    <s v="Precio Estadar"/>
    <s v="Casa"/>
    <s v="Alquiler"/>
    <d v="2024-06-05T00:00:00"/>
    <x v="237"/>
    <s v="https://www.properati.com.pe/detalle/14032-32-f4ca-dc4f85d5c1fd-7d94464-8d76-3e30"/>
  </r>
  <r>
    <s v="Casa en alquiler en Ur. San Ignacio De Monterrico (San Ignacio De Loyola)"/>
    <s v="Ur. San Ignacio De Monterrico (San Ignacio De Loyola)"/>
    <x v="4"/>
    <s v="Lima"/>
    <x v="0"/>
    <n v="2000"/>
    <n v="200"/>
    <x v="0"/>
    <n v="1"/>
    <x v="0"/>
    <s v="Sí"/>
    <n v="80"/>
    <x v="19"/>
    <s v="Economico"/>
    <s v="Precio Estadar"/>
    <s v="Casa"/>
    <s v="Alquiler"/>
    <d v="2023-06-26T00:00:00"/>
    <x v="269"/>
    <s v="https://www.properati.com.pe/detalle/14032-32-6ae4-cb3dd84a0e03-b8008730-8bc2-120d"/>
  </r>
  <r>
    <s v="Apartamento en alquiler en JardÃ­n"/>
    <s v="JardÃ­n"/>
    <x v="47"/>
    <s v="Lima"/>
    <x v="0"/>
    <n v="3700"/>
    <n v="370"/>
    <x v="1"/>
    <n v="2"/>
    <x v="1"/>
    <s v="No"/>
    <n v="140"/>
    <x v="16"/>
    <s v="Caro"/>
    <s v="Precio Estadar"/>
    <s v="Apartamento"/>
    <s v="Alquiler"/>
    <d v="2023-11-11T00:00:00"/>
    <x v="21"/>
    <s v="https://www.properati.com.pe/detalle/14032-32-c088-2d80df17293-b2260f25-95bd-4f35"/>
  </r>
  <r>
    <s v="Apartamento en alquiler en Hu. Club Arabe"/>
    <s v="Hu. Club Arabe"/>
    <x v="4"/>
    <s v="Lima"/>
    <x v="0"/>
    <n v="5920"/>
    <n v="592"/>
    <x v="1"/>
    <n v="2"/>
    <x v="0"/>
    <s v="Sí"/>
    <n v="150"/>
    <x v="27"/>
    <s v="Caro"/>
    <s v="Precio Estadar"/>
    <s v="Apartamento"/>
    <s v="Alquiler"/>
    <d v="2024-08-05T00:00:00"/>
    <x v="270"/>
    <s v="https://www.properati.com.pe/detalle/14032-32-185b-e1afbf14c631-f883f770-b93b-4a3a"/>
  </r>
  <r>
    <s v="Apartamento en alquiler en Surquillo"/>
    <s v="Surquillo"/>
    <x v="38"/>
    <s v="Lima"/>
    <x v="0"/>
    <n v="3330"/>
    <n v="333"/>
    <x v="2"/>
    <n v="2"/>
    <x v="0"/>
    <s v="Sí"/>
    <n v="97"/>
    <x v="27"/>
    <s v="Caro"/>
    <s v="Precio Estadar"/>
    <s v="Apartamento"/>
    <s v="Alquiler"/>
    <d v="2024-05-28T00:00:00"/>
    <x v="16"/>
    <s v="https://www.properati.com.pe/detalle/14032-32-7aa5-4cd6320d116-96bf4bd8-9106-4df6"/>
  </r>
  <r>
    <s v="Apartamento en alquiler en San Isidro"/>
    <s v="San Isidro"/>
    <x v="1"/>
    <s v="Arequipa"/>
    <x v="1"/>
    <n v="1700"/>
    <n v="85"/>
    <x v="1"/>
    <n v="2"/>
    <x v="0"/>
    <s v="Sí"/>
    <n v="82"/>
    <x v="7"/>
    <s v="Economico"/>
    <s v="Precio Estadar"/>
    <s v="Apartamento"/>
    <s v="Alquiler"/>
    <d v="2024-01-21T00:00:00"/>
    <x v="192"/>
    <s v="https://www.properati.com.pe/detalle/14032-32-d84d-c5962133aaa2-703720f9-aa87-4cad"/>
  </r>
  <r>
    <s v="Apartamento en alquiler enMiraflores"/>
    <s v="Miraflores"/>
    <x v="1"/>
    <s v="Arequipa "/>
    <x v="3"/>
    <n v="4625"/>
    <n v="231.25"/>
    <x v="0"/>
    <n v="3"/>
    <x v="0"/>
    <s v="No"/>
    <n v="100"/>
    <x v="30"/>
    <s v="Caro"/>
    <s v="Precio Estadar"/>
    <s v="Apartamento"/>
    <s v="Alquiler"/>
    <d v="2023-06-16T00:00:00"/>
    <x v="33"/>
    <s v="https://www.properati.com.pe/detalle/14032-32-dc7d-6bc26fe62837-2e5a1e27-b231-45a3"/>
  </r>
  <r>
    <s v="Apartamento en alquiler en Ur. Covima"/>
    <s v="Ur. Covima"/>
    <x v="21"/>
    <s v="Lima"/>
    <x v="0"/>
    <n v="1846.3000000000002"/>
    <n v="184.63000000000002"/>
    <x v="0"/>
    <n v="2"/>
    <x v="1"/>
    <s v="Sí"/>
    <n v="70"/>
    <x v="17"/>
    <s v="Economico"/>
    <s v="Precio Estadar"/>
    <s v="Apartamento"/>
    <s v="Alquiler"/>
    <d v="2024-06-16T00:00:00"/>
    <x v="86"/>
    <s v="https://www.properati.com.pe/detalle/14032-32-e68f-3f5f6bbc9506-8669d610-a3c8-4878"/>
  </r>
  <r>
    <s v="Apartamento en alquiler en Ur. Valle Hermoso Oeste"/>
    <s v="Ur. Valle Hermoso Oeste"/>
    <x v="4"/>
    <s v="Lima"/>
    <x v="0"/>
    <n v="9250"/>
    <n v="925"/>
    <x v="1"/>
    <n v="3"/>
    <x v="1"/>
    <s v="No"/>
    <n v="367"/>
    <x v="0"/>
    <s v="Caro"/>
    <s v="Precio Estadar"/>
    <s v="Apartamento"/>
    <s v="Alquiler"/>
    <d v="2024-01-24T00:00:00"/>
    <x v="175"/>
    <s v="https://www.properati.com.pe/detalle/14032-32-9cab-5054790b7a50-cee02294-9cba-488d"/>
  </r>
  <r>
    <s v="Apartamento en alquiler en Surquillo"/>
    <s v="Surquillo"/>
    <x v="38"/>
    <s v="Lima"/>
    <x v="0"/>
    <n v="2590"/>
    <n v="259"/>
    <x v="2"/>
    <n v="2"/>
    <x v="1"/>
    <s v="Sí"/>
    <n v="60"/>
    <x v="38"/>
    <s v="Caro"/>
    <s v="Precio Estadar"/>
    <s v="Apartamento"/>
    <s v="Alquiler"/>
    <d v="2023-04-03T00:00:00"/>
    <x v="135"/>
    <s v="https://www.properati.com.pe/detalle/14032-32-37c9-fc023d78accc-6e0560a1-b98a-4d5b"/>
  </r>
  <r>
    <s v="Apartamento en alquiler en Ur. Jardin"/>
    <s v="Ur. Jardin"/>
    <x v="7"/>
    <s v="Lima"/>
    <x v="0"/>
    <n v="4255"/>
    <n v="425.5"/>
    <x v="1"/>
    <n v="3"/>
    <x v="1"/>
    <s v="Sí"/>
    <n v="136"/>
    <x v="10"/>
    <s v="Caro"/>
    <s v="Precio Estadar"/>
    <s v="Apartamento"/>
    <s v="Alquiler"/>
    <d v="2023-10-28T00:00:00"/>
    <x v="86"/>
    <s v="https://www.properati.com.pe/detalle/14032-32-6a4a-db1692748e5c-e2b8cd10-865f-4166"/>
  </r>
  <r>
    <s v="Apartamento en alquiler en Fundo Conde San Isidro"/>
    <s v="Fundo Conde San Isidro"/>
    <x v="5"/>
    <s v="Lima"/>
    <x v="0"/>
    <n v="2590"/>
    <n v="259"/>
    <x v="2"/>
    <n v="1"/>
    <x v="0"/>
    <s v="No"/>
    <n v="48"/>
    <x v="10"/>
    <s v="Caro"/>
    <s v="Precio Estadar"/>
    <s v="Apartamento"/>
    <s v="Alquiler"/>
    <d v="2023-01-28T00:00:00"/>
    <x v="100"/>
    <s v="https://www.properati.com.pe/detalle/14032-32-e7f6-2c3e2e5a1b39-d59c0f41-bded-4a9e"/>
  </r>
  <r>
    <s v="Apartamento en alquiler en Ur. Jardin"/>
    <s v="Ur. Jardin"/>
    <x v="7"/>
    <s v="Lima"/>
    <x v="0"/>
    <n v="4255"/>
    <n v="425.5"/>
    <x v="1"/>
    <n v="3"/>
    <x v="1"/>
    <s v="No"/>
    <n v="136"/>
    <x v="13"/>
    <s v="Caro"/>
    <s v="Precio Estadar"/>
    <s v="Apartamento"/>
    <s v="Alquiler"/>
    <d v="2024-07-06T00:00:00"/>
    <x v="86"/>
    <s v="https://www.properati.com.pe/detalle/14032-32-f882-5a9e2053539c-6d4c4fca-8f1c-458a"/>
  </r>
  <r>
    <s v="Apartamento en alquiler en Santiago de Surco"/>
    <s v="Santiago de Surco"/>
    <x v="5"/>
    <s v="Lima"/>
    <x v="0"/>
    <n v="2775"/>
    <n v="277.5"/>
    <x v="1"/>
    <n v="2"/>
    <x v="0"/>
    <s v="Sí"/>
    <n v="90"/>
    <x v="10"/>
    <s v="Caro"/>
    <s v="Precio Estadar"/>
    <s v="Apartamento"/>
    <s v="Alquiler"/>
    <d v="2023-07-30T00:00:00"/>
    <x v="86"/>
    <s v="https://www.properati.com.pe/detalle/14032-32-f64-442a5f375c03-ef20059b-939e-437c"/>
  </r>
  <r>
    <s v="Apartamento en alquiler enLima"/>
    <s v="Lima"/>
    <x v="5"/>
    <s v="Lima"/>
    <x v="0"/>
    <n v="3145"/>
    <n v="314.5"/>
    <x v="0"/>
    <n v="3"/>
    <x v="0"/>
    <s v="Sí"/>
    <n v="150"/>
    <x v="19"/>
    <s v="Caro"/>
    <s v="Precio Estadar"/>
    <s v="Apartamento"/>
    <s v="Alquiler"/>
    <d v="2023-03-03T00:00:00"/>
    <x v="258"/>
    <s v="https://www.properati.com.pe/detalle/14032-32-7152-dd0ef55c0c1d-b237e4f7-92d3-46d3"/>
  </r>
  <r>
    <s v="Apartamento en alquiler en Hu. Cercado DeMiraflores"/>
    <s v="Hu. Cercado DeMiraflores"/>
    <x v="0"/>
    <s v="Lima"/>
    <x v="0"/>
    <n v="3330"/>
    <n v="333"/>
    <x v="0"/>
    <n v="3"/>
    <x v="0"/>
    <s v="No"/>
    <n v="100"/>
    <x v="0"/>
    <s v="Caro"/>
    <s v="Precio Estadar"/>
    <s v="Apartamento"/>
    <s v="Alquiler"/>
    <d v="2024-10-14T00:00:00"/>
    <x v="258"/>
    <s v="https://www.properati.com.pe/detalle/14032-32-8133-7676e76761a2-7f4f3cb8-bf42-49e9"/>
  </r>
  <r>
    <s v="Apartamento en alquiler enLima"/>
    <s v="Lima"/>
    <x v="5"/>
    <s v="Lima"/>
    <x v="0"/>
    <n v="1924"/>
    <n v="192.4"/>
    <x v="2"/>
    <n v="1"/>
    <x v="0"/>
    <s v="Sí"/>
    <n v="50"/>
    <x v="38"/>
    <s v="Economico"/>
    <s v="Precio Estadar"/>
    <s v="Apartamento"/>
    <s v="Alquiler"/>
    <d v="2024-02-14T00:00:00"/>
    <x v="71"/>
    <s v="https://www.properati.com.pe/detalle/14032-32-5923-31175a594e6f-a26fcd2b-a7bd-4ecb"/>
  </r>
  <r>
    <s v="Apartamento en alquiler en Ur. Corpac"/>
    <s v="Ur. Corpac"/>
    <x v="7"/>
    <s v="Lima"/>
    <x v="0"/>
    <n v="12950"/>
    <n v="1295"/>
    <x v="8"/>
    <n v="4"/>
    <x v="0"/>
    <s v="No"/>
    <n v="146"/>
    <x v="13"/>
    <s v="Caro"/>
    <s v="Precio Estadar"/>
    <s v="Apartamento"/>
    <s v="Alquiler"/>
    <d v="2024-05-23T00:00:00"/>
    <x v="39"/>
    <s v="https://www.properati.com.pe/detalle/14032-32-6565-fdce91d00398-39cc62c1-b42a-4cbb"/>
  </r>
  <r>
    <s v="Oficina en alquiler en Progreso"/>
    <s v="Progreso"/>
    <x v="38"/>
    <s v="Lima"/>
    <x v="0"/>
    <n v="1850"/>
    <n v="185"/>
    <x v="2"/>
    <n v="1"/>
    <x v="0"/>
    <s v="No"/>
    <n v="38"/>
    <x v="20"/>
    <s v="Economico"/>
    <s v="Precio Estadar"/>
    <s v="Oficina"/>
    <s v="Alquiler"/>
    <d v="2024-08-23T00:00:00"/>
    <x v="271"/>
    <s v="https://www.properati.com.pe/detalle/14032-32-30a6-8ba40beef3a8-a6ceeaf2-9e99-307a"/>
  </r>
  <r>
    <s v="Apartamento en alquiler enMiraflores"/>
    <s v="Miraflores"/>
    <x v="1"/>
    <s v="Arequipa "/>
    <x v="3"/>
    <n v="7400"/>
    <n v="370"/>
    <x v="1"/>
    <n v="2"/>
    <x v="1"/>
    <s v="No"/>
    <n v="207"/>
    <x v="13"/>
    <s v="Caro"/>
    <s v="Precio Estadar"/>
    <s v="Apartamento"/>
    <s v="Alquiler"/>
    <d v="2024-11-07T00:00:00"/>
    <x v="175"/>
    <s v="https://www.properati.com.pe/detalle/14032-32-f089-734598d40780-44cac91c-9a73-4b60"/>
  </r>
  <r>
    <s v="Apartamento en alquiler en Santa Cruz"/>
    <s v="Santa Cruz"/>
    <x v="33"/>
    <s v="Lima"/>
    <x v="0"/>
    <n v="4440"/>
    <n v="444"/>
    <x v="1"/>
    <n v="2"/>
    <x v="1"/>
    <s v="No"/>
    <n v="155"/>
    <x v="19"/>
    <s v="Caro"/>
    <s v="Precio Estadar"/>
    <s v="Apartamento"/>
    <s v="Alquiler"/>
    <d v="2023-12-31T00:00:00"/>
    <x v="126"/>
    <s v="https://www.properati.com.pe/detalle/14032-32-4908-a3e2d3668f7-bc669089-9d53-356b"/>
  </r>
  <r>
    <s v="Apartamento en alquiler en Santa Anita"/>
    <s v="Santa Anita"/>
    <x v="5"/>
    <s v="Lima"/>
    <x v="0"/>
    <n v="1200"/>
    <n v="120"/>
    <x v="1"/>
    <n v="2"/>
    <x v="0"/>
    <s v="No"/>
    <n v="120"/>
    <x v="18"/>
    <s v="Economico"/>
    <s v="Precio Estadar"/>
    <s v="Apartamento"/>
    <s v="Alquiler"/>
    <d v="2024-10-19T00:00:00"/>
    <x v="6"/>
    <s v="https://www.properati.com.pe/detalle/14032-32-f9c0-8c859cdde60c-fd44e356-b72b-4440"/>
  </r>
  <r>
    <s v="Apartamento en alquiler en Ur. Chacarilla Del Estanque"/>
    <s v="Ur. Chacarilla Del Estanque"/>
    <x v="11"/>
    <s v="Lima"/>
    <x v="0"/>
    <n v="10360"/>
    <n v="1036"/>
    <x v="1"/>
    <n v="4"/>
    <x v="1"/>
    <s v="Sí"/>
    <n v="383"/>
    <x v="0"/>
    <s v="Caro"/>
    <s v="Precio Estadar"/>
    <s v="Apartamento"/>
    <s v="Alquiler"/>
    <d v="2023-12-16T00:00:00"/>
    <x v="175"/>
    <s v="https://www.properati.com.pe/detalle/14032-32-2ddc-2d8fbfc13b92-412dab8b-b7ef-479b"/>
  </r>
  <r>
    <s v="Apartamento en alquiler en Chacarilla-Santa Cruz"/>
    <s v="Chacarilla-Santa Cruz"/>
    <x v="38"/>
    <s v="Lima"/>
    <x v="0"/>
    <n v="4810"/>
    <n v="481"/>
    <x v="1"/>
    <n v="3"/>
    <x v="1"/>
    <s v="No"/>
    <n v="157"/>
    <x v="20"/>
    <s v="Caro"/>
    <s v="Precio Estadar"/>
    <s v="Apartamento"/>
    <s v="Alquiler"/>
    <d v="2024-02-24T00:00:00"/>
    <x v="272"/>
    <s v="https://www.properati.com.pe/detalle/14032-32-f808-dd1139175a95-141c8ada-b5bc-35c7"/>
  </r>
  <r>
    <s v="Apartamento en alquiler en Ur. Santa Cruz"/>
    <s v="Ur. Santa Cruz"/>
    <x v="0"/>
    <s v="Lima"/>
    <x v="0"/>
    <n v="5920"/>
    <n v="592"/>
    <x v="1"/>
    <n v="3"/>
    <x v="1"/>
    <s v="No"/>
    <n v="130"/>
    <x v="18"/>
    <s v="Caro"/>
    <s v="Precio Estadar"/>
    <s v="Apartamento"/>
    <s v="Alquiler"/>
    <d v="2023-10-19T00:00:00"/>
    <x v="33"/>
    <s v="https://www.properati.com.pe/detalle/14032-32-3909-14cb2fbfe009-14e63763-8877-4050"/>
  </r>
  <r>
    <s v="Apartamento en alquiler en Ur. Trinidad"/>
    <s v="Ur. Trinidad"/>
    <x v="5"/>
    <s v="Lima"/>
    <x v="0"/>
    <n v="3500"/>
    <n v="350"/>
    <x v="3"/>
    <n v="3"/>
    <x v="1"/>
    <s v="Sí"/>
    <n v="190"/>
    <x v="38"/>
    <s v="Caro"/>
    <s v="Precio Estadar"/>
    <s v="Apartamento"/>
    <s v="Alquiler"/>
    <d v="2023-12-11T00:00:00"/>
    <x v="204"/>
    <s v="https://www.properati.com.pe/detalle/14032-32-6faf-202d13dd690e-5c97ac1f-b2bf-4061"/>
  </r>
  <r>
    <s v="Apartamento en alquiler en Ur. Jacaranda"/>
    <s v="Ur. Jacaranda"/>
    <x v="11"/>
    <s v="Lima"/>
    <x v="0"/>
    <n v="2960"/>
    <n v="296"/>
    <x v="0"/>
    <n v="2"/>
    <x v="1"/>
    <s v="Sí"/>
    <n v="90"/>
    <x v="10"/>
    <s v="Caro"/>
    <s v="Precio Estadar"/>
    <s v="Apartamento"/>
    <s v="Alquiler"/>
    <d v="2024-02-10T00:00:00"/>
    <x v="273"/>
    <s v="https://www.properati.com.pe/detalle/14032-32-7d78-e5d79af79987-f2930fb7-9ab3-4d3b"/>
  </r>
  <r>
    <s v="Apartamento en alquiler en Ur. Mayorazgo Etapa Iv"/>
    <s v="Ur. Mayorazgo Etapa Iv"/>
    <x v="18"/>
    <s v="Lima"/>
    <x v="0"/>
    <n v="1600"/>
    <n v="160"/>
    <x v="0"/>
    <n v="1"/>
    <x v="0"/>
    <s v="Sí"/>
    <n v="54"/>
    <x v="13"/>
    <s v="Economico"/>
    <s v="Precio Estadar"/>
    <s v="Apartamento"/>
    <s v="Alquiler"/>
    <d v="2023-12-28T00:00:00"/>
    <x v="41"/>
    <s v="https://www.properati.com.pe/detalle/14032-32-255f-bbdd52ffd2b2-31c65255-a222-4f6d"/>
  </r>
  <r>
    <s v="Casa en alquiler en Sol De La Molina 2 Etapa"/>
    <s v="Sol De La Molina 2 Etapa"/>
    <x v="5"/>
    <s v="Lima"/>
    <x v="0"/>
    <n v="7400"/>
    <n v="740"/>
    <x v="1"/>
    <n v="2"/>
    <x v="1"/>
    <s v="Sí"/>
    <n v="306"/>
    <x v="0"/>
    <s v="Caro"/>
    <s v="Precio Estadar"/>
    <s v="Casa"/>
    <s v="Alquiler"/>
    <d v="2024-08-09T00:00:00"/>
    <x v="94"/>
    <s v="https://www.properati.com.pe/detalle/14032-32-fbaa-69602d3128df-c23fdab-a379-4611"/>
  </r>
  <r>
    <s v="Apartamento en alquiler en Ur. Armendariz"/>
    <s v="Ur. Armendariz"/>
    <x v="0"/>
    <s v="Lima"/>
    <x v="0"/>
    <n v="7396.3"/>
    <n v="739.63000000000011"/>
    <x v="4"/>
    <n v="3"/>
    <x v="0"/>
    <s v="Sí"/>
    <n v="230"/>
    <x v="38"/>
    <s v="Caro"/>
    <s v="Precio Estadar"/>
    <s v="Apartamento"/>
    <s v="Alquiler"/>
    <d v="2024-10-31T00:00:00"/>
    <x v="274"/>
    <s v="https://www.properati.com.pe/detalle/14032-32-6fdb-254b93d8d400-5d1422f-88f7-470b"/>
  </r>
  <r>
    <s v="Apartamento en alquiler en Cerros de Camacho"/>
    <s v="Cerros de Camacho"/>
    <x v="5"/>
    <s v="Lima"/>
    <x v="0"/>
    <n v="6660"/>
    <n v="666"/>
    <x v="1"/>
    <n v="4"/>
    <x v="0"/>
    <s v="Sí"/>
    <n v="215"/>
    <x v="13"/>
    <s v="Caro"/>
    <s v="Precio Estadar"/>
    <s v="Apartamento"/>
    <s v="Alquiler"/>
    <d v="2024-12-02T00:00:00"/>
    <x v="151"/>
    <s v="https://www.properati.com.pe/detalle/14032-32-d544-8d9be08415b1-91e1dc60-97f1-120c"/>
  </r>
  <r>
    <s v="Apartamento en alquiler en Hu. Cercado DeMiraflores"/>
    <s v="Hu. Cercado DeMiraflores"/>
    <x v="0"/>
    <s v="Lima"/>
    <x v="0"/>
    <n v="18496.3"/>
    <n v="1849.63"/>
    <x v="1"/>
    <n v="3"/>
    <x v="0"/>
    <s v="No"/>
    <n v="170"/>
    <x v="12"/>
    <s v="Caro"/>
    <s v="Precio Estadar"/>
    <s v="Apartamento"/>
    <s v="Alquiler"/>
    <d v="2023-12-21T00:00:00"/>
    <x v="274"/>
    <s v="https://www.properati.com.pe/detalle/14032-32-6c19-8ea83ce5a6ab-aba10068-8153-4f45"/>
  </r>
  <r>
    <s v="Apartamento en alquiler en Ur. San Gabriel"/>
    <s v="Ur. San Gabriel"/>
    <x v="7"/>
    <s v="Lima"/>
    <x v="0"/>
    <n v="36996.300000000003"/>
    <n v="3699.6300000000006"/>
    <x v="4"/>
    <n v="4"/>
    <x v="0"/>
    <s v="No"/>
    <n v="650"/>
    <x v="0"/>
    <s v="Caro"/>
    <s v="Precio Estadar"/>
    <s v="Apartamento"/>
    <s v="Alquiler"/>
    <d v="2024-04-15T00:00:00"/>
    <x v="274"/>
    <s v="https://www.properati.com.pe/detalle/14032-32-fdf0-d272ae4c8636-6a6db7c8-b377-41d1"/>
  </r>
  <r>
    <s v="Apartamento en alquiler en Ur. Santa Cruz"/>
    <s v="Ur. Santa Cruz"/>
    <x v="0"/>
    <s v="Lima"/>
    <x v="0"/>
    <n v="24050"/>
    <n v="2405"/>
    <x v="3"/>
    <n v="5"/>
    <x v="1"/>
    <s v="Sí"/>
    <n v="500"/>
    <x v="7"/>
    <s v="Caro"/>
    <s v="Precio Estadar"/>
    <s v="Apartamento"/>
    <s v="Alquiler"/>
    <d v="2024-08-03T00:00:00"/>
    <x v="274"/>
    <s v="https://www.properati.com.pe/detalle/14032-32-8f28-24c41263cce6-9ea03c1f-944b-4764"/>
  </r>
  <r>
    <s v="Apartamento en alquiler en Ur. Corpac"/>
    <s v="Ur. Corpac"/>
    <x v="7"/>
    <s v="Lima"/>
    <x v="0"/>
    <n v="2000"/>
    <n v="200"/>
    <x v="2"/>
    <n v="1"/>
    <x v="1"/>
    <s v="Sí"/>
    <n v="65"/>
    <x v="13"/>
    <s v="Economico"/>
    <s v="Precio Estadar"/>
    <s v="Apartamento"/>
    <s v="Alquiler"/>
    <d v="2023-08-13T00:00:00"/>
    <x v="6"/>
    <s v="https://www.properati.com.pe/detalle/14032-32-918d-417bbd6bb24a-5ef85850-a3dc-120d"/>
  </r>
  <r>
    <s v="Apartamento en alquiler en Ur. Leuro"/>
    <s v="Ur. Leuro"/>
    <x v="0"/>
    <s v="Lima"/>
    <x v="0"/>
    <n v="2775"/>
    <n v="277.5"/>
    <x v="2"/>
    <n v="1"/>
    <x v="0"/>
    <s v="No"/>
    <n v="48"/>
    <x v="7"/>
    <s v="Caro"/>
    <s v="Precio Estadar"/>
    <s v="Apartamento"/>
    <s v="Alquiler"/>
    <d v="2024-08-27T00:00:00"/>
    <x v="274"/>
    <s v="https://www.properati.com.pe/detalle/14032-32-3c7d-11ede081c755-6729cdac-b046-49b3"/>
  </r>
  <r>
    <s v="Apartamento en alquiler en Ur. America"/>
    <s v="Ur. America"/>
    <x v="7"/>
    <s v="Lima"/>
    <x v="0"/>
    <n v="2109"/>
    <n v="210.9"/>
    <x v="2"/>
    <n v="1"/>
    <x v="1"/>
    <s v="Sí"/>
    <n v="60"/>
    <x v="27"/>
    <s v="Economico"/>
    <s v="Precio Estadar"/>
    <s v="Apartamento"/>
    <s v="Alquiler"/>
    <d v="2023-04-10T00:00:00"/>
    <x v="275"/>
    <s v="https://www.properati.com.pe/detalle/14032-32-901d-7fa2ba72ef70-6dd83432-b4bd-4ce5"/>
  </r>
  <r>
    <s v="Apartamento en alquiler en Ur. Las Magnolias"/>
    <s v="Ur. Las Magnolias"/>
    <x v="11"/>
    <s v="Lima"/>
    <x v="0"/>
    <n v="3663"/>
    <n v="366.3"/>
    <x v="1"/>
    <n v="4"/>
    <x v="1"/>
    <s v="No"/>
    <n v="220"/>
    <x v="8"/>
    <s v="Caro"/>
    <s v="Precio Estadar"/>
    <s v="Apartamento"/>
    <s v="Alquiler"/>
    <d v="2023-10-21T00:00:00"/>
    <x v="87"/>
    <s v="https://www.properati.com.pe/detalle/14032-32-3be5-dc7126f4147b-2abb4f27-b4dc-40bb"/>
  </r>
  <r>
    <s v="Apartamento en alquiler enLima"/>
    <s v="Lima"/>
    <x v="5"/>
    <s v="Lima"/>
    <x v="0"/>
    <n v="2775"/>
    <n v="277.5"/>
    <x v="0"/>
    <n v="1"/>
    <x v="1"/>
    <s v="Sí"/>
    <n v="110"/>
    <x v="27"/>
    <s v="Caro"/>
    <s v="Precio Estadar"/>
    <s v="Apartamento"/>
    <s v="Alquiler"/>
    <d v="2023-07-02T00:00:00"/>
    <x v="33"/>
    <s v="https://www.properati.com.pe/detalle/14032-32-9eb1-152591c74bad-70851b14-88c1-4482"/>
  </r>
  <r>
    <s v="Apartamento en alquiler en Ur. Punta Hermosa Sur"/>
    <s v="Ur. Punta Hermosa Sur"/>
    <x v="24"/>
    <s v="Lima"/>
    <x v="0"/>
    <n v="37000"/>
    <n v="3700"/>
    <x v="3"/>
    <n v="5"/>
    <x v="0"/>
    <s v="Sí"/>
    <n v="350"/>
    <x v="18"/>
    <s v="Caro"/>
    <s v="Precio Estadar"/>
    <s v="Apartamento"/>
    <s v="Alquiler"/>
    <d v="2024-01-02T00:00:00"/>
    <x v="274"/>
    <s v="https://www.properati.com.pe/detalle/14032-32-55da-346ff8ea3606-b40c96db-bb15-4c1e"/>
  </r>
  <r>
    <s v="Apartamento en alquiler en San Bartolo"/>
    <s v="San Bartolo"/>
    <x v="5"/>
    <s v="Lima"/>
    <x v="0"/>
    <n v="6660"/>
    <n v="666"/>
    <x v="1"/>
    <n v="3"/>
    <x v="0"/>
    <s v="Sí"/>
    <n v="88"/>
    <x v="30"/>
    <s v="Caro"/>
    <s v="Precio Estadar"/>
    <s v="Apartamento"/>
    <s v="Alquiler"/>
    <d v="2023-01-16T00:00:00"/>
    <x v="276"/>
    <s v="https://www.properati.com.pe/detalle/14032-32-5d81-1deb18ad2b3a-69b429a5-9e2b-4e95"/>
  </r>
  <r>
    <s v="Apartamento en alquiler en Ur. Santa Cruz"/>
    <s v="Ur. Santa Cruz"/>
    <x v="0"/>
    <s v="Lima"/>
    <x v="0"/>
    <n v="6290"/>
    <n v="629"/>
    <x v="0"/>
    <n v="2"/>
    <x v="1"/>
    <s v="No"/>
    <n v="172"/>
    <x v="20"/>
    <s v="Caro"/>
    <s v="Precio Estadar"/>
    <s v="Apartamento"/>
    <s v="Alquiler"/>
    <d v="2024-03-17T00:00:00"/>
    <x v="277"/>
    <s v="https://www.properati.com.pe/detalle/14032-32-b4e2-68f325837e5c-cffee4a9-a983-37c6"/>
  </r>
  <r>
    <s v="Casa en alquiler en Ur. Punta Hermosa Sur"/>
    <s v="Ur. Punta Hermosa Sur"/>
    <x v="24"/>
    <s v="Lima"/>
    <x v="0"/>
    <n v="25900"/>
    <n v="2590"/>
    <x v="4"/>
    <n v="4"/>
    <x v="0"/>
    <s v="No"/>
    <n v="263"/>
    <x v="19"/>
    <s v="Caro"/>
    <s v="Precio Estadar"/>
    <s v="Casa"/>
    <s v="Alquiler"/>
    <d v="2023-08-31T00:00:00"/>
    <x v="67"/>
    <s v="https://www.properati.com.pe/detalle/14032-32-3488-30d3dcd17b8a-5d075364-871d-3520"/>
  </r>
  <r>
    <s v="Apartamento en alquiler en Ur. Armendariz"/>
    <s v="Ur. Armendariz"/>
    <x v="0"/>
    <s v="Lima"/>
    <x v="0"/>
    <n v="3885"/>
    <n v="388.5"/>
    <x v="2"/>
    <n v="15"/>
    <x v="1"/>
    <s v="Sí"/>
    <n v="90"/>
    <x v="18"/>
    <s v="Caro"/>
    <s v="Precio Estadar"/>
    <s v="Apartamento"/>
    <s v="Alquiler"/>
    <d v="2023-03-16T00:00:00"/>
    <x v="277"/>
    <s v="https://www.properati.com.pe/detalle/14032-32-6f28-9553055e6f47-c0da0a63-a28b-318a"/>
  </r>
  <r>
    <s v="Apartamento en alquiler en Valle Hermoso Oeste"/>
    <s v="Valle Hermoso Oeste"/>
    <x v="5"/>
    <s v="Lima"/>
    <x v="0"/>
    <n v="9560.8000000000011"/>
    <n v="956.08000000000015"/>
    <x v="4"/>
    <n v="4"/>
    <x v="1"/>
    <s v="Sí"/>
    <n v="428"/>
    <x v="20"/>
    <s v="Caro"/>
    <s v="Precio Estadar"/>
    <s v="Apartamento"/>
    <s v="Alquiler"/>
    <d v="2024-02-04T00:00:00"/>
    <x v="9"/>
    <s v="https://www.properati.com.pe/detalle/14032-32-a42d-8b6adbb06021-c7b5f21e-9ff8-419f"/>
  </r>
  <r>
    <s v="Apartamento en alquiler en Ur. Santa Cruz"/>
    <s v="Ur. Santa Cruz"/>
    <x v="0"/>
    <s v="Lima"/>
    <x v="0"/>
    <n v="4995"/>
    <n v="499.5"/>
    <x v="0"/>
    <n v="2"/>
    <x v="0"/>
    <s v="Sí"/>
    <n v="105"/>
    <x v="0"/>
    <s v="Caro"/>
    <s v="Precio Estadar"/>
    <s v="Apartamento"/>
    <s v="Alquiler"/>
    <d v="2024-04-18T00:00:00"/>
    <x v="175"/>
    <s v="https://www.properati.com.pe/detalle/14032-32-99d1-536917d3ed6a-1c366c76-81c9-4917"/>
  </r>
  <r>
    <s v="Apartamento en alquiler en San Miguel deMiraflores"/>
    <s v="San Miguel deMiraflores"/>
    <x v="38"/>
    <s v="Lima"/>
    <x v="0"/>
    <n v="2886"/>
    <n v="288.60000000000002"/>
    <x v="0"/>
    <n v="1"/>
    <x v="1"/>
    <s v="No"/>
    <n v="86"/>
    <x v="10"/>
    <s v="Caro"/>
    <s v="Precio Estadar"/>
    <s v="Apartamento"/>
    <s v="Alquiler"/>
    <d v="2024-12-15T00:00:00"/>
    <x v="278"/>
    <s v="https://www.properati.com.pe/detalle/14032-32-c641-ad77ee4cc5f9-4ffb54f0-bbde-5010"/>
  </r>
  <r>
    <s v="Apartamento en alquiler en Ur. Armendariz"/>
    <s v="Ur. Armendariz"/>
    <x v="0"/>
    <s v="Lima"/>
    <x v="0"/>
    <n v="3515"/>
    <n v="351.5"/>
    <x v="0"/>
    <n v="3"/>
    <x v="0"/>
    <s v="Sí"/>
    <n v="100"/>
    <x v="19"/>
    <s v="Caro"/>
    <s v="Precio Estadar"/>
    <s v="Apartamento"/>
    <s v="Alquiler"/>
    <d v="2024-03-07T00:00:00"/>
    <x v="279"/>
    <s v="https://www.properati.com.pe/detalle/14032-32-92f9-ffe5a462261b-a479d461-850b-4962"/>
  </r>
  <r>
    <s v="Apartamento en alquiler en Ur. Las Gardenias"/>
    <s v="Ur. Las Gardenias"/>
    <x v="4"/>
    <s v="Lima"/>
    <x v="0"/>
    <n v="3515"/>
    <n v="351.5"/>
    <x v="2"/>
    <n v="1"/>
    <x v="0"/>
    <s v="No"/>
    <n v="67"/>
    <x v="0"/>
    <s v="Caro"/>
    <s v="Precio Estadar"/>
    <s v="Apartamento"/>
    <s v="Alquiler"/>
    <d v="2024-03-29T00:00:00"/>
    <x v="241"/>
    <s v="https://www.properati.com.pe/detalle/14032-32-b654-f966d258bcc-e07aa39d-b29f-46f8"/>
  </r>
  <r>
    <s v="Casa en alquiler en Casuarinas"/>
    <s v="Casuarinas"/>
    <x v="5"/>
    <s v="Lima"/>
    <x v="0"/>
    <n v="14800"/>
    <n v="1480"/>
    <x v="3"/>
    <n v="5"/>
    <x v="0"/>
    <s v="No"/>
    <n v="1500"/>
    <x v="30"/>
    <s v="Caro"/>
    <s v="Precio Estadar"/>
    <s v="Casa"/>
    <s v="Alquiler"/>
    <d v="2024-08-01T00:00:00"/>
    <x v="200"/>
    <s v="https://www.properati.com.pe/detalle/14032-32-1a81-47834cd2dcd7-62615668-be06-45d6"/>
  </r>
  <r>
    <s v="Apartamento en alquiler en Ur. Confraternidad"/>
    <s v="Ur. Confraternidad"/>
    <x v="2"/>
    <s v="Lima"/>
    <x v="0"/>
    <n v="2590"/>
    <n v="259"/>
    <x v="2"/>
    <n v="1"/>
    <x v="0"/>
    <s v="No"/>
    <n v="50"/>
    <x v="15"/>
    <s v="Caro"/>
    <s v="Precio Estadar"/>
    <s v="Apartamento"/>
    <s v="Alquiler"/>
    <d v="2023-12-04T00:00:00"/>
    <x v="25"/>
    <s v="https://www.properati.com.pe/detalle/14032-32-f87d-4fdcc6b9125c-14a27ed3-8fe7-4963"/>
  </r>
  <r>
    <s v="Apartamento en alquiler en Ur. Santa Cruz"/>
    <s v="Ur. Santa Cruz"/>
    <x v="0"/>
    <s v="Lima"/>
    <x v="0"/>
    <n v="3441"/>
    <n v="344.1"/>
    <x v="0"/>
    <n v="2"/>
    <x v="1"/>
    <s v="No"/>
    <n v="77"/>
    <x v="19"/>
    <s v="Caro"/>
    <s v="Precio Estadar"/>
    <s v="Apartamento"/>
    <s v="Alquiler"/>
    <d v="2023-07-08T00:00:00"/>
    <x v="93"/>
    <s v="https://www.properati.com.pe/detalle/14032-32-6eee-cd8d8d8eeecc-8122f51e-bf8e-414b"/>
  </r>
  <r>
    <s v="Casa en alquiler en Ur. El SeÃ±orial"/>
    <s v="Ur. El SeÃ±orial"/>
    <x v="1"/>
    <s v="Arequipa"/>
    <x v="1"/>
    <n v="8000"/>
    <n v="400"/>
    <x v="3"/>
    <n v="4"/>
    <x v="0"/>
    <s v="No"/>
    <n v="320"/>
    <x v="7"/>
    <s v="Caro"/>
    <s v="Precio Estadar"/>
    <s v="Casa"/>
    <s v="Alquiler"/>
    <d v="2023-05-07T00:00:00"/>
    <x v="280"/>
    <s v="https://www.properati.com.pe/detalle/14032-32-4566-a93165eeaab5-12b0c406-8769-3d7b"/>
  </r>
  <r>
    <s v="Apartamento en alquiler en As. Residencial Virgen Del Carmen"/>
    <s v="As. Residencial Virgen Del Carmen"/>
    <x v="28"/>
    <s v="Lima"/>
    <x v="0"/>
    <n v="1000"/>
    <n v="100"/>
    <x v="1"/>
    <n v="1"/>
    <x v="1"/>
    <s v="No"/>
    <n v="97"/>
    <x v="19"/>
    <s v="Economico"/>
    <s v="Precio Estadar"/>
    <s v="Apartamento"/>
    <s v="Alquiler"/>
    <d v="2024-12-06T00:00:00"/>
    <x v="2"/>
    <s v="https://www.properati.com.pe/detalle/14032-32-a00d-f16fa88af372-74b77a69-a7fe-4f0e"/>
  </r>
  <r>
    <s v="Apartamento en alquiler en Hu. Cercado DeMiraflores"/>
    <s v="Hu. Cercado DeMiraflores"/>
    <x v="0"/>
    <s v="Lima"/>
    <x v="0"/>
    <n v="5920"/>
    <n v="592"/>
    <x v="0"/>
    <n v="2"/>
    <x v="0"/>
    <s v="No"/>
    <n v="211"/>
    <x v="7"/>
    <s v="Caro"/>
    <s v="Precio Estadar"/>
    <s v="Apartamento"/>
    <s v="Alquiler"/>
    <d v="2024-12-03T00:00:00"/>
    <x v="277"/>
    <s v="https://www.properati.com.pe/detalle/14032-32-6cc6-40ee337896aa-f416a95b-8d7c-341f"/>
  </r>
  <r>
    <s v="Apartamento en alquiler en Ur. America"/>
    <s v="Ur. America"/>
    <x v="0"/>
    <s v="Lima"/>
    <x v="0"/>
    <n v="2220"/>
    <n v="222"/>
    <x v="2"/>
    <n v="2"/>
    <x v="1"/>
    <s v="Sí"/>
    <n v="64"/>
    <x v="18"/>
    <s v="Economico"/>
    <s v="Precio Estadar"/>
    <s v="Apartamento"/>
    <s v="Alquiler"/>
    <d v="2024-10-05T00:00:00"/>
    <x v="281"/>
    <s v="https://www.properati.com.pe/detalle/14032-32-be2-e730d34e318e-8ab3b973-b30f-4357"/>
  </r>
  <r>
    <s v="Apartamento en alquiler en Orrantia del Mar"/>
    <s v="Orrantia del Mar"/>
    <x v="41"/>
    <s v="Lima"/>
    <x v="0"/>
    <n v="4070"/>
    <n v="407"/>
    <x v="1"/>
    <n v="2"/>
    <x v="0"/>
    <s v="Sí"/>
    <n v="125"/>
    <x v="7"/>
    <s v="Caro"/>
    <s v="Precio Estadar"/>
    <s v="Apartamento"/>
    <s v="Alquiler"/>
    <d v="2023-05-25T00:00:00"/>
    <x v="282"/>
    <s v="https://www.properati.com.pe/detalle/14032-32-9f3e-5f6d7032dcc0-104f7b6b-8291-446e"/>
  </r>
  <r>
    <s v="Casa en alquiler en Urb Cercado deLima"/>
    <s v="Urb Cercado deLima"/>
    <x v="5"/>
    <s v="Lima"/>
    <x v="0"/>
    <n v="7400"/>
    <n v="740"/>
    <x v="1"/>
    <n v="3"/>
    <x v="1"/>
    <s v="No"/>
    <m/>
    <x v="27"/>
    <s v="Caro"/>
    <s v="Precio Estadar"/>
    <s v="Casa"/>
    <s v="Alquiler"/>
    <d v="2024-06-03T00:00:00"/>
    <x v="283"/>
    <s v="https://www.properati.com.pe/detalle/14032-32-2254-bf5a171aef32-a9c80e18-a319-3de5"/>
  </r>
  <r>
    <s v="Apartamento en alquiler en San Eugenio"/>
    <s v="San Eugenio"/>
    <x v="5"/>
    <s v="Lima"/>
    <x v="0"/>
    <n v="2035"/>
    <n v="203.5"/>
    <x v="2"/>
    <n v="1"/>
    <x v="0"/>
    <s v="No"/>
    <m/>
    <x v="13"/>
    <s v="Economico"/>
    <s v="Precio Estadar"/>
    <s v="Apartamento"/>
    <s v="Alquiler"/>
    <d v="2023-01-24T00:00:00"/>
    <x v="283"/>
    <s v="https://www.properati.com.pe/detalle/14032-32-338e-f1d399578a4b-38af5c0f-88a7-3d23"/>
  </r>
  <r>
    <s v="Casa en alquiler en La Campestre La Laguna"/>
    <s v="La Campestre La Laguna"/>
    <x v="48"/>
    <s v="Lima"/>
    <x v="0"/>
    <n v="5365"/>
    <n v="536.5"/>
    <x v="1"/>
    <n v="3"/>
    <x v="0"/>
    <s v="Sí"/>
    <n v="300"/>
    <x v="16"/>
    <s v="Caro"/>
    <s v="Precio Estadar"/>
    <s v="Casa"/>
    <s v="Alquiler"/>
    <d v="2023-05-03T00:00:00"/>
    <x v="284"/>
    <s v="https://www.properati.com.pe/detalle/14032-32-5fc7-c7e96bcef440-830196f0-a2e1-120d"/>
  </r>
  <r>
    <s v="Casa de playa en alquiler en Asia"/>
    <s v="Asia"/>
    <x v="34"/>
    <s v="Lima"/>
    <x v="0"/>
    <n v="4000"/>
    <n v="400"/>
    <x v="0"/>
    <n v="2"/>
    <x v="0"/>
    <s v="No"/>
    <n v="75"/>
    <x v="16"/>
    <s v="Caro"/>
    <s v="Precio Estadar"/>
    <s v="Casa de playa"/>
    <s v="Alquiler"/>
    <d v="2023-01-20T00:00:00"/>
    <x v="37"/>
    <s v="https://www.properati.com.pe/detalle/14032-32-89e8-f4bdca84de9c-94564bb2-93fa-41fc"/>
  </r>
  <r>
    <s v="Casa en alquiler en La Campestre La Laguna"/>
    <s v="La Campestre La Laguna"/>
    <x v="21"/>
    <s v="Lima"/>
    <x v="0"/>
    <n v="5365"/>
    <n v="536.5"/>
    <x v="1"/>
    <n v="3"/>
    <x v="0"/>
    <s v="Sí"/>
    <n v="300"/>
    <x v="15"/>
    <s v="Caro"/>
    <s v="Precio Estadar"/>
    <s v="Casa"/>
    <s v="Alquiler"/>
    <d v="2023-09-04T00:00:00"/>
    <x v="284"/>
    <s v="https://www.properati.com.pe/detalle/14032-32-f545-19620aa36439-288ebd28-b938-4ba0"/>
  </r>
  <r>
    <s v="Casa en alquiler en La Campestre La Laguna"/>
    <s v="La Campestre La Laguna"/>
    <x v="21"/>
    <s v="Lima"/>
    <x v="0"/>
    <n v="5365"/>
    <n v="536.5"/>
    <x v="1"/>
    <n v="3"/>
    <x v="0"/>
    <s v="No"/>
    <n v="300"/>
    <x v="7"/>
    <s v="Caro"/>
    <s v="Precio Estadar"/>
    <s v="Casa"/>
    <s v="Alquiler"/>
    <d v="2023-10-13T00:00:00"/>
    <x v="284"/>
    <s v="https://www.properati.com.pe/detalle/14032-32-3052-1a4584fa877e-63025631-ae43-42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C50:C51" firstHeaderRow="1" firstDataRow="1" firstDataCol="0" rowPageCount="1" colPageCount="1"/>
  <pivotFields count="20">
    <pivotField showAll="0"/>
    <pivotField showAll="0"/>
    <pivotField axis="axisPage" showAll="0">
      <items count="53">
        <item x="18"/>
        <item x="2"/>
        <item x="32"/>
        <item m="1" x="51"/>
        <item x="20"/>
        <item x="34"/>
        <item x="30"/>
        <item x="15"/>
        <item x="8"/>
        <item x="9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5"/>
        <item m="1" x="49"/>
        <item x="0"/>
        <item x="44"/>
        <item x="43"/>
        <item t="default"/>
      </items>
    </pivotField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pageFields count="1">
    <pageField fld="2" item="8" hier="-1"/>
  </pageFields>
  <dataFields count="1">
    <dataField name="Prom. de Alquiler" fld="5" subtotal="average" baseField="0" baseItem="9" numFmtId="164"/>
  </dataFields>
  <formats count="4">
    <format dxfId="7">
      <pivotArea outline="0" collapsedLevelsAreSubtotals="1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istrito">
  <location ref="C38:D40" firstHeaderRow="1" firstDataRow="1" firstDataCol="1" rowPageCount="1" colPageCount="1"/>
  <pivotFields count="20">
    <pivotField showAll="0"/>
    <pivotField showAll="0"/>
    <pivotField axis="axisRow" showAll="0">
      <items count="53">
        <item h="1" x="18"/>
        <item h="1" x="2"/>
        <item h="1" x="32"/>
        <item h="1" m="1" x="51"/>
        <item h="1" x="20"/>
        <item h="1" x="34"/>
        <item h="1" x="30"/>
        <item h="1" x="15"/>
        <item h="1" x="8"/>
        <item h="1" x="9"/>
        <item h="1" m="1" x="50"/>
        <item h="1" x="23"/>
        <item h="1" x="22"/>
        <item h="1" x="21"/>
        <item h="1" x="17"/>
        <item h="1" x="48"/>
        <item h="1" x="26"/>
        <item h="1" x="3"/>
        <item h="1" x="29"/>
        <item h="1" x="39"/>
        <item h="1" x="36"/>
        <item h="1" x="13"/>
        <item h="1" x="25"/>
        <item h="1" x="19"/>
        <item h="1" x="24"/>
        <item h="1" x="45"/>
        <item h="1" x="6"/>
        <item h="1" x="28"/>
        <item h="1" x="31"/>
        <item h="1" x="11"/>
        <item h="1" x="47"/>
        <item h="1" x="7"/>
        <item h="1" x="40"/>
        <item h="1" x="14"/>
        <item h="1" x="35"/>
        <item h="1" x="16"/>
        <item h="1" x="27"/>
        <item h="1" x="4"/>
        <item h="1" x="10"/>
        <item h="1" x="41"/>
        <item h="1" x="38"/>
        <item h="1" x="33"/>
        <item h="1" x="37"/>
        <item h="1" x="12"/>
        <item h="1" x="46"/>
        <item h="1" x="42"/>
        <item h="1" x="1"/>
        <item h="1" x="5"/>
        <item h="1" m="1" x="49"/>
        <item x="0"/>
        <item h="1" x="44"/>
        <item h="1" x="43"/>
        <item t="default"/>
      </items>
    </pivotField>
    <pivotField showAll="0"/>
    <pivotField showAll="0"/>
    <pivotField dataField="1" numFmtId="164" showAll="0"/>
    <pivotField numFmtId="164" showAll="0"/>
    <pivotField axis="axisPage" showAll="0">
      <items count="14">
        <item x="2"/>
        <item x="0"/>
        <item x="1"/>
        <item x="4"/>
        <item x="3"/>
        <item x="12"/>
        <item x="6"/>
        <item x="8"/>
        <item x="9"/>
        <item x="11"/>
        <item x="7"/>
        <item x="5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"/>
  </rowFields>
  <rowItems count="2">
    <i>
      <x v="49"/>
    </i>
    <i t="grand">
      <x/>
    </i>
  </rowItems>
  <colItems count="1">
    <i/>
  </colItems>
  <pageFields count="1">
    <pageField fld="7" item="5" hier="-1"/>
  </pageFields>
  <dataFields count="1">
    <dataField name="Precio de Alqu." fld="5" baseField="2" baseItem="49" numFmtId="164"/>
  </dataFields>
  <formats count="2">
    <format dxfId="9">
      <pivotArea outline="0" collapsedLevelsAreSubtotals="1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laDinámica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istritos">
  <location ref="C106:C107" firstHeaderRow="1" firstDataRow="1" firstDataCol="0" rowPageCount="2" colPageCount="1"/>
  <pivotFields count="20">
    <pivotField dataField="1" showAll="0"/>
    <pivotField showAll="0"/>
    <pivotField axis="axisPage" showAll="0">
      <items count="53">
        <item x="18"/>
        <item x="2"/>
        <item x="32"/>
        <item m="1" x="51"/>
        <item x="20"/>
        <item x="34"/>
        <item x="30"/>
        <item x="15"/>
        <item x="8"/>
        <item x="9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5"/>
        <item m="1" x="49"/>
        <item x="0"/>
        <item x="44"/>
        <item x="43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pageFields count="2">
    <pageField fld="9" item="1" hier="-1"/>
    <pageField fld="2" item="0" hier="-1"/>
  </pageFields>
  <dataFields count="1">
    <dataField name="Poseen Asensor" fld="0" subtotal="count" baseField="0" baseItem="0"/>
  </dataFields>
  <formats count="2">
    <format dxfId="11">
      <pivotArea outline="0" collapsedLevelsAreSubtotals="1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5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K48:L98" firstHeaderRow="1" firstDataRow="1" firstDataCol="1"/>
  <pivotFields count="20">
    <pivotField showAll="0"/>
    <pivotField showAll="0"/>
    <pivotField axis="axisRow" showAll="0" sortType="descending">
      <items count="53">
        <item x="18"/>
        <item x="2"/>
        <item x="32"/>
        <item m="1" x="51"/>
        <item x="20"/>
        <item x="34"/>
        <item x="30"/>
        <item x="15"/>
        <item x="8"/>
        <item x="9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5"/>
        <item m="1" x="49"/>
        <item x="0"/>
        <item x="44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"/>
  </rowFields>
  <rowItems count="50">
    <i>
      <x v="29"/>
    </i>
    <i>
      <x v="44"/>
    </i>
    <i>
      <x v="24"/>
    </i>
    <i>
      <x v="39"/>
    </i>
    <i>
      <x v="47"/>
    </i>
    <i>
      <x v="28"/>
    </i>
    <i>
      <x v="15"/>
    </i>
    <i>
      <x v="31"/>
    </i>
    <i>
      <x v="43"/>
    </i>
    <i>
      <x v="49"/>
    </i>
    <i>
      <x v="46"/>
    </i>
    <i>
      <x v="37"/>
    </i>
    <i>
      <x v="13"/>
    </i>
    <i>
      <x v="41"/>
    </i>
    <i>
      <x v="7"/>
    </i>
    <i>
      <x v="6"/>
    </i>
    <i>
      <x v="40"/>
    </i>
    <i>
      <x v="30"/>
    </i>
    <i>
      <x v="50"/>
    </i>
    <i>
      <x v="8"/>
    </i>
    <i>
      <x v="42"/>
    </i>
    <i>
      <x v="33"/>
    </i>
    <i>
      <x v="5"/>
    </i>
    <i>
      <x v="1"/>
    </i>
    <i>
      <x v="17"/>
    </i>
    <i>
      <x v="22"/>
    </i>
    <i>
      <x v="25"/>
    </i>
    <i>
      <x v="2"/>
    </i>
    <i>
      <x v="16"/>
    </i>
    <i>
      <x v="21"/>
    </i>
    <i>
      <x v="18"/>
    </i>
    <i>
      <x v="36"/>
    </i>
    <i>
      <x v="38"/>
    </i>
    <i>
      <x v="12"/>
    </i>
    <i>
      <x v="45"/>
    </i>
    <i>
      <x v="26"/>
    </i>
    <i>
      <x v="14"/>
    </i>
    <i>
      <x v="34"/>
    </i>
    <i>
      <x v="35"/>
    </i>
    <i>
      <x/>
    </i>
    <i>
      <x v="27"/>
    </i>
    <i>
      <x v="4"/>
    </i>
    <i>
      <x v="9"/>
    </i>
    <i>
      <x v="51"/>
    </i>
    <i>
      <x v="11"/>
    </i>
    <i>
      <x v="19"/>
    </i>
    <i>
      <x v="23"/>
    </i>
    <i>
      <x v="32"/>
    </i>
    <i>
      <x v="20"/>
    </i>
    <i t="grand">
      <x/>
    </i>
  </rowItems>
  <colItems count="1">
    <i/>
  </colItems>
  <dataFields count="1">
    <dataField name="Promedio de Prec. Soles" fld="5" subtotal="average" baseField="2" baseItem="0" numFmtId="164"/>
  </dataFields>
  <formats count="4">
    <format dxfId="15">
      <pivotArea outline="0" collapsedLevelsAreSubtotals="1" fieldPosition="0"/>
    </format>
    <format dxfId="14">
      <pivotArea dataOnly="0" fieldPosition="0">
        <references count="1">
          <reference field="2" count="1">
            <x v="29"/>
          </reference>
        </references>
      </pivotArea>
    </format>
    <format dxfId="13">
      <pivotArea collapsedLevelsAreSubtotals="1" fieldPosition="0">
        <references count="1">
          <reference field="2" count="1">
            <x v="20"/>
          </reference>
        </references>
      </pivotArea>
    </format>
    <format dxfId="12">
      <pivotArea dataOnly="0" labelOnly="1" fieldPosition="0">
        <references count="1">
          <reference field="2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Diná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G50:G51" firstHeaderRow="1" firstDataRow="1" firstDataCol="0" rowPageCount="1" colPageCount="1"/>
  <pivotFields count="20">
    <pivotField showAll="0"/>
    <pivotField showAll="0"/>
    <pivotField axis="axisPage" showAll="0">
      <items count="53">
        <item x="18"/>
        <item x="2"/>
        <item x="32"/>
        <item m="1" x="51"/>
        <item x="20"/>
        <item x="34"/>
        <item x="30"/>
        <item x="15"/>
        <item x="8"/>
        <item x="9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5"/>
        <item m="1" x="49"/>
        <item x="0"/>
        <item x="44"/>
        <item x="43"/>
        <item t="default"/>
      </items>
    </pivotField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pageFields count="1">
    <pageField fld="2" item="0" hier="-1"/>
  </pageFields>
  <dataFields count="1">
    <dataField name="Total Prec." fld="5" baseField="0" baseItem="9" numFmtId="164"/>
  </dataFields>
  <formats count="2">
    <format dxfId="17">
      <pivotArea outline="0" collapsedLevelsAreSubtotals="1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TablaDinámica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Disrtrito">
  <location ref="E5:F51" firstHeaderRow="1" firstDataRow="1" firstDataCol="1" rowPageCount="1" colPageCount="1"/>
  <pivotFields count="20">
    <pivotField showAll="0"/>
    <pivotField showAll="0"/>
    <pivotField axis="axisRow" showAll="0" sortType="descending">
      <items count="53">
        <item x="18"/>
        <item x="2"/>
        <item x="32"/>
        <item m="1" x="51"/>
        <item x="20"/>
        <item x="34"/>
        <item x="30"/>
        <item x="15"/>
        <item x="8"/>
        <item x="9"/>
        <item x="44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5"/>
        <item m="1" x="49"/>
        <item x="0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8">
        <item x="2"/>
        <item x="4"/>
        <item m="1" x="6"/>
        <item x="1"/>
        <item x="3"/>
        <item x="0"/>
        <item m="1" x="5"/>
        <item t="default"/>
      </items>
    </pivotField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"/>
  </rowFields>
  <rowItems count="46">
    <i>
      <x v="48"/>
    </i>
    <i>
      <x v="50"/>
    </i>
    <i>
      <x v="30"/>
    </i>
    <i>
      <x v="32"/>
    </i>
    <i>
      <x v="38"/>
    </i>
    <i>
      <x v="14"/>
    </i>
    <i>
      <x v="1"/>
    </i>
    <i>
      <x v="25"/>
    </i>
    <i>
      <x v="40"/>
    </i>
    <i>
      <x v="36"/>
    </i>
    <i>
      <x v="41"/>
    </i>
    <i>
      <x v="18"/>
    </i>
    <i>
      <x v="8"/>
    </i>
    <i>
      <x v="39"/>
    </i>
    <i>
      <x v="42"/>
    </i>
    <i>
      <x v="29"/>
    </i>
    <i>
      <x v="45"/>
    </i>
    <i>
      <x v="22"/>
    </i>
    <i>
      <x v="19"/>
    </i>
    <i>
      <x v="23"/>
    </i>
    <i>
      <x v="13"/>
    </i>
    <i>
      <x/>
    </i>
    <i>
      <x v="9"/>
    </i>
    <i>
      <x v="34"/>
    </i>
    <i>
      <x v="44"/>
    </i>
    <i>
      <x v="5"/>
    </i>
    <i>
      <x v="28"/>
    </i>
    <i>
      <x v="17"/>
    </i>
    <i>
      <x v="43"/>
    </i>
    <i>
      <x v="27"/>
    </i>
    <i>
      <x v="7"/>
    </i>
    <i>
      <x v="16"/>
    </i>
    <i>
      <x v="37"/>
    </i>
    <i>
      <x v="46"/>
    </i>
    <i>
      <x v="33"/>
    </i>
    <i>
      <x v="35"/>
    </i>
    <i>
      <x v="6"/>
    </i>
    <i>
      <x v="31"/>
    </i>
    <i>
      <x v="10"/>
    </i>
    <i>
      <x v="26"/>
    </i>
    <i>
      <x v="24"/>
    </i>
    <i>
      <x v="21"/>
    </i>
    <i>
      <x v="51"/>
    </i>
    <i>
      <x v="12"/>
    </i>
    <i>
      <x v="20"/>
    </i>
    <i t="grand">
      <x/>
    </i>
  </rowItems>
  <colItems count="1">
    <i/>
  </colItems>
  <pageFields count="1">
    <pageField fld="4" item="5" hier="-1"/>
  </pageFields>
  <dataFields count="1">
    <dataField name="Suma de Prec. Soles" fld="5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laDinámica8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Distritos">
  <location ref="B5:C51" firstHeaderRow="1" firstDataRow="1" firstDataCol="1" rowPageCount="1" colPageCount="1"/>
  <pivotFields count="20">
    <pivotField showAll="0"/>
    <pivotField showAll="0"/>
    <pivotField axis="axisRow" showAll="0" sortType="descending">
      <items count="53">
        <item x="18"/>
        <item x="2"/>
        <item x="32"/>
        <item m="1" x="51"/>
        <item x="20"/>
        <item x="34"/>
        <item x="30"/>
        <item x="15"/>
        <item x="8"/>
        <item x="9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5"/>
        <item m="1" x="49"/>
        <item x="0"/>
        <item x="44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8">
        <item x="2"/>
        <item x="4"/>
        <item m="1" x="6"/>
        <item x="1"/>
        <item x="3"/>
        <item x="0"/>
        <item m="1" x="5"/>
        <item t="default"/>
      </items>
    </pivotField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2"/>
  </rowFields>
  <rowItems count="46">
    <i>
      <x v="29"/>
    </i>
    <i>
      <x v="44"/>
    </i>
    <i>
      <x v="24"/>
    </i>
    <i>
      <x v="39"/>
    </i>
    <i>
      <x v="47"/>
    </i>
    <i>
      <x v="28"/>
    </i>
    <i>
      <x v="15"/>
    </i>
    <i>
      <x v="31"/>
    </i>
    <i>
      <x v="43"/>
    </i>
    <i>
      <x v="49"/>
    </i>
    <i>
      <x v="37"/>
    </i>
    <i>
      <x v="13"/>
    </i>
    <i>
      <x v="41"/>
    </i>
    <i>
      <x v="7"/>
    </i>
    <i>
      <x v="6"/>
    </i>
    <i>
      <x v="40"/>
    </i>
    <i>
      <x v="30"/>
    </i>
    <i>
      <x v="50"/>
    </i>
    <i>
      <x v="8"/>
    </i>
    <i>
      <x v="42"/>
    </i>
    <i>
      <x v="33"/>
    </i>
    <i>
      <x v="5"/>
    </i>
    <i>
      <x v="1"/>
    </i>
    <i>
      <x v="17"/>
    </i>
    <i>
      <x v="22"/>
    </i>
    <i>
      <x v="25"/>
    </i>
    <i>
      <x v="16"/>
    </i>
    <i>
      <x v="21"/>
    </i>
    <i>
      <x v="18"/>
    </i>
    <i>
      <x v="36"/>
    </i>
    <i>
      <x v="38"/>
    </i>
    <i>
      <x v="12"/>
    </i>
    <i>
      <x v="45"/>
    </i>
    <i>
      <x v="26"/>
    </i>
    <i>
      <x v="34"/>
    </i>
    <i>
      <x v="35"/>
    </i>
    <i>
      <x/>
    </i>
    <i>
      <x v="27"/>
    </i>
    <i>
      <x v="9"/>
    </i>
    <i>
      <x v="51"/>
    </i>
    <i>
      <x v="11"/>
    </i>
    <i>
      <x v="19"/>
    </i>
    <i>
      <x v="23"/>
    </i>
    <i>
      <x v="32"/>
    </i>
    <i>
      <x v="20"/>
    </i>
    <i t="grand">
      <x/>
    </i>
  </rowItems>
  <colItems count="1">
    <i/>
  </colItems>
  <pageFields count="1">
    <pageField fld="4" item="5" hier="-1"/>
  </pageFields>
  <dataFields count="1">
    <dataField name="Promedio de Prec. Soles" fld="5" subtotal="average" baseField="2" baseItem="0" numFmtId="164"/>
  </dataFields>
  <formats count="1"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laDinámica1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57:G328" firstHeaderRow="1" firstDataRow="1" firstDataCol="1" rowPageCount="1" colPageCount="1"/>
  <pivotFields count="20">
    <pivotField dataField="1" showAll="0"/>
    <pivotField showAll="0"/>
    <pivotField showAll="0"/>
    <pivotField showAll="0"/>
    <pivotField axis="axisPage" showAll="0">
      <items count="8">
        <item x="2"/>
        <item x="4"/>
        <item m="1" x="6"/>
        <item x="1"/>
        <item x="3"/>
        <item x="0"/>
        <item m="1" x="5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286">
        <item x="189"/>
        <item x="263"/>
        <item x="232"/>
        <item x="252"/>
        <item x="187"/>
        <item x="71"/>
        <item x="220"/>
        <item x="47"/>
        <item x="131"/>
        <item x="133"/>
        <item x="261"/>
        <item x="178"/>
        <item x="153"/>
        <item x="258"/>
        <item x="12"/>
        <item x="188"/>
        <item x="272"/>
        <item x="241"/>
        <item x="24"/>
        <item x="41"/>
        <item x="273"/>
        <item x="60"/>
        <item x="55"/>
        <item x="34"/>
        <item x="172"/>
        <item x="7"/>
        <item x="200"/>
        <item x="18"/>
        <item x="253"/>
        <item x="173"/>
        <item x="167"/>
        <item x="16"/>
        <item x="229"/>
        <item x="260"/>
        <item x="104"/>
        <item x="181"/>
        <item x="4"/>
        <item x="79"/>
        <item x="113"/>
        <item x="270"/>
        <item x="108"/>
        <item x="250"/>
        <item x="78"/>
        <item x="67"/>
        <item x="61"/>
        <item x="237"/>
        <item x="259"/>
        <item x="195"/>
        <item x="228"/>
        <item x="5"/>
        <item x="176"/>
        <item x="231"/>
        <item x="107"/>
        <item x="196"/>
        <item x="234"/>
        <item x="280"/>
        <item x="88"/>
        <item x="182"/>
        <item x="28"/>
        <item x="266"/>
        <item x="235"/>
        <item x="114"/>
        <item x="65"/>
        <item x="86"/>
        <item x="90"/>
        <item x="70"/>
        <item x="156"/>
        <item x="249"/>
        <item x="87"/>
        <item x="149"/>
        <item x="83"/>
        <item x="138"/>
        <item x="147"/>
        <item x="142"/>
        <item x="186"/>
        <item x="225"/>
        <item x="278"/>
        <item x="267"/>
        <item x="38"/>
        <item x="222"/>
        <item x="126"/>
        <item x="134"/>
        <item x="54"/>
        <item x="14"/>
        <item x="51"/>
        <item x="203"/>
        <item x="239"/>
        <item x="204"/>
        <item x="163"/>
        <item x="0"/>
        <item x="206"/>
        <item x="84"/>
        <item x="97"/>
        <item x="53"/>
        <item x="145"/>
        <item x="257"/>
        <item x="264"/>
        <item x="64"/>
        <item x="209"/>
        <item x="49"/>
        <item x="19"/>
        <item x="243"/>
        <item x="281"/>
        <item x="103"/>
        <item x="45"/>
        <item x="91"/>
        <item x="227"/>
        <item x="21"/>
        <item x="143"/>
        <item x="15"/>
        <item x="74"/>
        <item x="124"/>
        <item x="111"/>
        <item x="194"/>
        <item x="218"/>
        <item x="129"/>
        <item x="1"/>
        <item x="26"/>
        <item x="57"/>
        <item x="185"/>
        <item x="17"/>
        <item x="219"/>
        <item x="238"/>
        <item x="109"/>
        <item x="29"/>
        <item x="98"/>
        <item x="169"/>
        <item x="164"/>
        <item x="123"/>
        <item x="2"/>
        <item x="180"/>
        <item x="183"/>
        <item x="139"/>
        <item x="158"/>
        <item x="150"/>
        <item x="82"/>
        <item x="210"/>
        <item x="140"/>
        <item x="246"/>
        <item x="148"/>
        <item x="177"/>
        <item x="255"/>
        <item x="3"/>
        <item x="191"/>
        <item x="216"/>
        <item x="269"/>
        <item x="102"/>
        <item x="93"/>
        <item x="58"/>
        <item x="170"/>
        <item x="32"/>
        <item x="94"/>
        <item x="190"/>
        <item x="151"/>
        <item x="157"/>
        <item x="205"/>
        <item x="136"/>
        <item x="248"/>
        <item x="117"/>
        <item x="161"/>
        <item x="135"/>
        <item x="221"/>
        <item x="118"/>
        <item x="95"/>
        <item x="223"/>
        <item x="284"/>
        <item x="27"/>
        <item x="105"/>
        <item x="215"/>
        <item x="81"/>
        <item x="119"/>
        <item x="283"/>
        <item x="62"/>
        <item x="201"/>
        <item x="240"/>
        <item x="159"/>
        <item x="211"/>
        <item x="256"/>
        <item x="208"/>
        <item x="96"/>
        <item x="52"/>
        <item x="155"/>
        <item x="198"/>
        <item x="282"/>
        <item x="236"/>
        <item x="73"/>
        <item x="160"/>
        <item x="175"/>
        <item x="56"/>
        <item x="31"/>
        <item x="89"/>
        <item x="271"/>
        <item x="224"/>
        <item x="154"/>
        <item x="46"/>
        <item x="268"/>
        <item x="8"/>
        <item x="171"/>
        <item x="184"/>
        <item x="274"/>
        <item x="132"/>
        <item x="92"/>
        <item x="137"/>
        <item x="121"/>
        <item x="226"/>
        <item x="122"/>
        <item x="69"/>
        <item x="152"/>
        <item x="43"/>
        <item x="192"/>
        <item x="110"/>
        <item x="276"/>
        <item x="23"/>
        <item x="39"/>
        <item x="30"/>
        <item x="275"/>
        <item x="244"/>
        <item x="100"/>
        <item x="33"/>
        <item x="10"/>
        <item x="63"/>
        <item x="233"/>
        <item x="115"/>
        <item x="116"/>
        <item x="262"/>
        <item x="199"/>
        <item x="13"/>
        <item x="242"/>
        <item x="35"/>
        <item x="193"/>
        <item x="44"/>
        <item x="11"/>
        <item x="25"/>
        <item x="42"/>
        <item x="40"/>
        <item x="202"/>
        <item x="77"/>
        <item x="197"/>
        <item x="106"/>
        <item x="66"/>
        <item x="76"/>
        <item x="144"/>
        <item x="212"/>
        <item x="174"/>
        <item x="50"/>
        <item x="9"/>
        <item x="214"/>
        <item x="112"/>
        <item x="48"/>
        <item x="72"/>
        <item x="207"/>
        <item x="68"/>
        <item x="247"/>
        <item x="101"/>
        <item x="130"/>
        <item x="166"/>
        <item x="22"/>
        <item x="277"/>
        <item x="254"/>
        <item x="251"/>
        <item x="37"/>
        <item x="99"/>
        <item x="128"/>
        <item x="217"/>
        <item x="85"/>
        <item x="213"/>
        <item x="245"/>
        <item x="6"/>
        <item x="80"/>
        <item x="146"/>
        <item x="230"/>
        <item x="20"/>
        <item x="168"/>
        <item x="162"/>
        <item x="141"/>
        <item x="127"/>
        <item x="59"/>
        <item x="279"/>
        <item x="120"/>
        <item x="75"/>
        <item x="36"/>
        <item x="179"/>
        <item x="125"/>
        <item x="265"/>
        <item x="165"/>
        <item t="default"/>
      </items>
    </pivotField>
    <pivotField showAll="0"/>
  </pivotFields>
  <rowFields count="1">
    <field x="18"/>
  </rowFields>
  <rowItems count="2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2"/>
    </i>
    <i>
      <x v="264"/>
    </i>
    <i>
      <x v="265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 t="grand">
      <x/>
    </i>
  </rowItems>
  <colItems count="1">
    <i/>
  </colItems>
  <pageFields count="1">
    <pageField fld="4" item="5" hier="-1"/>
  </pageFields>
  <dataFields count="1">
    <dataField name="N° de Departamento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7CC32-0374-4667-B544-46675B3D757D}" name="TablaDinámica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I58:I59" firstHeaderRow="1" firstDataRow="1" firstDataCol="0" rowPageCount="1" colPageCount="1"/>
  <pivotFields count="20">
    <pivotField showAll="0"/>
    <pivotField showAll="0"/>
    <pivotField showAll="0"/>
    <pivotField showAll="0"/>
    <pivotField axis="axisPage" showAll="0">
      <items count="8">
        <item x="2"/>
        <item x="4"/>
        <item m="1" x="6"/>
        <item x="1"/>
        <item x="3"/>
        <item x="0"/>
        <item m="1" x="5"/>
        <item t="default"/>
      </items>
    </pivotField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Items count="1">
    <i/>
  </rowItems>
  <colItems count="1">
    <i/>
  </colItems>
  <pageFields count="1">
    <pageField fld="4" item="5" hier="-1"/>
  </pageFields>
  <dataFields count="1">
    <dataField name="Máx. de Prec. Soles" fld="5" subtotal="max" baseField="0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aDinámica1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Núm. Dormitorios">
  <location ref="K5:L19" firstHeaderRow="1" firstDataRow="1" firstDataCol="1" rowPageCount="1" colPageCount="1"/>
  <pivotFields count="20">
    <pivotField dataField="1" showAll="0"/>
    <pivotField showAll="0"/>
    <pivotField showAll="0"/>
    <pivotField showAll="0"/>
    <pivotField axis="axisPage" showAll="0">
      <items count="8">
        <item x="2"/>
        <item x="4"/>
        <item m="1" x="6"/>
        <item x="1"/>
        <item x="3"/>
        <item x="0"/>
        <item m="1" x="5"/>
        <item t="default"/>
      </items>
    </pivotField>
    <pivotField numFmtId="164" showAll="0"/>
    <pivotField numFmtId="164" showAll="0"/>
    <pivotField axis="axisRow" showAll="0">
      <items count="14">
        <item x="2"/>
        <item x="0"/>
        <item x="1"/>
        <item x="4"/>
        <item x="3"/>
        <item x="12"/>
        <item x="6"/>
        <item x="8"/>
        <item x="9"/>
        <item x="11"/>
        <item x="7"/>
        <item x="5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4" item="5" hier="-1"/>
  </pageFields>
  <dataFields count="1">
    <dataField name="Departamentos" fld="0" subtotal="count" baseField="0" baseItem="0"/>
  </dataFields>
  <formats count="1"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aDinámica1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Año de Construc.">
  <location ref="B57:C97" firstHeaderRow="1" firstDataRow="1" firstDataCol="1" rowPageCount="1" colPageCount="1"/>
  <pivotFields count="20">
    <pivotField showAll="0"/>
    <pivotField showAll="0"/>
    <pivotField showAll="0">
      <items count="53">
        <item x="18"/>
        <item x="2"/>
        <item x="32"/>
        <item m="1" x="51"/>
        <item x="20"/>
        <item x="34"/>
        <item x="30"/>
        <item x="15"/>
        <item x="8"/>
        <item x="9"/>
        <item x="44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43"/>
        <item x="5"/>
        <item m="1" x="49"/>
        <item x="0"/>
        <item t="default"/>
      </items>
    </pivotField>
    <pivotField showAll="0"/>
    <pivotField axis="axisPage" showAll="0">
      <items count="8">
        <item x="2"/>
        <item x="4"/>
        <item m="1" x="6"/>
        <item x="1"/>
        <item x="3"/>
        <item x="0"/>
        <item m="1" x="5"/>
        <item t="default"/>
      </items>
    </pivotField>
    <pivotField dataField="1" numFmtId="164" showAll="0"/>
    <pivotField numFmtId="164" showAll="0"/>
    <pivotField showAll="0"/>
    <pivotField showAll="0"/>
    <pivotField showAll="0"/>
    <pivotField showAll="0"/>
    <pivotField showAll="0"/>
    <pivotField axis="axisRow" showAll="0">
      <items count="40">
        <item x="21"/>
        <item x="4"/>
        <item x="36"/>
        <item x="32"/>
        <item x="37"/>
        <item x="33"/>
        <item x="22"/>
        <item x="14"/>
        <item x="35"/>
        <item x="26"/>
        <item x="24"/>
        <item x="34"/>
        <item x="31"/>
        <item x="28"/>
        <item x="29"/>
        <item x="5"/>
        <item x="23"/>
        <item x="25"/>
        <item x="10"/>
        <item x="38"/>
        <item x="18"/>
        <item x="30"/>
        <item x="27"/>
        <item x="17"/>
        <item x="15"/>
        <item x="0"/>
        <item x="7"/>
        <item x="20"/>
        <item x="19"/>
        <item x="13"/>
        <item x="8"/>
        <item x="16"/>
        <item x="12"/>
        <item x="6"/>
        <item x="11"/>
        <item x="2"/>
        <item x="1"/>
        <item x="3"/>
        <item x="9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12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pageFields count="1">
    <pageField fld="4" item="5" hier="-1"/>
  </pageFields>
  <dataFields count="1">
    <dataField name="Tendencias de precio" fld="5" subtotal="average" baseField="12" baseItem="0" numFmtId="164"/>
  </dataFields>
  <formats count="1">
    <format dxfId="3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Dinámica10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Distrito">
  <location ref="H6:I9" firstHeaderRow="1" firstDataRow="1" firstDataCol="1" rowPageCount="2" colPageCount="1"/>
  <pivotFields count="20">
    <pivotField dataField="1" showAll="0"/>
    <pivotField showAll="0"/>
    <pivotField axis="axisPage" showAll="0" sortType="descending">
      <items count="53">
        <item x="18"/>
        <item x="2"/>
        <item x="32"/>
        <item m="1" x="51"/>
        <item x="20"/>
        <item x="34"/>
        <item x="30"/>
        <item x="15"/>
        <item x="8"/>
        <item x="9"/>
        <item x="44"/>
        <item m="1" x="50"/>
        <item x="23"/>
        <item x="22"/>
        <item x="21"/>
        <item x="17"/>
        <item x="48"/>
        <item x="26"/>
        <item x="3"/>
        <item x="29"/>
        <item x="39"/>
        <item x="36"/>
        <item x="13"/>
        <item x="25"/>
        <item x="19"/>
        <item x="24"/>
        <item x="45"/>
        <item x="6"/>
        <item x="28"/>
        <item x="31"/>
        <item x="11"/>
        <item x="47"/>
        <item x="7"/>
        <item x="40"/>
        <item x="14"/>
        <item x="35"/>
        <item x="16"/>
        <item x="27"/>
        <item x="4"/>
        <item x="10"/>
        <item x="41"/>
        <item x="38"/>
        <item x="33"/>
        <item x="37"/>
        <item x="12"/>
        <item x="46"/>
        <item x="42"/>
        <item x="1"/>
        <item x="43"/>
        <item x="5"/>
        <item m="1" x="49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howAll="0">
      <items count="8">
        <item x="2"/>
        <item x="4"/>
        <item m="1" x="6"/>
        <item x="1"/>
        <item x="3"/>
        <item x="0"/>
        <item m="1" x="5"/>
        <item t="default"/>
      </items>
    </pivotField>
    <pivotField numFmtId="164"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pageFields count="2">
    <pageField fld="4" item="5" hier="-1"/>
    <pageField fld="2" hier="-1"/>
  </pageFields>
  <dataFields count="1">
    <dataField name="Cuenta de Título" fld="0" subtotal="count" baseField="0" baseItem="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strito" xr10:uid="{ECB8FFA8-1165-4065-91F6-819BAA22B982}" sourceName="Distrito">
  <pivotTables>
    <pivotTable tabId="10" name="TablaDinámica13"/>
  </pivotTables>
  <data>
    <tabular pivotCacheId="1306390019">
      <items count="52">
        <i x="18" s="1"/>
        <i x="2" s="1"/>
        <i x="34" s="1"/>
        <i x="30" s="1"/>
        <i x="15" s="1"/>
        <i x="8" s="1"/>
        <i x="9" s="1"/>
        <i x="44" s="1"/>
        <i x="23" s="1"/>
        <i x="22" s="1"/>
        <i x="21" s="1"/>
        <i x="48" s="1"/>
        <i x="26" s="1"/>
        <i x="3" s="1"/>
        <i x="29" s="1"/>
        <i x="39" s="1"/>
        <i x="36" s="1"/>
        <i x="13" s="1"/>
        <i x="25" s="1"/>
        <i x="19" s="1"/>
        <i x="24" s="1"/>
        <i x="45" s="1"/>
        <i x="6" s="1"/>
        <i x="28" s="1"/>
        <i x="31" s="1"/>
        <i x="11" s="1"/>
        <i x="47" s="1"/>
        <i x="7" s="1"/>
        <i x="40" s="1"/>
        <i x="14" s="1"/>
        <i x="35" s="1"/>
        <i x="16" s="1"/>
        <i x="27" s="1"/>
        <i x="4" s="1"/>
        <i x="10" s="1"/>
        <i x="41" s="1"/>
        <i x="38" s="1"/>
        <i x="33" s="1"/>
        <i x="37" s="1"/>
        <i x="12" s="1"/>
        <i x="46" s="1"/>
        <i x="42" s="1"/>
        <i x="43" s="1"/>
        <i x="5" s="1"/>
        <i x="0" s="1"/>
        <i x="32" s="1" nd="1"/>
        <i x="51" s="1" nd="1"/>
        <i x="20" s="1" nd="1"/>
        <i x="50" s="1" nd="1"/>
        <i x="17" s="1" nd="1"/>
        <i x="1" s="1" nd="1"/>
        <i x="4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4771966D-4185-44A7-B274-CCEA74B5FDB5}" sourceName="Ciudad">
  <pivotTables>
    <pivotTable tabId="10" name="TablaDinámica13"/>
  </pivotTables>
  <data>
    <tabular pivotCacheId="1306390019">
      <items count="7">
        <i x="2"/>
        <i x="4"/>
        <i x="1"/>
        <i x="3"/>
        <i x="0" s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strito" xr10:uid="{A8E1318A-99C0-4E9B-B7A5-D5B146434BC7}" cache="SegmentaciónDeDatos_Distrito" caption="Distrito" rowHeight="234950"/>
  <slicer name="Ciudad" xr10:uid="{AAEC1434-76EA-4D11-AF4B-0EACBC25E7D7}" cache="SegmentaciónDeDatos_Ciudad" caption="Ciudad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DAlquilerDepartamentos" displayName="BDAlquilerDepartamentos" ref="B5:U926" totalsRowShown="0" headerRowDxfId="29">
  <autoFilter ref="B5:U926" xr:uid="{00000000-0009-0000-0100-000001000000}"/>
  <tableColumns count="20">
    <tableColumn id="1" xr3:uid="{00000000-0010-0000-0000-000001000000}" name="Título"/>
    <tableColumn id="2" xr3:uid="{00000000-0010-0000-0000-000002000000}" name="Dirección"/>
    <tableColumn id="3" xr3:uid="{00000000-0010-0000-0000-000003000000}" name="Distrito"/>
    <tableColumn id="4" xr3:uid="{00000000-0010-0000-0000-000004000000}" name="Departamento"/>
    <tableColumn id="5" xr3:uid="{00000000-0010-0000-0000-000005000000}" name="Ciudad"/>
    <tableColumn id="6" xr3:uid="{00000000-0010-0000-0000-000006000000}" name="Prec. Soles" dataDxfId="28"/>
    <tableColumn id="19" xr3:uid="{00000000-0010-0000-0000-000013000000}" name="Mantenimiento" dataDxfId="27">
      <calculatedColumnFormula>+IF(BDAlquilerDepartamentos[[#This Row],[Ciudad]]="Lima",BDAlquilerDepartamentos[[#This Row],[Prec. Soles]]*0.1,BDAlquilerDepartamentos[[#This Row],[Prec. Soles]]*0.05)</calculatedColumnFormula>
    </tableColumn>
    <tableColumn id="7" xr3:uid="{00000000-0010-0000-0000-000007000000}" name="N° de Dorm." dataDxfId="26"/>
    <tableColumn id="8" xr3:uid="{00000000-0010-0000-0000-000008000000}" name="N° de Baños" dataDxfId="25"/>
    <tableColumn id="9" xr3:uid="{00000000-0010-0000-0000-000009000000}" name="Ascensor" dataDxfId="24"/>
    <tableColumn id="10" xr3:uid="{00000000-0010-0000-0000-00000A000000}" name="Estacionamiento" dataDxfId="23"/>
    <tableColumn id="11" xr3:uid="{00000000-0010-0000-0000-00000B000000}" name="Área m²" dataDxfId="22"/>
    <tableColumn id="12" xr3:uid="{00000000-0010-0000-0000-00000C000000}" name="Año de Const." dataDxfId="21"/>
    <tableColumn id="20" xr3:uid="{00000000-0010-0000-0000-000014000000}" name="Costo Dpto" dataDxfId="20">
      <calculatedColumnFormula>+IF(BDAlquilerDepartamentos[[#This Row],[Prec. Soles]]&gt;2500,"Caro","Economico")</calculatedColumnFormula>
    </tableColumn>
    <tableColumn id="21" xr3:uid="{00000000-0010-0000-0000-000015000000}" name="Recomendado" dataDxfId="19">
      <calculatedColumnFormula>+IF(AND(BDAlquilerDepartamentos[[#This Row],[N° de Dorm.]]&gt; 3,BDAlquilerDepartamentos[[#This Row],[Prec. Soles]]&lt;= 2500),"Buena Oferta", "Precio Estadar")</calculatedColumnFormula>
    </tableColumn>
    <tableColumn id="13" xr3:uid="{00000000-0010-0000-0000-00000D000000}" name="Tipo de Inmueble"/>
    <tableColumn id="14" xr3:uid="{00000000-0010-0000-0000-00000E000000}" name="Operación"/>
    <tableColumn id="15" xr3:uid="{00000000-0010-0000-0000-00000F000000}" name="Fecha de Publicaión" dataDxfId="18"/>
    <tableColumn id="16" xr3:uid="{00000000-0010-0000-0000-000010000000}" name="Publicado Por"/>
    <tableColumn id="17" xr3:uid="{00000000-0010-0000-0000-000011000000}" name="Enla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9CC"/>
  </sheetPr>
  <dimension ref="A1:B8"/>
  <sheetViews>
    <sheetView showGridLines="0" workbookViewId="0">
      <pane ySplit="2" topLeftCell="A3" activePane="bottomLeft" state="frozen"/>
      <selection activeCell="A2" sqref="A2"/>
      <selection pane="bottomLeft" activeCell="B6" sqref="B6"/>
    </sheetView>
  </sheetViews>
  <sheetFormatPr baseColWidth="10" defaultRowHeight="14.4" x14ac:dyDescent="0.3"/>
  <sheetData>
    <row r="1" spans="1:2" s="1" customFormat="1" x14ac:dyDescent="0.3">
      <c r="A1" s="1" t="s">
        <v>1083</v>
      </c>
    </row>
    <row r="2" spans="1:2" s="1" customFormat="1" x14ac:dyDescent="0.3">
      <c r="A2" s="1" t="s">
        <v>1084</v>
      </c>
    </row>
    <row r="4" spans="1:2" x14ac:dyDescent="0.3">
      <c r="B4" s="2" t="s">
        <v>1085</v>
      </c>
    </row>
    <row r="5" spans="1:2" x14ac:dyDescent="0.3">
      <c r="B5" s="2" t="s">
        <v>1086</v>
      </c>
    </row>
    <row r="6" spans="1:2" x14ac:dyDescent="0.3">
      <c r="B6" s="21" t="s">
        <v>1087</v>
      </c>
    </row>
    <row r="7" spans="1:2" x14ac:dyDescent="0.3">
      <c r="B7" s="2" t="s">
        <v>1088</v>
      </c>
    </row>
    <row r="8" spans="1:2" x14ac:dyDescent="0.3">
      <c r="B8" s="2" t="s">
        <v>1089</v>
      </c>
    </row>
  </sheetData>
  <hyperlinks>
    <hyperlink ref="B4" location="ReadMe!A1" display="1.- ReadMe" xr:uid="{00000000-0004-0000-0000-000000000000}"/>
    <hyperlink ref="B5" location="'Dataset_Análisis de alquiler de'!A1" display="2.- Dasaset" xr:uid="{00000000-0004-0000-0000-000001000000}"/>
    <hyperlink ref="B7" location="'Preguntas y Respuestas'!A1" display="4.- Preguntas y Respuestas" xr:uid="{00000000-0004-0000-0000-000002000000}"/>
    <hyperlink ref="B8" location="Dashboard!A1" display="5.- Dashboard" xr:uid="{00000000-0004-0000-0000-000003000000}"/>
    <hyperlink ref="B6" location="DataBaseA!A1" display="3.- DataBase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9CC"/>
  </sheetPr>
  <dimension ref="A1:T19"/>
  <sheetViews>
    <sheetView showGridLines="0" workbookViewId="0">
      <selection activeCell="B4" sqref="B4:T4"/>
    </sheetView>
  </sheetViews>
  <sheetFormatPr baseColWidth="10" defaultRowHeight="14.4" x14ac:dyDescent="0.3"/>
  <cols>
    <col min="1" max="1" width="1.77734375" customWidth="1"/>
    <col min="2" max="2" width="5" style="4" customWidth="1"/>
  </cols>
  <sheetData>
    <row r="1" spans="1:20" s="1" customFormat="1" x14ac:dyDescent="0.3">
      <c r="A1" s="1" t="s">
        <v>1083</v>
      </c>
      <c r="B1" s="3"/>
    </row>
    <row r="2" spans="1:20" s="1" customFormat="1" x14ac:dyDescent="0.3">
      <c r="A2" s="1" t="s">
        <v>1084</v>
      </c>
      <c r="B2" s="3"/>
    </row>
    <row r="4" spans="1:20" x14ac:dyDescent="0.3">
      <c r="B4" s="3">
        <v>1</v>
      </c>
      <c r="C4" s="7" t="s">
        <v>1090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6" spans="1:20" x14ac:dyDescent="0.3">
      <c r="C6" t="s">
        <v>1091</v>
      </c>
    </row>
    <row r="7" spans="1:20" x14ac:dyDescent="0.3">
      <c r="C7" t="s">
        <v>1092</v>
      </c>
    </row>
    <row r="8" spans="1:20" x14ac:dyDescent="0.3">
      <c r="C8" t="s">
        <v>1093</v>
      </c>
    </row>
    <row r="10" spans="1:20" x14ac:dyDescent="0.3">
      <c r="B10" s="3">
        <v>2</v>
      </c>
      <c r="C10" s="7" t="s">
        <v>1094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1:20" x14ac:dyDescent="0.3">
      <c r="C12" t="s">
        <v>1095</v>
      </c>
    </row>
    <row r="13" spans="1:20" x14ac:dyDescent="0.3">
      <c r="C13" t="s">
        <v>1096</v>
      </c>
    </row>
    <row r="14" spans="1:20" ht="9" customHeight="1" x14ac:dyDescent="0.3"/>
    <row r="15" spans="1:20" ht="10.8" customHeight="1" x14ac:dyDescent="0.3">
      <c r="C15" t="s">
        <v>1097</v>
      </c>
    </row>
    <row r="17" spans="2:20" x14ac:dyDescent="0.3">
      <c r="B17" s="3">
        <v>3</v>
      </c>
      <c r="C17" s="7" t="s">
        <v>1098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9" spans="2:20" x14ac:dyDescent="0.3">
      <c r="B19" s="4">
        <v>1</v>
      </c>
      <c r="C19" t="s">
        <v>1099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99CC"/>
  </sheetPr>
  <dimension ref="A1:A1083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99CC"/>
  </sheetPr>
  <dimension ref="B1:U939"/>
  <sheetViews>
    <sheetView showGridLines="0" tabSelected="1" topLeftCell="A912" zoomScale="90" zoomScaleNormal="90" workbookViewId="0">
      <selection activeCell="H926" sqref="H926"/>
    </sheetView>
  </sheetViews>
  <sheetFormatPr baseColWidth="10" defaultRowHeight="14.4" x14ac:dyDescent="0.3"/>
  <cols>
    <col min="1" max="1" width="2.5546875" customWidth="1"/>
    <col min="2" max="2" width="22.5546875" customWidth="1"/>
    <col min="3" max="3" width="16.77734375" customWidth="1"/>
    <col min="4" max="4" width="17" customWidth="1"/>
    <col min="5" max="5" width="15.109375" customWidth="1"/>
    <col min="6" max="6" width="16.21875" bestFit="1" customWidth="1"/>
    <col min="7" max="7" width="15.5546875" style="8" bestFit="1" customWidth="1"/>
    <col min="8" max="8" width="15.5546875" style="8" customWidth="1"/>
    <col min="9" max="9" width="13.109375" style="4" customWidth="1"/>
    <col min="10" max="10" width="13" style="4" customWidth="1"/>
    <col min="11" max="11" width="11.5546875" style="4"/>
    <col min="12" max="12" width="16.88671875" style="4" customWidth="1"/>
    <col min="13" max="13" width="11.5546875" style="4"/>
    <col min="14" max="16" width="14.6640625" style="4" customWidth="1"/>
    <col min="17" max="17" width="17.5546875" customWidth="1"/>
    <col min="19" max="19" width="22.6640625" style="4" customWidth="1"/>
    <col min="20" max="20" width="41.109375" customWidth="1"/>
    <col min="21" max="21" width="83.5546875" bestFit="1" customWidth="1"/>
  </cols>
  <sheetData>
    <row r="1" spans="2:21" s="1" customFormat="1" x14ac:dyDescent="0.3">
      <c r="B1" s="1" t="s">
        <v>1083</v>
      </c>
      <c r="C1" s="3"/>
      <c r="I1" s="3"/>
      <c r="J1" s="3"/>
      <c r="K1" s="3"/>
      <c r="L1" s="3"/>
      <c r="M1" s="3"/>
      <c r="N1" s="3"/>
      <c r="O1" s="3"/>
      <c r="P1" s="3"/>
      <c r="S1" s="3"/>
    </row>
    <row r="2" spans="2:21" s="1" customFormat="1" x14ac:dyDescent="0.3">
      <c r="B2" s="1" t="s">
        <v>1084</v>
      </c>
      <c r="C2" s="3"/>
      <c r="I2" s="3"/>
      <c r="J2" s="3"/>
      <c r="K2" s="3"/>
      <c r="L2" s="3"/>
      <c r="M2" s="3"/>
      <c r="N2" s="3"/>
      <c r="O2" s="3"/>
      <c r="P2" s="3"/>
      <c r="S2" s="3"/>
    </row>
    <row r="3" spans="2:21" s="13" customFormat="1" x14ac:dyDescent="0.3">
      <c r="G3" s="14"/>
      <c r="H3" s="14"/>
      <c r="I3" s="16"/>
      <c r="J3" s="16"/>
      <c r="K3" s="16"/>
      <c r="L3" s="16"/>
      <c r="M3" s="16"/>
      <c r="N3" s="16"/>
      <c r="O3" s="16"/>
      <c r="P3" s="16"/>
      <c r="S3" s="15"/>
    </row>
    <row r="4" spans="2:21" s="13" customFormat="1" x14ac:dyDescent="0.3">
      <c r="G4" s="14"/>
      <c r="H4" s="14"/>
      <c r="I4" s="16"/>
      <c r="J4" s="16"/>
      <c r="K4" s="16"/>
      <c r="L4" s="16"/>
      <c r="M4" s="16"/>
      <c r="N4" s="16"/>
      <c r="O4" s="16"/>
      <c r="P4" s="16"/>
      <c r="S4" s="15"/>
    </row>
    <row r="5" spans="2:21" s="10" customFormat="1" x14ac:dyDescent="0.3">
      <c r="B5" s="10" t="s">
        <v>2413</v>
      </c>
      <c r="C5" s="10" t="s">
        <v>2801</v>
      </c>
      <c r="D5" s="10" t="s">
        <v>2794</v>
      </c>
      <c r="E5" s="10" t="s">
        <v>2796</v>
      </c>
      <c r="F5" s="10" t="s">
        <v>2795</v>
      </c>
      <c r="G5" s="12" t="s">
        <v>2810</v>
      </c>
      <c r="H5" s="20" t="s">
        <v>3101</v>
      </c>
      <c r="I5" s="10" t="s">
        <v>3092</v>
      </c>
      <c r="J5" s="10" t="s">
        <v>2811</v>
      </c>
      <c r="K5" s="10" t="s">
        <v>3094</v>
      </c>
      <c r="L5" s="10" t="s">
        <v>3097</v>
      </c>
      <c r="M5" s="10" t="s">
        <v>3093</v>
      </c>
      <c r="N5" s="10" t="s">
        <v>2812</v>
      </c>
      <c r="O5" s="22" t="s">
        <v>3111</v>
      </c>
      <c r="P5" s="22" t="s">
        <v>3144</v>
      </c>
      <c r="Q5" s="10" t="s">
        <v>2410</v>
      </c>
      <c r="R5" s="10" t="s">
        <v>2411</v>
      </c>
      <c r="S5" s="10" t="s">
        <v>2412</v>
      </c>
      <c r="T5" s="10" t="s">
        <v>2813</v>
      </c>
      <c r="U5" s="10" t="s">
        <v>2414</v>
      </c>
    </row>
    <row r="6" spans="2:21" x14ac:dyDescent="0.3">
      <c r="B6" t="s">
        <v>1100</v>
      </c>
      <c r="C6" t="s">
        <v>2415</v>
      </c>
      <c r="D6" t="s">
        <v>2436</v>
      </c>
      <c r="E6" t="s">
        <v>2580</v>
      </c>
      <c r="F6" t="s">
        <v>2580</v>
      </c>
      <c r="G6" s="8">
        <v>3330</v>
      </c>
      <c r="H6" s="8">
        <f>+IF(BDAlquilerDepartamentos[[#This Row],[Ciudad]]="Lima",BDAlquilerDepartamentos[[#This Row],[Prec. Soles]]*0.1,BDAlquilerDepartamentos[[#This Row],[Prec. Soles]]*0.05)</f>
        <v>333</v>
      </c>
      <c r="I6" s="4">
        <v>2</v>
      </c>
      <c r="J6" s="4">
        <v>2</v>
      </c>
      <c r="K6" s="19" t="s">
        <v>3095</v>
      </c>
      <c r="L6" s="19" t="s">
        <v>3095</v>
      </c>
      <c r="M6" s="4">
        <v>103</v>
      </c>
      <c r="N6" s="4">
        <v>2010</v>
      </c>
      <c r="O6" s="4" t="str">
        <f>+IF(BDAlquilerDepartamentos[[#This Row],[Prec. Soles]]&gt;2500,"Caro","Economico")</f>
        <v>Caro</v>
      </c>
      <c r="P6" s="4" t="str">
        <f>+IF(AND(BDAlquilerDepartamentos[[#This Row],[N° de Dorm.]]&gt; 3,BDAlquilerDepartamentos[[#This Row],[Prec. Soles]]&lt;= 2500),"Buena Oferta", "Precio Estadar")</f>
        <v>Precio Estadar</v>
      </c>
      <c r="Q6" t="s">
        <v>1101</v>
      </c>
      <c r="R6" t="s">
        <v>1102</v>
      </c>
      <c r="S6" s="11">
        <v>45527</v>
      </c>
      <c r="T6" t="s">
        <v>2814</v>
      </c>
      <c r="U6" t="s">
        <v>1103</v>
      </c>
    </row>
    <row r="7" spans="2:21" x14ac:dyDescent="0.3">
      <c r="B7" t="s">
        <v>1104</v>
      </c>
      <c r="C7" t="s">
        <v>2416</v>
      </c>
      <c r="D7" t="s">
        <v>2689</v>
      </c>
      <c r="E7" t="s">
        <v>2689</v>
      </c>
      <c r="F7" t="s">
        <v>2689</v>
      </c>
      <c r="G7" s="8">
        <v>3100</v>
      </c>
      <c r="H7" s="8">
        <f>+IF(BDAlquilerDepartamentos[[#This Row],[Ciudad]]="Lima",BDAlquilerDepartamentos[[#This Row],[Prec. Soles]]*0.1,BDAlquilerDepartamentos[[#This Row],[Prec. Soles]]*0.05)</f>
        <v>155</v>
      </c>
      <c r="I7" s="4">
        <v>3</v>
      </c>
      <c r="J7" s="4">
        <v>4</v>
      </c>
      <c r="K7" s="4" t="s">
        <v>3096</v>
      </c>
      <c r="L7" s="4" t="s">
        <v>3095</v>
      </c>
      <c r="M7" s="4">
        <v>151</v>
      </c>
      <c r="N7" s="4">
        <v>2021</v>
      </c>
      <c r="O7" s="4" t="str">
        <f>+IF(BDAlquilerDepartamentos[[#This Row],[Prec. Soles]]&gt;2500,"Caro","Economico")</f>
        <v>Caro</v>
      </c>
      <c r="P7" s="4" t="str">
        <f>+IF(AND(BDAlquilerDepartamentos[[#This Row],[N° de Dorm.]]&gt; 3,BDAlquilerDepartamentos[[#This Row],[Prec. Soles]]&lt;= 2500),"Buena Oferta", "Precio Estadar")</f>
        <v>Precio Estadar</v>
      </c>
      <c r="Q7" t="s">
        <v>1101</v>
      </c>
      <c r="R7" t="s">
        <v>1102</v>
      </c>
      <c r="S7" s="11">
        <v>45188</v>
      </c>
      <c r="T7" t="s">
        <v>2815</v>
      </c>
      <c r="U7" t="s">
        <v>1105</v>
      </c>
    </row>
    <row r="8" spans="2:21" x14ac:dyDescent="0.3">
      <c r="B8" t="s">
        <v>1106</v>
      </c>
      <c r="C8" t="s">
        <v>2417</v>
      </c>
      <c r="D8" t="s">
        <v>2418</v>
      </c>
      <c r="E8" t="s">
        <v>2580</v>
      </c>
      <c r="F8" t="s">
        <v>2580</v>
      </c>
      <c r="G8" s="8">
        <v>2664</v>
      </c>
      <c r="H8" s="8">
        <f>+IF(BDAlquilerDepartamentos[[#This Row],[Ciudad]]="Lima",BDAlquilerDepartamentos[[#This Row],[Prec. Soles]]*0.1,BDAlquilerDepartamentos[[#This Row],[Prec. Soles]]*0.05)</f>
        <v>266.40000000000003</v>
      </c>
      <c r="I8" s="4">
        <v>2</v>
      </c>
      <c r="J8" s="4">
        <v>2</v>
      </c>
      <c r="K8" s="4" t="s">
        <v>3095</v>
      </c>
      <c r="L8" s="4" t="s">
        <v>3095</v>
      </c>
      <c r="M8" s="4">
        <v>66</v>
      </c>
      <c r="N8" s="4">
        <v>2020</v>
      </c>
      <c r="O8" s="4" t="str">
        <f>+IF(BDAlquilerDepartamentos[[#This Row],[Prec. Soles]]&gt;2500,"Caro","Economico")</f>
        <v>Caro</v>
      </c>
      <c r="P8" s="4" t="str">
        <f>+IF(AND(BDAlquilerDepartamentos[[#This Row],[N° de Dorm.]]&gt; 3,BDAlquilerDepartamentos[[#This Row],[Prec. Soles]]&lt;= 2500),"Buena Oferta", "Precio Estadar")</f>
        <v>Precio Estadar</v>
      </c>
      <c r="Q8" t="s">
        <v>1101</v>
      </c>
      <c r="R8" t="s">
        <v>1102</v>
      </c>
      <c r="S8" s="11">
        <v>45130</v>
      </c>
      <c r="T8" t="s">
        <v>2816</v>
      </c>
      <c r="U8" t="s">
        <v>1107</v>
      </c>
    </row>
    <row r="9" spans="2:21" x14ac:dyDescent="0.3">
      <c r="B9" t="s">
        <v>1108</v>
      </c>
      <c r="C9" t="s">
        <v>2419</v>
      </c>
      <c r="D9" t="s">
        <v>2420</v>
      </c>
      <c r="E9" t="s">
        <v>2580</v>
      </c>
      <c r="F9" t="s">
        <v>2580</v>
      </c>
      <c r="G9" s="8">
        <v>2600</v>
      </c>
      <c r="H9" s="8">
        <f>+IF(BDAlquilerDepartamentos[[#This Row],[Ciudad]]="Lima",BDAlquilerDepartamentos[[#This Row],[Prec. Soles]]*0.1,BDAlquilerDepartamentos[[#This Row],[Prec. Soles]]*0.05)</f>
        <v>260</v>
      </c>
      <c r="I9" s="4">
        <v>1</v>
      </c>
      <c r="J9" s="4">
        <v>2</v>
      </c>
      <c r="K9" s="4" t="s">
        <v>3095</v>
      </c>
      <c r="L9" s="4" t="s">
        <v>3095</v>
      </c>
      <c r="M9" s="4">
        <v>60</v>
      </c>
      <c r="N9" s="4">
        <v>2020</v>
      </c>
      <c r="O9" s="4" t="str">
        <f>+IF(BDAlquilerDepartamentos[[#This Row],[Prec. Soles]]&gt;2500,"Caro","Economico")</f>
        <v>Caro</v>
      </c>
      <c r="P9" s="4" t="str">
        <f>+IF(AND(BDAlquilerDepartamentos[[#This Row],[N° de Dorm.]]&gt; 3,BDAlquilerDepartamentos[[#This Row],[Prec. Soles]]&lt;= 2500),"Buena Oferta", "Precio Estadar")</f>
        <v>Precio Estadar</v>
      </c>
      <c r="Q9" t="s">
        <v>1101</v>
      </c>
      <c r="R9" t="s">
        <v>1102</v>
      </c>
      <c r="S9" s="11">
        <v>45651</v>
      </c>
      <c r="T9" t="s">
        <v>3085</v>
      </c>
      <c r="U9" t="s">
        <v>1109</v>
      </c>
    </row>
    <row r="10" spans="2:21" x14ac:dyDescent="0.3">
      <c r="B10" t="s">
        <v>1110</v>
      </c>
      <c r="C10" t="s">
        <v>2421</v>
      </c>
      <c r="D10" t="s">
        <v>2422</v>
      </c>
      <c r="E10" t="s">
        <v>2580</v>
      </c>
      <c r="F10" t="s">
        <v>2580</v>
      </c>
      <c r="G10" s="8">
        <v>2300</v>
      </c>
      <c r="H10" s="8">
        <f>+IF(BDAlquilerDepartamentos[[#This Row],[Ciudad]]="Lima",BDAlquilerDepartamentos[[#This Row],[Prec. Soles]]*0.1,BDAlquilerDepartamentos[[#This Row],[Prec. Soles]]*0.05)</f>
        <v>230</v>
      </c>
      <c r="I10" s="4">
        <v>2</v>
      </c>
      <c r="J10" s="4">
        <v>2</v>
      </c>
      <c r="K10" s="4" t="s">
        <v>3096</v>
      </c>
      <c r="L10" s="4" t="s">
        <v>3095</v>
      </c>
      <c r="M10" s="4">
        <v>50</v>
      </c>
      <c r="N10" s="4">
        <v>2022</v>
      </c>
      <c r="O10" s="4" t="str">
        <f>+IF(BDAlquilerDepartamentos[[#This Row],[Prec. Soles]]&gt;2500,"Caro","Economico")</f>
        <v>Economico</v>
      </c>
      <c r="P10" s="4" t="str">
        <f>+IF(AND(BDAlquilerDepartamentos[[#This Row],[N° de Dorm.]]&gt; 3,BDAlquilerDepartamentos[[#This Row],[Prec. Soles]]&lt;= 2500),"Buena Oferta", "Precio Estadar")</f>
        <v>Precio Estadar</v>
      </c>
      <c r="Q10" t="s">
        <v>1101</v>
      </c>
      <c r="R10" t="s">
        <v>1102</v>
      </c>
      <c r="S10" s="11">
        <v>45485</v>
      </c>
      <c r="T10" t="s">
        <v>2817</v>
      </c>
      <c r="U10" t="s">
        <v>1111</v>
      </c>
    </row>
    <row r="11" spans="2:21" x14ac:dyDescent="0.3">
      <c r="B11" t="s">
        <v>1112</v>
      </c>
      <c r="C11" t="s">
        <v>2423</v>
      </c>
      <c r="D11" t="s">
        <v>2580</v>
      </c>
      <c r="E11" t="s">
        <v>2580</v>
      </c>
      <c r="F11" t="s">
        <v>2580</v>
      </c>
      <c r="G11" s="8">
        <v>8510</v>
      </c>
      <c r="H11" s="8">
        <f>+IF(BDAlquilerDepartamentos[[#This Row],[Ciudad]]="Lima",BDAlquilerDepartamentos[[#This Row],[Prec. Soles]]*0.1,BDAlquilerDepartamentos[[#This Row],[Prec. Soles]]*0.05)</f>
        <v>851</v>
      </c>
      <c r="I11" s="4">
        <v>5</v>
      </c>
      <c r="J11" s="4">
        <v>3</v>
      </c>
      <c r="K11" s="4" t="s">
        <v>3095</v>
      </c>
      <c r="L11" s="4" t="s">
        <v>3096</v>
      </c>
      <c r="M11" s="4">
        <v>194</v>
      </c>
      <c r="N11" s="4">
        <v>1962</v>
      </c>
      <c r="O11" s="4" t="str">
        <f>+IF(BDAlquilerDepartamentos[[#This Row],[Prec. Soles]]&gt;2500,"Caro","Economico")</f>
        <v>Caro</v>
      </c>
      <c r="P11" s="4" t="str">
        <f>+IF(AND(BDAlquilerDepartamentos[[#This Row],[N° de Dorm.]]&gt; 3,BDAlquilerDepartamentos[[#This Row],[Prec. Soles]]&lt;= 2500),"Buena Oferta", "Precio Estadar")</f>
        <v>Precio Estadar</v>
      </c>
      <c r="Q11" t="s">
        <v>1113</v>
      </c>
      <c r="R11" t="s">
        <v>1102</v>
      </c>
      <c r="S11" s="11">
        <v>45244</v>
      </c>
      <c r="T11" t="s">
        <v>2818</v>
      </c>
      <c r="U11" t="s">
        <v>1114</v>
      </c>
    </row>
    <row r="12" spans="2:21" x14ac:dyDescent="0.3">
      <c r="B12" t="s">
        <v>1116</v>
      </c>
      <c r="C12" t="s">
        <v>2424</v>
      </c>
      <c r="D12" t="s">
        <v>2425</v>
      </c>
      <c r="E12" t="s">
        <v>2580</v>
      </c>
      <c r="F12" t="s">
        <v>2580</v>
      </c>
      <c r="G12" s="8">
        <v>4440</v>
      </c>
      <c r="H12" s="8">
        <f>+IF(BDAlquilerDepartamentos[[#This Row],[Ciudad]]="Lima",BDAlquilerDepartamentos[[#This Row],[Prec. Soles]]*0.1,BDAlquilerDepartamentos[[#This Row],[Prec. Soles]]*0.05)</f>
        <v>444</v>
      </c>
      <c r="I12" s="4">
        <v>1</v>
      </c>
      <c r="J12" s="4">
        <v>2</v>
      </c>
      <c r="K12" s="4" t="s">
        <v>3096</v>
      </c>
      <c r="L12" s="4" t="s">
        <v>3095</v>
      </c>
      <c r="M12" s="4">
        <v>134</v>
      </c>
      <c r="N12" s="4">
        <v>2000</v>
      </c>
      <c r="O12" s="4" t="str">
        <f>+IF(BDAlquilerDepartamentos[[#This Row],[Prec. Soles]]&gt;2500,"Caro","Economico")</f>
        <v>Caro</v>
      </c>
      <c r="P12" s="4" t="str">
        <f>+IF(AND(BDAlquilerDepartamentos[[#This Row],[N° de Dorm.]]&gt; 3,BDAlquilerDepartamentos[[#This Row],[Prec. Soles]]&lt;= 2500),"Buena Oferta", "Precio Estadar")</f>
        <v>Precio Estadar</v>
      </c>
      <c r="Q12" t="s">
        <v>1101</v>
      </c>
      <c r="R12" t="s">
        <v>1102</v>
      </c>
      <c r="S12" s="11">
        <v>45431</v>
      </c>
      <c r="T12" t="s">
        <v>3085</v>
      </c>
      <c r="U12" t="s">
        <v>1117</v>
      </c>
    </row>
    <row r="13" spans="2:21" x14ac:dyDescent="0.3">
      <c r="B13" t="s">
        <v>1118</v>
      </c>
      <c r="C13" t="s">
        <v>2426</v>
      </c>
      <c r="D13" t="s">
        <v>2436</v>
      </c>
      <c r="E13" t="s">
        <v>2580</v>
      </c>
      <c r="F13" t="s">
        <v>2580</v>
      </c>
      <c r="G13" s="8">
        <v>5365</v>
      </c>
      <c r="H13" s="8">
        <f>+IF(BDAlquilerDepartamentos[[#This Row],[Ciudad]]="Lima",BDAlquilerDepartamentos[[#This Row],[Prec. Soles]]*0.1,BDAlquilerDepartamentos[[#This Row],[Prec. Soles]]*0.05)</f>
        <v>536.5</v>
      </c>
      <c r="I13" s="4">
        <v>4</v>
      </c>
      <c r="J13" s="4">
        <v>2</v>
      </c>
      <c r="K13" s="4" t="s">
        <v>3095</v>
      </c>
      <c r="L13" s="4" t="s">
        <v>3096</v>
      </c>
      <c r="M13" s="4">
        <v>185</v>
      </c>
      <c r="N13" s="4">
        <v>2000</v>
      </c>
      <c r="O13" s="4" t="str">
        <f>+IF(BDAlquilerDepartamentos[[#This Row],[Prec. Soles]]&gt;2500,"Caro","Economico")</f>
        <v>Caro</v>
      </c>
      <c r="P13" s="4" t="str">
        <f>+IF(AND(BDAlquilerDepartamentos[[#This Row],[N° de Dorm.]]&gt; 3,BDAlquilerDepartamentos[[#This Row],[Prec. Soles]]&lt;= 2500),"Buena Oferta", "Precio Estadar")</f>
        <v>Precio Estadar</v>
      </c>
      <c r="Q13" t="s">
        <v>1101</v>
      </c>
      <c r="R13" t="s">
        <v>1102</v>
      </c>
      <c r="S13" s="11">
        <v>45632</v>
      </c>
      <c r="T13" t="s">
        <v>2819</v>
      </c>
      <c r="U13" t="s">
        <v>1119</v>
      </c>
    </row>
    <row r="14" spans="2:21" x14ac:dyDescent="0.3">
      <c r="B14" t="s">
        <v>1120</v>
      </c>
      <c r="C14" t="s">
        <v>2427</v>
      </c>
      <c r="D14" t="s">
        <v>2428</v>
      </c>
      <c r="E14" t="s">
        <v>2580</v>
      </c>
      <c r="F14" t="s">
        <v>2580</v>
      </c>
      <c r="G14" s="8">
        <v>3000</v>
      </c>
      <c r="H14" s="8">
        <f>+IF(BDAlquilerDepartamentos[[#This Row],[Ciudad]]="Lima",BDAlquilerDepartamentos[[#This Row],[Prec. Soles]]*0.1,BDAlquilerDepartamentos[[#This Row],[Prec. Soles]]*0.05)</f>
        <v>300</v>
      </c>
      <c r="I14" s="4">
        <v>3</v>
      </c>
      <c r="J14" s="4">
        <v>3</v>
      </c>
      <c r="K14" s="4" t="s">
        <v>3096</v>
      </c>
      <c r="L14" s="4" t="s">
        <v>3095</v>
      </c>
      <c r="M14" s="4">
        <v>70</v>
      </c>
      <c r="N14" s="4">
        <v>2022</v>
      </c>
      <c r="O14" s="4" t="str">
        <f>+IF(BDAlquilerDepartamentos[[#This Row],[Prec. Soles]]&gt;2500,"Caro","Economico")</f>
        <v>Caro</v>
      </c>
      <c r="P14" s="4" t="str">
        <f>+IF(AND(BDAlquilerDepartamentos[[#This Row],[N° de Dorm.]]&gt; 3,BDAlquilerDepartamentos[[#This Row],[Prec. Soles]]&lt;= 2500),"Buena Oferta", "Precio Estadar")</f>
        <v>Precio Estadar</v>
      </c>
      <c r="Q14" t="s">
        <v>1101</v>
      </c>
      <c r="R14" t="s">
        <v>1102</v>
      </c>
      <c r="S14" s="11">
        <v>45127</v>
      </c>
      <c r="T14" t="s">
        <v>3085</v>
      </c>
      <c r="U14" t="s">
        <v>1121</v>
      </c>
    </row>
    <row r="15" spans="2:21" x14ac:dyDescent="0.3">
      <c r="B15" t="s">
        <v>1122</v>
      </c>
      <c r="C15" t="s">
        <v>2429</v>
      </c>
      <c r="D15" t="s">
        <v>2580</v>
      </c>
      <c r="E15" t="s">
        <v>2580</v>
      </c>
      <c r="F15" t="s">
        <v>2580</v>
      </c>
      <c r="G15" s="8">
        <v>2600</v>
      </c>
      <c r="H15" s="8">
        <f>+IF(BDAlquilerDepartamentos[[#This Row],[Ciudad]]="Lima",BDAlquilerDepartamentos[[#This Row],[Prec. Soles]]*0.1,BDAlquilerDepartamentos[[#This Row],[Prec. Soles]]*0.05)</f>
        <v>260</v>
      </c>
      <c r="I15" s="4">
        <v>2</v>
      </c>
      <c r="J15" s="4">
        <v>2</v>
      </c>
      <c r="K15" s="4" t="s">
        <v>3095</v>
      </c>
      <c r="L15" s="4" t="s">
        <v>3096</v>
      </c>
      <c r="M15" s="4">
        <v>70</v>
      </c>
      <c r="N15" s="4">
        <v>2022</v>
      </c>
      <c r="O15" s="4" t="str">
        <f>+IF(BDAlquilerDepartamentos[[#This Row],[Prec. Soles]]&gt;2500,"Caro","Economico")</f>
        <v>Caro</v>
      </c>
      <c r="P15" s="4" t="str">
        <f>+IF(AND(BDAlquilerDepartamentos[[#This Row],[N° de Dorm.]]&gt; 3,BDAlquilerDepartamentos[[#This Row],[Prec. Soles]]&lt;= 2500),"Buena Oferta", "Precio Estadar")</f>
        <v>Precio Estadar</v>
      </c>
      <c r="Q15" t="s">
        <v>1101</v>
      </c>
      <c r="R15" t="s">
        <v>1102</v>
      </c>
      <c r="S15" s="11">
        <v>45347</v>
      </c>
      <c r="T15" t="s">
        <v>3091</v>
      </c>
      <c r="U15" t="s">
        <v>1123</v>
      </c>
    </row>
    <row r="16" spans="2:21" x14ac:dyDescent="0.3">
      <c r="B16" t="s">
        <v>2808</v>
      </c>
      <c r="C16" t="s">
        <v>2809</v>
      </c>
      <c r="D16" t="s">
        <v>2430</v>
      </c>
      <c r="E16" t="s">
        <v>2580</v>
      </c>
      <c r="F16" t="s">
        <v>2580</v>
      </c>
      <c r="G16" s="8">
        <v>1600</v>
      </c>
      <c r="H16" s="8">
        <f>+IF(BDAlquilerDepartamentos[[#This Row],[Ciudad]]="Lima",BDAlquilerDepartamentos[[#This Row],[Prec. Soles]]*0.1,BDAlquilerDepartamentos[[#This Row],[Prec. Soles]]*0.05)</f>
        <v>160</v>
      </c>
      <c r="I16" s="4">
        <v>3</v>
      </c>
      <c r="J16" s="4">
        <v>2</v>
      </c>
      <c r="K16" s="4" t="s">
        <v>3096</v>
      </c>
      <c r="L16" s="4" t="s">
        <v>3096</v>
      </c>
      <c r="M16" s="4">
        <v>76</v>
      </c>
      <c r="N16" s="4">
        <v>2018</v>
      </c>
      <c r="O16" s="4" t="str">
        <f>+IF(BDAlquilerDepartamentos[[#This Row],[Prec. Soles]]&gt;2500,"Caro","Economico")</f>
        <v>Economico</v>
      </c>
      <c r="P16" s="4" t="str">
        <f>+IF(AND(BDAlquilerDepartamentos[[#This Row],[N° de Dorm.]]&gt; 3,BDAlquilerDepartamentos[[#This Row],[Prec. Soles]]&lt;= 2500),"Buena Oferta", "Precio Estadar")</f>
        <v>Precio Estadar</v>
      </c>
      <c r="Q16" t="s">
        <v>1101</v>
      </c>
      <c r="R16" t="s">
        <v>1102</v>
      </c>
      <c r="S16" s="11">
        <v>45185</v>
      </c>
      <c r="T16" t="s">
        <v>2820</v>
      </c>
      <c r="U16" t="s">
        <v>1124</v>
      </c>
    </row>
    <row r="17" spans="2:21" x14ac:dyDescent="0.3">
      <c r="B17" t="s">
        <v>3113</v>
      </c>
      <c r="C17" t="s">
        <v>3114</v>
      </c>
      <c r="D17" t="s">
        <v>2436</v>
      </c>
      <c r="E17" t="s">
        <v>2580</v>
      </c>
      <c r="F17" t="s">
        <v>2580</v>
      </c>
      <c r="G17" s="8">
        <v>2600</v>
      </c>
      <c r="H17" s="8">
        <f>+IF(BDAlquilerDepartamentos[[#This Row],[Ciudad]]="Lima",BDAlquilerDepartamentos[[#This Row],[Prec. Soles]]*0.1,BDAlquilerDepartamentos[[#This Row],[Prec. Soles]]*0.05)</f>
        <v>260</v>
      </c>
      <c r="I17" s="4">
        <v>2</v>
      </c>
      <c r="J17" s="4">
        <v>2</v>
      </c>
      <c r="K17" s="4" t="s">
        <v>3095</v>
      </c>
      <c r="L17" s="4" t="s">
        <v>3095</v>
      </c>
      <c r="M17" s="4">
        <v>59</v>
      </c>
      <c r="N17" s="4">
        <v>2018</v>
      </c>
      <c r="O17" s="4" t="str">
        <f>+IF(BDAlquilerDepartamentos[[#This Row],[Prec. Soles]]&gt;2500,"Caro","Economico")</f>
        <v>Caro</v>
      </c>
      <c r="P17" s="4" t="str">
        <f>+IF(AND(BDAlquilerDepartamentos[[#This Row],[N° de Dorm.]]&gt; 3,BDAlquilerDepartamentos[[#This Row],[Prec. Soles]]&lt;= 2500),"Buena Oferta", "Precio Estadar")</f>
        <v>Precio Estadar</v>
      </c>
      <c r="Q17" t="s">
        <v>1101</v>
      </c>
      <c r="R17" t="s">
        <v>1102</v>
      </c>
      <c r="S17" s="11">
        <v>45558</v>
      </c>
      <c r="T17" t="s">
        <v>3115</v>
      </c>
      <c r="U17" t="s">
        <v>1125</v>
      </c>
    </row>
    <row r="18" spans="2:21" x14ac:dyDescent="0.3">
      <c r="B18" t="s">
        <v>1126</v>
      </c>
      <c r="C18" t="s">
        <v>2431</v>
      </c>
      <c r="D18" t="s">
        <v>2432</v>
      </c>
      <c r="E18" t="s">
        <v>2580</v>
      </c>
      <c r="F18" t="s">
        <v>2580</v>
      </c>
      <c r="G18" s="8">
        <v>1100</v>
      </c>
      <c r="H18" s="8">
        <f>+IF(BDAlquilerDepartamentos[[#This Row],[Ciudad]]="Lima",BDAlquilerDepartamentos[[#This Row],[Prec. Soles]]*0.1,BDAlquilerDepartamentos[[#This Row],[Prec. Soles]]*0.05)</f>
        <v>110</v>
      </c>
      <c r="I18" s="4">
        <v>3</v>
      </c>
      <c r="J18" s="4">
        <v>2</v>
      </c>
      <c r="K18" s="4" t="s">
        <v>3095</v>
      </c>
      <c r="L18" s="4" t="s">
        <v>3096</v>
      </c>
      <c r="M18" s="4">
        <v>75</v>
      </c>
      <c r="N18" s="4">
        <v>2018</v>
      </c>
      <c r="O18" s="4" t="str">
        <f>+IF(BDAlquilerDepartamentos[[#This Row],[Prec. Soles]]&gt;2500,"Caro","Economico")</f>
        <v>Economico</v>
      </c>
      <c r="P18" s="4" t="str">
        <f>+IF(AND(BDAlquilerDepartamentos[[#This Row],[N° de Dorm.]]&gt; 3,BDAlquilerDepartamentos[[#This Row],[Prec. Soles]]&lt;= 2500),"Buena Oferta", "Precio Estadar")</f>
        <v>Precio Estadar</v>
      </c>
      <c r="Q18" t="s">
        <v>1101</v>
      </c>
      <c r="R18" t="s">
        <v>1102</v>
      </c>
      <c r="S18" s="11">
        <v>45038</v>
      </c>
      <c r="T18" t="s">
        <v>2821</v>
      </c>
      <c r="U18" t="s">
        <v>1127</v>
      </c>
    </row>
    <row r="19" spans="2:21" x14ac:dyDescent="0.3">
      <c r="B19" t="s">
        <v>1128</v>
      </c>
      <c r="C19" t="s">
        <v>2433</v>
      </c>
      <c r="D19" t="s">
        <v>2580</v>
      </c>
      <c r="E19" t="s">
        <v>2580</v>
      </c>
      <c r="F19" t="s">
        <v>2580</v>
      </c>
      <c r="G19" s="8">
        <v>2405</v>
      </c>
      <c r="H19" s="8">
        <f>+IF(BDAlquilerDepartamentos[[#This Row],[Ciudad]]="Lima",BDAlquilerDepartamentos[[#This Row],[Prec. Soles]]*0.1,BDAlquilerDepartamentos[[#This Row],[Prec. Soles]]*0.05)</f>
        <v>240.5</v>
      </c>
      <c r="I19" s="4">
        <v>2</v>
      </c>
      <c r="J19" s="4">
        <v>2</v>
      </c>
      <c r="K19" s="4" t="s">
        <v>3095</v>
      </c>
      <c r="L19" s="4" t="s">
        <v>3095</v>
      </c>
      <c r="M19" s="4">
        <v>67</v>
      </c>
      <c r="N19" s="4">
        <v>2018</v>
      </c>
      <c r="O19" s="4" t="str">
        <f>+IF(BDAlquilerDepartamentos[[#This Row],[Prec. Soles]]&gt;2500,"Caro","Economico")</f>
        <v>Economico</v>
      </c>
      <c r="P19" s="4" t="str">
        <f>+IF(AND(BDAlquilerDepartamentos[[#This Row],[N° de Dorm.]]&gt; 3,BDAlquilerDepartamentos[[#This Row],[Prec. Soles]]&lt;= 2500),"Buena Oferta", "Precio Estadar")</f>
        <v>Precio Estadar</v>
      </c>
      <c r="Q19" t="s">
        <v>1101</v>
      </c>
      <c r="R19" t="s">
        <v>1102</v>
      </c>
      <c r="S19" s="11">
        <v>44984</v>
      </c>
      <c r="T19" t="s">
        <v>2822</v>
      </c>
      <c r="U19" t="s">
        <v>1129</v>
      </c>
    </row>
    <row r="20" spans="2:21" x14ac:dyDescent="0.3">
      <c r="B20" t="s">
        <v>1130</v>
      </c>
      <c r="C20" t="s">
        <v>2434</v>
      </c>
      <c r="D20" t="s">
        <v>2435</v>
      </c>
      <c r="E20" t="s">
        <v>2580</v>
      </c>
      <c r="F20" t="s">
        <v>2580</v>
      </c>
      <c r="G20" s="8">
        <v>2300</v>
      </c>
      <c r="H20" s="8">
        <f>+IF(BDAlquilerDepartamentos[[#This Row],[Ciudad]]="Lima",BDAlquilerDepartamentos[[#This Row],[Prec. Soles]]*0.1,BDAlquilerDepartamentos[[#This Row],[Prec. Soles]]*0.05)</f>
        <v>230</v>
      </c>
      <c r="I20" s="4">
        <v>3</v>
      </c>
      <c r="J20" s="4">
        <v>2</v>
      </c>
      <c r="K20" s="4" t="s">
        <v>3096</v>
      </c>
      <c r="L20" s="4" t="s">
        <v>3096</v>
      </c>
      <c r="M20" s="4">
        <v>81</v>
      </c>
      <c r="N20" s="4">
        <v>2011</v>
      </c>
      <c r="O20" s="4" t="str">
        <f>+IF(BDAlquilerDepartamentos[[#This Row],[Prec. Soles]]&gt;2500,"Caro","Economico")</f>
        <v>Economico</v>
      </c>
      <c r="P20" s="4" t="str">
        <f>+IF(AND(BDAlquilerDepartamentos[[#This Row],[N° de Dorm.]]&gt; 3,BDAlquilerDepartamentos[[#This Row],[Prec. Soles]]&lt;= 2500),"Buena Oferta", "Precio Estadar")</f>
        <v>Precio Estadar</v>
      </c>
      <c r="Q20" t="s">
        <v>1101</v>
      </c>
      <c r="R20" t="s">
        <v>1102</v>
      </c>
      <c r="S20" s="11">
        <v>45501</v>
      </c>
      <c r="T20" t="s">
        <v>2818</v>
      </c>
      <c r="U20" t="s">
        <v>1131</v>
      </c>
    </row>
    <row r="21" spans="2:21" x14ac:dyDescent="0.3">
      <c r="B21" t="s">
        <v>3116</v>
      </c>
      <c r="C21" t="s">
        <v>2436</v>
      </c>
      <c r="D21" t="s">
        <v>2580</v>
      </c>
      <c r="E21" t="s">
        <v>2580</v>
      </c>
      <c r="F21" t="s">
        <v>2580</v>
      </c>
      <c r="G21" s="8">
        <v>2600</v>
      </c>
      <c r="H21" s="8">
        <f>+IF(BDAlquilerDepartamentos[[#This Row],[Ciudad]]="Lima",BDAlquilerDepartamentos[[#This Row],[Prec. Soles]]*0.1,BDAlquilerDepartamentos[[#This Row],[Prec. Soles]]*0.05)</f>
        <v>260</v>
      </c>
      <c r="I21" s="4">
        <v>2</v>
      </c>
      <c r="J21" s="4">
        <v>2</v>
      </c>
      <c r="K21" s="4" t="s">
        <v>3096</v>
      </c>
      <c r="L21" s="4" t="s">
        <v>3095</v>
      </c>
      <c r="M21" s="4">
        <v>100</v>
      </c>
      <c r="N21" s="4">
        <v>2015</v>
      </c>
      <c r="O21" s="4" t="str">
        <f>+IF(BDAlquilerDepartamentos[[#This Row],[Prec. Soles]]&gt;2500,"Caro","Economico")</f>
        <v>Caro</v>
      </c>
      <c r="P21" s="4" t="str">
        <f>+IF(AND(BDAlquilerDepartamentos[[#This Row],[N° de Dorm.]]&gt; 3,BDAlquilerDepartamentos[[#This Row],[Prec. Soles]]&lt;= 2500),"Buena Oferta", "Precio Estadar")</f>
        <v>Precio Estadar</v>
      </c>
      <c r="Q21" t="s">
        <v>1101</v>
      </c>
      <c r="R21" t="s">
        <v>1102</v>
      </c>
      <c r="S21" s="11">
        <v>45397</v>
      </c>
      <c r="T21" t="s">
        <v>2823</v>
      </c>
      <c r="U21" t="s">
        <v>1132</v>
      </c>
    </row>
    <row r="22" spans="2:21" x14ac:dyDescent="0.3">
      <c r="B22" t="s">
        <v>1133</v>
      </c>
      <c r="C22" t="s">
        <v>2437</v>
      </c>
      <c r="D22" t="s">
        <v>2436</v>
      </c>
      <c r="E22" t="s">
        <v>2580</v>
      </c>
      <c r="F22" t="s">
        <v>2580</v>
      </c>
      <c r="G22" s="8">
        <v>1800</v>
      </c>
      <c r="H22" s="8">
        <f>+IF(BDAlquilerDepartamentos[[#This Row],[Ciudad]]="Lima",BDAlquilerDepartamentos[[#This Row],[Prec. Soles]]*0.1,BDAlquilerDepartamentos[[#This Row],[Prec. Soles]]*0.05)</f>
        <v>180</v>
      </c>
      <c r="I22" s="4">
        <v>2</v>
      </c>
      <c r="J22" s="4">
        <v>1</v>
      </c>
      <c r="K22" s="4" t="s">
        <v>3096</v>
      </c>
      <c r="L22" s="4" t="s">
        <v>3096</v>
      </c>
      <c r="M22" s="4">
        <v>80</v>
      </c>
      <c r="N22" s="4">
        <v>2023</v>
      </c>
      <c r="O22" s="4" t="str">
        <f>+IF(BDAlquilerDepartamentos[[#This Row],[Prec. Soles]]&gt;2500,"Caro","Economico")</f>
        <v>Economico</v>
      </c>
      <c r="P22" s="4" t="str">
        <f>+IF(AND(BDAlquilerDepartamentos[[#This Row],[N° de Dorm.]]&gt; 3,BDAlquilerDepartamentos[[#This Row],[Prec. Soles]]&lt;= 2500),"Buena Oferta", "Precio Estadar")</f>
        <v>Precio Estadar</v>
      </c>
      <c r="Q22" t="s">
        <v>1101</v>
      </c>
      <c r="R22" t="s">
        <v>1102</v>
      </c>
      <c r="S22" s="11">
        <v>45054</v>
      </c>
      <c r="T22" t="s">
        <v>2824</v>
      </c>
      <c r="U22" t="s">
        <v>1134</v>
      </c>
    </row>
    <row r="23" spans="2:21" x14ac:dyDescent="0.3">
      <c r="B23" t="s">
        <v>1135</v>
      </c>
      <c r="C23" t="s">
        <v>2438</v>
      </c>
      <c r="D23" t="s">
        <v>2428</v>
      </c>
      <c r="E23" t="s">
        <v>2580</v>
      </c>
      <c r="F23" t="s">
        <v>2580</v>
      </c>
      <c r="G23" s="8">
        <v>2294</v>
      </c>
      <c r="H23" s="8">
        <f>+IF(BDAlquilerDepartamentos[[#This Row],[Ciudad]]="Lima",BDAlquilerDepartamentos[[#This Row],[Prec. Soles]]*0.1,BDAlquilerDepartamentos[[#This Row],[Prec. Soles]]*0.05)</f>
        <v>229.4</v>
      </c>
      <c r="I23" s="4">
        <v>1</v>
      </c>
      <c r="J23" s="4">
        <v>2</v>
      </c>
      <c r="K23" s="4" t="s">
        <v>3096</v>
      </c>
      <c r="L23" s="4" t="s">
        <v>3095</v>
      </c>
      <c r="M23" s="4">
        <v>90</v>
      </c>
      <c r="N23" s="4">
        <v>2015</v>
      </c>
      <c r="O23" s="4" t="str">
        <f>+IF(BDAlquilerDepartamentos[[#This Row],[Prec. Soles]]&gt;2500,"Caro","Economico")</f>
        <v>Economico</v>
      </c>
      <c r="P23" s="4" t="str">
        <f>+IF(AND(BDAlquilerDepartamentos[[#This Row],[N° de Dorm.]]&gt; 3,BDAlquilerDepartamentos[[#This Row],[Prec. Soles]]&lt;= 2500),"Buena Oferta", "Precio Estadar")</f>
        <v>Precio Estadar</v>
      </c>
      <c r="Q23" t="s">
        <v>1101</v>
      </c>
      <c r="R23" t="s">
        <v>1102</v>
      </c>
      <c r="S23" s="11">
        <v>45641</v>
      </c>
      <c r="T23" t="s">
        <v>2825</v>
      </c>
      <c r="U23" t="s">
        <v>1136</v>
      </c>
    </row>
    <row r="24" spans="2:21" x14ac:dyDescent="0.3">
      <c r="B24" t="s">
        <v>1112</v>
      </c>
      <c r="C24" t="s">
        <v>2423</v>
      </c>
      <c r="D24" t="s">
        <v>2580</v>
      </c>
      <c r="E24" t="s">
        <v>2580</v>
      </c>
      <c r="F24" t="s">
        <v>2580</v>
      </c>
      <c r="G24" s="8">
        <v>6660</v>
      </c>
      <c r="H24" s="8">
        <f>+IF(BDAlquilerDepartamentos[[#This Row],[Ciudad]]="Lima",BDAlquilerDepartamentos[[#This Row],[Prec. Soles]]*0.1,BDAlquilerDepartamentos[[#This Row],[Prec. Soles]]*0.05)</f>
        <v>666</v>
      </c>
      <c r="I24" s="4">
        <v>4</v>
      </c>
      <c r="J24" s="4">
        <v>3</v>
      </c>
      <c r="K24" s="4" t="s">
        <v>3096</v>
      </c>
      <c r="L24" s="4" t="s">
        <v>3095</v>
      </c>
      <c r="M24" s="4">
        <v>288</v>
      </c>
      <c r="N24" s="4">
        <v>2003</v>
      </c>
      <c r="O24" s="4" t="str">
        <f>+IF(BDAlquilerDepartamentos[[#This Row],[Prec. Soles]]&gt;2500,"Caro","Economico")</f>
        <v>Caro</v>
      </c>
      <c r="P24" s="4" t="str">
        <f>+IF(AND(BDAlquilerDepartamentos[[#This Row],[N° de Dorm.]]&gt; 3,BDAlquilerDepartamentos[[#This Row],[Prec. Soles]]&lt;= 2500),"Buena Oferta", "Precio Estadar")</f>
        <v>Precio Estadar</v>
      </c>
      <c r="Q24" t="s">
        <v>1113</v>
      </c>
      <c r="R24" t="s">
        <v>1102</v>
      </c>
      <c r="S24" s="11">
        <v>44985</v>
      </c>
      <c r="T24" t="s">
        <v>2826</v>
      </c>
      <c r="U24" t="s">
        <v>1137</v>
      </c>
    </row>
    <row r="25" spans="2:21" x14ac:dyDescent="0.3">
      <c r="B25" t="s">
        <v>2802</v>
      </c>
      <c r="C25" t="s">
        <v>2803</v>
      </c>
      <c r="D25" t="s">
        <v>2580</v>
      </c>
      <c r="E25" t="s">
        <v>2580</v>
      </c>
      <c r="F25" t="s">
        <v>2580</v>
      </c>
      <c r="G25" s="8">
        <v>2500</v>
      </c>
      <c r="H25" s="8">
        <f>+IF(BDAlquilerDepartamentos[[#This Row],[Ciudad]]="Lima",BDAlquilerDepartamentos[[#This Row],[Prec. Soles]]*0.1,BDAlquilerDepartamentos[[#This Row],[Prec. Soles]]*0.05)</f>
        <v>250</v>
      </c>
      <c r="I25" s="4">
        <v>3</v>
      </c>
      <c r="J25" s="4">
        <v>2</v>
      </c>
      <c r="K25" s="4" t="s">
        <v>3095</v>
      </c>
      <c r="L25" s="4" t="s">
        <v>3095</v>
      </c>
      <c r="M25" s="4">
        <v>75</v>
      </c>
      <c r="N25" s="4">
        <v>2021</v>
      </c>
      <c r="O25" s="4" t="str">
        <f>+IF(BDAlquilerDepartamentos[[#This Row],[Prec. Soles]]&gt;2500,"Caro","Economico")</f>
        <v>Economico</v>
      </c>
      <c r="P25" s="4" t="str">
        <f>+IF(AND(BDAlquilerDepartamentos[[#This Row],[N° de Dorm.]]&gt; 3,BDAlquilerDepartamentos[[#This Row],[Prec. Soles]]&lt;= 2500),"Buena Oferta", "Precio Estadar")</f>
        <v>Precio Estadar</v>
      </c>
      <c r="Q25" t="s">
        <v>1101</v>
      </c>
      <c r="R25" t="s">
        <v>1102</v>
      </c>
      <c r="S25" s="11">
        <v>45458</v>
      </c>
      <c r="T25" t="s">
        <v>2821</v>
      </c>
      <c r="U25" t="s">
        <v>1138</v>
      </c>
    </row>
    <row r="26" spans="2:21" x14ac:dyDescent="0.3">
      <c r="B26" t="s">
        <v>1139</v>
      </c>
      <c r="C26" t="s">
        <v>2439</v>
      </c>
      <c r="D26" t="s">
        <v>2428</v>
      </c>
      <c r="E26" t="s">
        <v>2580</v>
      </c>
      <c r="F26" t="s">
        <v>2580</v>
      </c>
      <c r="G26" s="8">
        <v>2516</v>
      </c>
      <c r="H26" s="8">
        <f>+IF(BDAlquilerDepartamentos[[#This Row],[Ciudad]]="Lima",BDAlquilerDepartamentos[[#This Row],[Prec. Soles]]*0.1,BDAlquilerDepartamentos[[#This Row],[Prec. Soles]]*0.05)</f>
        <v>251.60000000000002</v>
      </c>
      <c r="I26" s="4">
        <v>1</v>
      </c>
      <c r="J26" s="4">
        <v>2</v>
      </c>
      <c r="K26" s="4" t="s">
        <v>3095</v>
      </c>
      <c r="L26" s="4" t="s">
        <v>3095</v>
      </c>
      <c r="M26" s="4">
        <v>47</v>
      </c>
      <c r="N26" s="4">
        <v>2019</v>
      </c>
      <c r="O26" s="4" t="str">
        <f>+IF(BDAlquilerDepartamentos[[#This Row],[Prec. Soles]]&gt;2500,"Caro","Economico")</f>
        <v>Caro</v>
      </c>
      <c r="P26" s="4" t="str">
        <f>+IF(AND(BDAlquilerDepartamentos[[#This Row],[N° de Dorm.]]&gt; 3,BDAlquilerDepartamentos[[#This Row],[Prec. Soles]]&lt;= 2500),"Buena Oferta", "Precio Estadar")</f>
        <v>Precio Estadar</v>
      </c>
      <c r="Q26" t="s">
        <v>1101</v>
      </c>
      <c r="R26" t="s">
        <v>1102</v>
      </c>
      <c r="S26" s="11">
        <v>45586</v>
      </c>
      <c r="T26" t="s">
        <v>2827</v>
      </c>
      <c r="U26" t="s">
        <v>1140</v>
      </c>
    </row>
    <row r="27" spans="2:21" x14ac:dyDescent="0.3">
      <c r="B27" t="s">
        <v>1141</v>
      </c>
      <c r="C27" t="s">
        <v>2440</v>
      </c>
      <c r="D27" t="s">
        <v>2428</v>
      </c>
      <c r="E27" t="s">
        <v>2580</v>
      </c>
      <c r="F27" t="s">
        <v>2580</v>
      </c>
      <c r="G27" s="8">
        <v>4995</v>
      </c>
      <c r="H27" s="8">
        <f>+IF(BDAlquilerDepartamentos[[#This Row],[Ciudad]]="Lima",BDAlquilerDepartamentos[[#This Row],[Prec. Soles]]*0.1,BDAlquilerDepartamentos[[#This Row],[Prec. Soles]]*0.05)</f>
        <v>499.5</v>
      </c>
      <c r="I27" s="4">
        <v>2</v>
      </c>
      <c r="J27" s="4">
        <v>3</v>
      </c>
      <c r="K27" s="4" t="s">
        <v>3096</v>
      </c>
      <c r="L27" s="4" t="s">
        <v>3096</v>
      </c>
      <c r="M27" s="4">
        <v>118</v>
      </c>
      <c r="N27" s="4">
        <v>2017</v>
      </c>
      <c r="O27" s="4" t="str">
        <f>+IF(BDAlquilerDepartamentos[[#This Row],[Prec. Soles]]&gt;2500,"Caro","Economico")</f>
        <v>Caro</v>
      </c>
      <c r="P27" s="4" t="str">
        <f>+IF(AND(BDAlquilerDepartamentos[[#This Row],[N° de Dorm.]]&gt; 3,BDAlquilerDepartamentos[[#This Row],[Prec. Soles]]&lt;= 2500),"Buena Oferta", "Precio Estadar")</f>
        <v>Precio Estadar</v>
      </c>
      <c r="Q27" t="s">
        <v>1101</v>
      </c>
      <c r="R27" t="s">
        <v>1102</v>
      </c>
      <c r="S27" s="11">
        <v>45118</v>
      </c>
      <c r="T27" t="s">
        <v>3157</v>
      </c>
      <c r="U27" t="s">
        <v>1142</v>
      </c>
    </row>
    <row r="28" spans="2:21" x14ac:dyDescent="0.3">
      <c r="B28" t="s">
        <v>1143</v>
      </c>
      <c r="C28" t="s">
        <v>2441</v>
      </c>
      <c r="D28" t="s">
        <v>2428</v>
      </c>
      <c r="E28" t="s">
        <v>2580</v>
      </c>
      <c r="F28" t="s">
        <v>2580</v>
      </c>
      <c r="G28" s="8">
        <v>4255</v>
      </c>
      <c r="H28" s="8">
        <f>+IF(BDAlquilerDepartamentos[[#This Row],[Ciudad]]="Lima",BDAlquilerDepartamentos[[#This Row],[Prec. Soles]]*0.1,BDAlquilerDepartamentos[[#This Row],[Prec. Soles]]*0.05)</f>
        <v>425.5</v>
      </c>
      <c r="I28" s="4">
        <v>3</v>
      </c>
      <c r="J28" s="4">
        <v>3</v>
      </c>
      <c r="K28" s="4" t="s">
        <v>3095</v>
      </c>
      <c r="L28" s="4" t="s">
        <v>3096</v>
      </c>
      <c r="M28" s="4">
        <v>150</v>
      </c>
      <c r="N28" s="4">
        <v>2014</v>
      </c>
      <c r="O28" s="4" t="str">
        <f>+IF(BDAlquilerDepartamentos[[#This Row],[Prec. Soles]]&gt;2500,"Caro","Economico")</f>
        <v>Caro</v>
      </c>
      <c r="P28" s="4" t="str">
        <f>+IF(AND(BDAlquilerDepartamentos[[#This Row],[N° de Dorm.]]&gt; 3,BDAlquilerDepartamentos[[#This Row],[Prec. Soles]]&lt;= 2500),"Buena Oferta", "Precio Estadar")</f>
        <v>Precio Estadar</v>
      </c>
      <c r="Q28" t="s">
        <v>1101</v>
      </c>
      <c r="R28" t="s">
        <v>1102</v>
      </c>
      <c r="S28" s="11">
        <v>45175</v>
      </c>
      <c r="T28" t="s">
        <v>2827</v>
      </c>
      <c r="U28" t="s">
        <v>1144</v>
      </c>
    </row>
    <row r="29" spans="2:21" x14ac:dyDescent="0.3">
      <c r="B29" t="s">
        <v>1145</v>
      </c>
      <c r="C29" t="s">
        <v>2442</v>
      </c>
      <c r="D29" t="s">
        <v>2422</v>
      </c>
      <c r="E29" t="s">
        <v>2580</v>
      </c>
      <c r="F29" t="s">
        <v>2580</v>
      </c>
      <c r="G29" s="8">
        <v>2700</v>
      </c>
      <c r="H29" s="8">
        <f>+IF(BDAlquilerDepartamentos[[#This Row],[Ciudad]]="Lima",BDAlquilerDepartamentos[[#This Row],[Prec. Soles]]*0.1,BDAlquilerDepartamentos[[#This Row],[Prec. Soles]]*0.05)</f>
        <v>270</v>
      </c>
      <c r="I29" s="4">
        <v>3</v>
      </c>
      <c r="J29" s="4">
        <v>3</v>
      </c>
      <c r="K29" s="4" t="s">
        <v>3095</v>
      </c>
      <c r="L29" s="4" t="s">
        <v>3095</v>
      </c>
      <c r="M29" s="4">
        <v>90</v>
      </c>
      <c r="N29" s="4">
        <v>1988</v>
      </c>
      <c r="O29" s="4" t="str">
        <f>+IF(BDAlquilerDepartamentos[[#This Row],[Prec. Soles]]&gt;2500,"Caro","Economico")</f>
        <v>Caro</v>
      </c>
      <c r="P29" s="4" t="str">
        <f>+IF(AND(BDAlquilerDepartamentos[[#This Row],[N° de Dorm.]]&gt; 3,BDAlquilerDepartamentos[[#This Row],[Prec. Soles]]&lt;= 2500),"Buena Oferta", "Precio Estadar")</f>
        <v>Precio Estadar</v>
      </c>
      <c r="Q29" t="s">
        <v>1101</v>
      </c>
      <c r="R29" t="s">
        <v>1102</v>
      </c>
      <c r="S29" s="11">
        <v>45151</v>
      </c>
      <c r="T29" t="s">
        <v>2828</v>
      </c>
      <c r="U29" t="s">
        <v>1146</v>
      </c>
    </row>
    <row r="30" spans="2:21" x14ac:dyDescent="0.3">
      <c r="B30" t="s">
        <v>1133</v>
      </c>
      <c r="C30" t="s">
        <v>2437</v>
      </c>
      <c r="D30" t="s">
        <v>2436</v>
      </c>
      <c r="E30" t="s">
        <v>2580</v>
      </c>
      <c r="F30" t="s">
        <v>2580</v>
      </c>
      <c r="G30" s="8">
        <v>3515</v>
      </c>
      <c r="H30" s="8">
        <f>+IF(BDAlquilerDepartamentos[[#This Row],[Ciudad]]="Lima",BDAlquilerDepartamentos[[#This Row],[Prec. Soles]]*0.1,BDAlquilerDepartamentos[[#This Row],[Prec. Soles]]*0.05)</f>
        <v>351.5</v>
      </c>
      <c r="I30" s="4">
        <v>3</v>
      </c>
      <c r="J30" s="4">
        <v>3</v>
      </c>
      <c r="K30" s="4" t="s">
        <v>3096</v>
      </c>
      <c r="L30" s="4" t="s">
        <v>3095</v>
      </c>
      <c r="M30" s="4">
        <v>137</v>
      </c>
      <c r="N30" s="4">
        <v>2014</v>
      </c>
      <c r="O30" s="4" t="str">
        <f>+IF(BDAlquilerDepartamentos[[#This Row],[Prec. Soles]]&gt;2500,"Caro","Economico")</f>
        <v>Caro</v>
      </c>
      <c r="P30" s="4" t="str">
        <f>+IF(AND(BDAlquilerDepartamentos[[#This Row],[N° de Dorm.]]&gt; 3,BDAlquilerDepartamentos[[#This Row],[Prec. Soles]]&lt;= 2500),"Buena Oferta", "Precio Estadar")</f>
        <v>Precio Estadar</v>
      </c>
      <c r="Q30" t="s">
        <v>1101</v>
      </c>
      <c r="R30" t="s">
        <v>1102</v>
      </c>
      <c r="S30" s="11">
        <v>45571</v>
      </c>
      <c r="T30" t="s">
        <v>3157</v>
      </c>
      <c r="U30" t="s">
        <v>1147</v>
      </c>
    </row>
    <row r="31" spans="2:21" x14ac:dyDescent="0.3">
      <c r="B31" t="s">
        <v>1148</v>
      </c>
      <c r="C31" t="s">
        <v>2443</v>
      </c>
      <c r="D31" t="s">
        <v>2444</v>
      </c>
      <c r="E31" t="s">
        <v>2580</v>
      </c>
      <c r="F31" t="s">
        <v>2580</v>
      </c>
      <c r="G31" s="8">
        <v>2800</v>
      </c>
      <c r="H31" s="8">
        <f>+IF(BDAlquilerDepartamentos[[#This Row],[Ciudad]]="Lima",BDAlquilerDepartamentos[[#This Row],[Prec. Soles]]*0.1,BDAlquilerDepartamentos[[#This Row],[Prec. Soles]]*0.05)</f>
        <v>280</v>
      </c>
      <c r="I31" s="4">
        <v>2</v>
      </c>
      <c r="J31" s="4">
        <v>2</v>
      </c>
      <c r="K31" s="4" t="s">
        <v>3095</v>
      </c>
      <c r="L31" s="4" t="s">
        <v>3095</v>
      </c>
      <c r="M31" s="4">
        <v>130</v>
      </c>
      <c r="N31" s="4">
        <v>2000</v>
      </c>
      <c r="O31" s="4" t="str">
        <f>+IF(BDAlquilerDepartamentos[[#This Row],[Prec. Soles]]&gt;2500,"Caro","Economico")</f>
        <v>Caro</v>
      </c>
      <c r="P31" s="4" t="str">
        <f>+IF(AND(BDAlquilerDepartamentos[[#This Row],[N° de Dorm.]]&gt; 3,BDAlquilerDepartamentos[[#This Row],[Prec. Soles]]&lt;= 2500),"Buena Oferta", "Precio Estadar")</f>
        <v>Precio Estadar</v>
      </c>
      <c r="Q31" t="s">
        <v>1101</v>
      </c>
      <c r="R31" t="s">
        <v>1102</v>
      </c>
      <c r="S31" s="11">
        <v>45161</v>
      </c>
      <c r="T31" t="s">
        <v>2819</v>
      </c>
      <c r="U31" t="s">
        <v>1149</v>
      </c>
    </row>
    <row r="32" spans="2:21" x14ac:dyDescent="0.3">
      <c r="B32" t="s">
        <v>1150</v>
      </c>
      <c r="C32" t="s">
        <v>2445</v>
      </c>
      <c r="D32" t="s">
        <v>2436</v>
      </c>
      <c r="E32" t="s">
        <v>2580</v>
      </c>
      <c r="F32" t="s">
        <v>2580</v>
      </c>
      <c r="G32" s="8">
        <v>4995</v>
      </c>
      <c r="H32" s="8">
        <f>+IF(BDAlquilerDepartamentos[[#This Row],[Ciudad]]="Lima",BDAlquilerDepartamentos[[#This Row],[Prec. Soles]]*0.1,BDAlquilerDepartamentos[[#This Row],[Prec. Soles]]*0.05)</f>
        <v>499.5</v>
      </c>
      <c r="I32" s="4">
        <v>3</v>
      </c>
      <c r="J32" s="4">
        <v>3</v>
      </c>
      <c r="K32" s="4" t="s">
        <v>3096</v>
      </c>
      <c r="L32" s="4" t="s">
        <v>3096</v>
      </c>
      <c r="M32" s="4">
        <v>202</v>
      </c>
      <c r="N32" s="4">
        <v>2009</v>
      </c>
      <c r="O32" s="4" t="str">
        <f>+IF(BDAlquilerDepartamentos[[#This Row],[Prec. Soles]]&gt;2500,"Caro","Economico")</f>
        <v>Caro</v>
      </c>
      <c r="P32" s="4" t="str">
        <f>+IF(AND(BDAlquilerDepartamentos[[#This Row],[N° de Dorm.]]&gt; 3,BDAlquilerDepartamentos[[#This Row],[Prec. Soles]]&lt;= 2500),"Buena Oferta", "Precio Estadar")</f>
        <v>Precio Estadar</v>
      </c>
      <c r="Q32" t="s">
        <v>1101</v>
      </c>
      <c r="R32" t="s">
        <v>1102</v>
      </c>
      <c r="S32" s="11">
        <v>45475</v>
      </c>
      <c r="T32" t="s">
        <v>2829</v>
      </c>
      <c r="U32" t="s">
        <v>1151</v>
      </c>
    </row>
    <row r="33" spans="2:21" x14ac:dyDescent="0.3">
      <c r="B33" t="s">
        <v>1152</v>
      </c>
      <c r="C33" t="s">
        <v>2446</v>
      </c>
      <c r="D33" t="s">
        <v>2447</v>
      </c>
      <c r="E33" t="s">
        <v>2580</v>
      </c>
      <c r="F33" t="s">
        <v>2580</v>
      </c>
      <c r="G33" s="8">
        <v>5180</v>
      </c>
      <c r="H33" s="8">
        <f>+IF(BDAlquilerDepartamentos[[#This Row],[Ciudad]]="Lima",BDAlquilerDepartamentos[[#This Row],[Prec. Soles]]*0.1,BDAlquilerDepartamentos[[#This Row],[Prec. Soles]]*0.05)</f>
        <v>518</v>
      </c>
      <c r="I33" s="4">
        <v>3</v>
      </c>
      <c r="J33" s="4">
        <v>2</v>
      </c>
      <c r="K33" s="4" t="s">
        <v>3095</v>
      </c>
      <c r="L33" s="4" t="s">
        <v>3096</v>
      </c>
      <c r="M33" s="4">
        <v>120</v>
      </c>
      <c r="N33" s="4">
        <v>2009</v>
      </c>
      <c r="O33" s="4" t="str">
        <f>+IF(BDAlquilerDepartamentos[[#This Row],[Prec. Soles]]&gt;2500,"Caro","Economico")</f>
        <v>Caro</v>
      </c>
      <c r="P33" s="4" t="str">
        <f>+IF(AND(BDAlquilerDepartamentos[[#This Row],[N° de Dorm.]]&gt; 3,BDAlquilerDepartamentos[[#This Row],[Prec. Soles]]&lt;= 2500),"Buena Oferta", "Precio Estadar")</f>
        <v>Precio Estadar</v>
      </c>
      <c r="Q33" t="s">
        <v>1101</v>
      </c>
      <c r="R33" t="s">
        <v>1102</v>
      </c>
      <c r="S33" s="11">
        <v>45026</v>
      </c>
      <c r="T33" t="s">
        <v>3157</v>
      </c>
      <c r="U33" t="s">
        <v>1153</v>
      </c>
    </row>
    <row r="34" spans="2:21" x14ac:dyDescent="0.3">
      <c r="B34" t="s">
        <v>1155</v>
      </c>
      <c r="C34" t="s">
        <v>2449</v>
      </c>
      <c r="D34" t="s">
        <v>2430</v>
      </c>
      <c r="E34" t="s">
        <v>2580</v>
      </c>
      <c r="F34" t="s">
        <v>2580</v>
      </c>
      <c r="G34" s="8">
        <v>2590</v>
      </c>
      <c r="H34" s="8">
        <f>+IF(BDAlquilerDepartamentos[[#This Row],[Ciudad]]="Lima",BDAlquilerDepartamentos[[#This Row],[Prec. Soles]]*0.1,BDAlquilerDepartamentos[[#This Row],[Prec. Soles]]*0.05)</f>
        <v>259</v>
      </c>
      <c r="I34" s="4">
        <v>2</v>
      </c>
      <c r="J34" s="4">
        <v>2</v>
      </c>
      <c r="K34" s="4" t="s">
        <v>3096</v>
      </c>
      <c r="L34" s="4" t="s">
        <v>3095</v>
      </c>
      <c r="M34" s="4">
        <v>70</v>
      </c>
      <c r="N34" s="4">
        <v>2016</v>
      </c>
      <c r="O34" s="4" t="str">
        <f>+IF(BDAlquilerDepartamentos[[#This Row],[Prec. Soles]]&gt;2500,"Caro","Economico")</f>
        <v>Caro</v>
      </c>
      <c r="P34" s="4" t="str">
        <f>+IF(AND(BDAlquilerDepartamentos[[#This Row],[N° de Dorm.]]&gt; 3,BDAlquilerDepartamentos[[#This Row],[Prec. Soles]]&lt;= 2500),"Buena Oferta", "Precio Estadar")</f>
        <v>Precio Estadar</v>
      </c>
      <c r="Q34" t="s">
        <v>1101</v>
      </c>
      <c r="R34" t="s">
        <v>1102</v>
      </c>
      <c r="S34" s="11">
        <v>45352</v>
      </c>
      <c r="T34" t="s">
        <v>2829</v>
      </c>
      <c r="U34" t="s">
        <v>1156</v>
      </c>
    </row>
    <row r="35" spans="2:21" x14ac:dyDescent="0.3">
      <c r="B35" t="s">
        <v>1112</v>
      </c>
      <c r="C35" t="s">
        <v>2423</v>
      </c>
      <c r="D35" t="s">
        <v>2580</v>
      </c>
      <c r="E35" t="s">
        <v>2580</v>
      </c>
      <c r="F35" t="s">
        <v>2580</v>
      </c>
      <c r="G35" s="8">
        <v>5550</v>
      </c>
      <c r="H35" s="8">
        <f>+IF(BDAlquilerDepartamentos[[#This Row],[Ciudad]]="Lima",BDAlquilerDepartamentos[[#This Row],[Prec. Soles]]*0.1,BDAlquilerDepartamentos[[#This Row],[Prec. Soles]]*0.05)</f>
        <v>555</v>
      </c>
      <c r="I35" s="4">
        <v>4</v>
      </c>
      <c r="J35" s="4">
        <v>3</v>
      </c>
      <c r="K35" s="4" t="s">
        <v>3096</v>
      </c>
      <c r="L35" s="4" t="s">
        <v>3096</v>
      </c>
      <c r="M35" s="4">
        <v>300</v>
      </c>
      <c r="N35" s="4">
        <v>2008</v>
      </c>
      <c r="O35" s="4" t="str">
        <f>+IF(BDAlquilerDepartamentos[[#This Row],[Prec. Soles]]&gt;2500,"Caro","Economico")</f>
        <v>Caro</v>
      </c>
      <c r="P35" s="4" t="str">
        <f>+IF(AND(BDAlquilerDepartamentos[[#This Row],[N° de Dorm.]]&gt; 3,BDAlquilerDepartamentos[[#This Row],[Prec. Soles]]&lt;= 2500),"Buena Oferta", "Precio Estadar")</f>
        <v>Precio Estadar</v>
      </c>
      <c r="Q35" t="s">
        <v>1113</v>
      </c>
      <c r="R35" t="s">
        <v>1102</v>
      </c>
      <c r="S35" s="11">
        <v>45106</v>
      </c>
      <c r="T35" t="s">
        <v>2829</v>
      </c>
      <c r="U35" t="s">
        <v>1157</v>
      </c>
    </row>
    <row r="36" spans="2:21" x14ac:dyDescent="0.3">
      <c r="B36" t="s">
        <v>3116</v>
      </c>
      <c r="C36" t="s">
        <v>2436</v>
      </c>
      <c r="D36" t="s">
        <v>2580</v>
      </c>
      <c r="E36" t="s">
        <v>2580</v>
      </c>
      <c r="F36" t="s">
        <v>2580</v>
      </c>
      <c r="G36" s="8">
        <v>4440</v>
      </c>
      <c r="H36" s="8">
        <f>+IF(BDAlquilerDepartamentos[[#This Row],[Ciudad]]="Lima",BDAlquilerDepartamentos[[#This Row],[Prec. Soles]]*0.1,BDAlquilerDepartamentos[[#This Row],[Prec. Soles]]*0.05)</f>
        <v>444</v>
      </c>
      <c r="I36" s="4">
        <v>3</v>
      </c>
      <c r="J36" s="4">
        <v>2</v>
      </c>
      <c r="K36" s="4" t="s">
        <v>3096</v>
      </c>
      <c r="L36" s="4" t="s">
        <v>3096</v>
      </c>
      <c r="M36" s="4">
        <v>160</v>
      </c>
      <c r="N36" s="4">
        <v>2005</v>
      </c>
      <c r="O36" s="4" t="str">
        <f>+IF(BDAlquilerDepartamentos[[#This Row],[Prec. Soles]]&gt;2500,"Caro","Economico")</f>
        <v>Caro</v>
      </c>
      <c r="P36" s="4" t="str">
        <f>+IF(AND(BDAlquilerDepartamentos[[#This Row],[N° de Dorm.]]&gt; 3,BDAlquilerDepartamentos[[#This Row],[Prec. Soles]]&lt;= 2500),"Buena Oferta", "Precio Estadar")</f>
        <v>Precio Estadar</v>
      </c>
      <c r="Q36" t="s">
        <v>1101</v>
      </c>
      <c r="R36" t="s">
        <v>1102</v>
      </c>
      <c r="S36" s="11">
        <v>45244</v>
      </c>
      <c r="T36" t="s">
        <v>2821</v>
      </c>
      <c r="U36" t="s">
        <v>1158</v>
      </c>
    </row>
    <row r="37" spans="2:21" x14ac:dyDescent="0.3">
      <c r="B37" t="s">
        <v>1159</v>
      </c>
      <c r="C37" t="s">
        <v>2450</v>
      </c>
      <c r="D37" t="s">
        <v>2580</v>
      </c>
      <c r="E37" t="s">
        <v>2580</v>
      </c>
      <c r="F37" t="s">
        <v>2580</v>
      </c>
      <c r="G37" s="8">
        <v>2775</v>
      </c>
      <c r="H37" s="8">
        <f>+IF(BDAlquilerDepartamentos[[#This Row],[Ciudad]]="Lima",BDAlquilerDepartamentos[[#This Row],[Prec. Soles]]*0.1,BDAlquilerDepartamentos[[#This Row],[Prec. Soles]]*0.05)</f>
        <v>277.5</v>
      </c>
      <c r="I37" s="4">
        <v>3</v>
      </c>
      <c r="J37" s="4">
        <v>2</v>
      </c>
      <c r="K37" s="4" t="s">
        <v>3096</v>
      </c>
      <c r="L37" s="4" t="s">
        <v>3095</v>
      </c>
      <c r="M37" s="4">
        <v>110</v>
      </c>
      <c r="N37" s="4">
        <v>2005</v>
      </c>
      <c r="O37" s="4" t="str">
        <f>+IF(BDAlquilerDepartamentos[[#This Row],[Prec. Soles]]&gt;2500,"Caro","Economico")</f>
        <v>Caro</v>
      </c>
      <c r="P37" s="4" t="str">
        <f>+IF(AND(BDAlquilerDepartamentos[[#This Row],[N° de Dorm.]]&gt; 3,BDAlquilerDepartamentos[[#This Row],[Prec. Soles]]&lt;= 2500),"Buena Oferta", "Precio Estadar")</f>
        <v>Precio Estadar</v>
      </c>
      <c r="Q37" t="s">
        <v>1101</v>
      </c>
      <c r="R37" t="s">
        <v>1102</v>
      </c>
      <c r="S37" s="11">
        <v>45122</v>
      </c>
      <c r="T37" t="s">
        <v>2830</v>
      </c>
      <c r="U37" t="s">
        <v>1160</v>
      </c>
    </row>
    <row r="38" spans="2:21" x14ac:dyDescent="0.3">
      <c r="B38" t="s">
        <v>1161</v>
      </c>
      <c r="C38" t="s">
        <v>2451</v>
      </c>
      <c r="D38" t="s">
        <v>2452</v>
      </c>
      <c r="E38" t="s">
        <v>2580</v>
      </c>
      <c r="F38" t="s">
        <v>2580</v>
      </c>
      <c r="G38" s="8">
        <v>1600</v>
      </c>
      <c r="H38" s="8">
        <f>+IF(BDAlquilerDepartamentos[[#This Row],[Ciudad]]="Lima",BDAlquilerDepartamentos[[#This Row],[Prec. Soles]]*0.1,BDAlquilerDepartamentos[[#This Row],[Prec. Soles]]*0.05)</f>
        <v>160</v>
      </c>
      <c r="I38" s="4">
        <v>1</v>
      </c>
      <c r="J38" s="4">
        <v>1</v>
      </c>
      <c r="K38" s="4" t="s">
        <v>3096</v>
      </c>
      <c r="L38" s="4" t="s">
        <v>3096</v>
      </c>
      <c r="M38" s="4">
        <v>42</v>
      </c>
      <c r="N38" s="4">
        <v>2005</v>
      </c>
      <c r="O38" s="4" t="str">
        <f>+IF(BDAlquilerDepartamentos[[#This Row],[Prec. Soles]]&gt;2500,"Caro","Economico")</f>
        <v>Economico</v>
      </c>
      <c r="P38" s="4" t="str">
        <f>+IF(AND(BDAlquilerDepartamentos[[#This Row],[N° de Dorm.]]&gt; 3,BDAlquilerDepartamentos[[#This Row],[Prec. Soles]]&lt;= 2500),"Buena Oferta", "Precio Estadar")</f>
        <v>Precio Estadar</v>
      </c>
      <c r="Q38" t="s">
        <v>1101</v>
      </c>
      <c r="R38" t="s">
        <v>1102</v>
      </c>
      <c r="S38" s="11">
        <v>45117</v>
      </c>
      <c r="T38" t="s">
        <v>2831</v>
      </c>
      <c r="U38" t="s">
        <v>1162</v>
      </c>
    </row>
    <row r="39" spans="2:21" x14ac:dyDescent="0.3">
      <c r="B39" t="s">
        <v>3116</v>
      </c>
      <c r="C39" t="s">
        <v>2436</v>
      </c>
      <c r="D39" t="s">
        <v>2580</v>
      </c>
      <c r="E39" t="s">
        <v>2580</v>
      </c>
      <c r="F39" t="s">
        <v>2580</v>
      </c>
      <c r="G39" s="8">
        <v>4440</v>
      </c>
      <c r="H39" s="8">
        <f>+IF(BDAlquilerDepartamentos[[#This Row],[Ciudad]]="Lima",BDAlquilerDepartamentos[[#This Row],[Prec. Soles]]*0.1,BDAlquilerDepartamentos[[#This Row],[Prec. Soles]]*0.05)</f>
        <v>444</v>
      </c>
      <c r="I39" s="4">
        <v>3</v>
      </c>
      <c r="J39" s="4">
        <v>2</v>
      </c>
      <c r="K39" s="4" t="s">
        <v>3095</v>
      </c>
      <c r="L39" s="4" t="s">
        <v>3095</v>
      </c>
      <c r="M39" s="4">
        <v>140</v>
      </c>
      <c r="N39" s="4">
        <v>2005</v>
      </c>
      <c r="O39" s="4" t="str">
        <f>+IF(BDAlquilerDepartamentos[[#This Row],[Prec. Soles]]&gt;2500,"Caro","Economico")</f>
        <v>Caro</v>
      </c>
      <c r="P39" s="4" t="str">
        <f>+IF(AND(BDAlquilerDepartamentos[[#This Row],[N° de Dorm.]]&gt; 3,BDAlquilerDepartamentos[[#This Row],[Prec. Soles]]&lt;= 2500),"Buena Oferta", "Precio Estadar")</f>
        <v>Precio Estadar</v>
      </c>
      <c r="Q39" t="s">
        <v>1101</v>
      </c>
      <c r="R39" t="s">
        <v>1102</v>
      </c>
      <c r="S39" s="11">
        <v>45441</v>
      </c>
      <c r="T39" t="s">
        <v>2821</v>
      </c>
      <c r="U39" t="s">
        <v>1163</v>
      </c>
    </row>
    <row r="40" spans="2:21" x14ac:dyDescent="0.3">
      <c r="B40" t="s">
        <v>1108</v>
      </c>
      <c r="C40" t="s">
        <v>2419</v>
      </c>
      <c r="D40" t="s">
        <v>2428</v>
      </c>
      <c r="E40" t="s">
        <v>2580</v>
      </c>
      <c r="F40" t="s">
        <v>2580</v>
      </c>
      <c r="G40" s="8">
        <v>2590</v>
      </c>
      <c r="H40" s="8">
        <f>+IF(BDAlquilerDepartamentos[[#This Row],[Ciudad]]="Lima",BDAlquilerDepartamentos[[#This Row],[Prec. Soles]]*0.1,BDAlquilerDepartamentos[[#This Row],[Prec. Soles]]*0.05)</f>
        <v>259</v>
      </c>
      <c r="I40" s="4">
        <v>1</v>
      </c>
      <c r="J40" s="4">
        <v>1</v>
      </c>
      <c r="K40" s="4" t="s">
        <v>3095</v>
      </c>
      <c r="L40" s="4" t="s">
        <v>3095</v>
      </c>
      <c r="M40" s="4">
        <v>53</v>
      </c>
      <c r="N40" s="4">
        <v>2018</v>
      </c>
      <c r="O40" s="4" t="str">
        <f>+IF(BDAlquilerDepartamentos[[#This Row],[Prec. Soles]]&gt;2500,"Caro","Economico")</f>
        <v>Caro</v>
      </c>
      <c r="P40" s="4" t="str">
        <f>+IF(AND(BDAlquilerDepartamentos[[#This Row],[N° de Dorm.]]&gt; 3,BDAlquilerDepartamentos[[#This Row],[Prec. Soles]]&lt;= 2500),"Buena Oferta", "Precio Estadar")</f>
        <v>Precio Estadar</v>
      </c>
      <c r="Q40" t="s">
        <v>1101</v>
      </c>
      <c r="R40" t="s">
        <v>1102</v>
      </c>
      <c r="S40" s="11">
        <v>45654</v>
      </c>
      <c r="T40" t="s">
        <v>2826</v>
      </c>
      <c r="U40" t="s">
        <v>1166</v>
      </c>
    </row>
    <row r="41" spans="2:21" x14ac:dyDescent="0.3">
      <c r="B41" t="s">
        <v>1167</v>
      </c>
      <c r="C41" t="s">
        <v>2454</v>
      </c>
      <c r="D41" t="s">
        <v>2418</v>
      </c>
      <c r="E41" t="s">
        <v>2580</v>
      </c>
      <c r="F41" t="s">
        <v>2580</v>
      </c>
      <c r="G41" s="8">
        <v>2035</v>
      </c>
      <c r="H41" s="8">
        <f>+IF(BDAlquilerDepartamentos[[#This Row],[Ciudad]]="Lima",BDAlquilerDepartamentos[[#This Row],[Prec. Soles]]*0.1,BDAlquilerDepartamentos[[#This Row],[Prec. Soles]]*0.05)</f>
        <v>203.5</v>
      </c>
      <c r="I41" s="4">
        <v>2</v>
      </c>
      <c r="J41" s="4">
        <v>1</v>
      </c>
      <c r="K41" s="4" t="s">
        <v>3096</v>
      </c>
      <c r="L41" s="4" t="s">
        <v>3096</v>
      </c>
      <c r="M41" s="4">
        <v>67</v>
      </c>
      <c r="N41" s="4">
        <v>2018</v>
      </c>
      <c r="O41" s="4" t="str">
        <f>+IF(BDAlquilerDepartamentos[[#This Row],[Prec. Soles]]&gt;2500,"Caro","Economico")</f>
        <v>Economico</v>
      </c>
      <c r="P41" s="4" t="str">
        <f>+IF(AND(BDAlquilerDepartamentos[[#This Row],[N° de Dorm.]]&gt; 3,BDAlquilerDepartamentos[[#This Row],[Prec. Soles]]&lt;= 2500),"Buena Oferta", "Precio Estadar")</f>
        <v>Precio Estadar</v>
      </c>
      <c r="Q41" t="s">
        <v>1101</v>
      </c>
      <c r="R41" t="s">
        <v>1102</v>
      </c>
      <c r="S41" s="11">
        <v>45146</v>
      </c>
      <c r="T41" t="s">
        <v>2826</v>
      </c>
      <c r="U41" t="s">
        <v>1168</v>
      </c>
    </row>
    <row r="42" spans="2:21" x14ac:dyDescent="0.3">
      <c r="B42" t="s">
        <v>1169</v>
      </c>
      <c r="C42" t="s">
        <v>2455</v>
      </c>
      <c r="D42" t="s">
        <v>2436</v>
      </c>
      <c r="E42" t="s">
        <v>2580</v>
      </c>
      <c r="F42" t="s">
        <v>2580</v>
      </c>
      <c r="G42" s="8">
        <v>5365</v>
      </c>
      <c r="H42" s="8">
        <f>+IF(BDAlquilerDepartamentos[[#This Row],[Ciudad]]="Lima",BDAlquilerDepartamentos[[#This Row],[Prec. Soles]]*0.1,BDAlquilerDepartamentos[[#This Row],[Prec. Soles]]*0.05)</f>
        <v>536.5</v>
      </c>
      <c r="I42" s="4">
        <v>3</v>
      </c>
      <c r="J42" s="4">
        <v>2</v>
      </c>
      <c r="K42" s="4" t="s">
        <v>3096</v>
      </c>
      <c r="L42" s="4" t="s">
        <v>3096</v>
      </c>
      <c r="M42" s="4">
        <v>175</v>
      </c>
      <c r="N42" s="4">
        <v>2014</v>
      </c>
      <c r="O42" s="4" t="str">
        <f>+IF(BDAlquilerDepartamentos[[#This Row],[Prec. Soles]]&gt;2500,"Caro","Economico")</f>
        <v>Caro</v>
      </c>
      <c r="P42" s="4" t="str">
        <f>+IF(AND(BDAlquilerDepartamentos[[#This Row],[N° de Dorm.]]&gt; 3,BDAlquilerDepartamentos[[#This Row],[Prec. Soles]]&lt;= 2500),"Buena Oferta", "Precio Estadar")</f>
        <v>Precio Estadar</v>
      </c>
      <c r="Q42" t="s">
        <v>1101</v>
      </c>
      <c r="R42" t="s">
        <v>1102</v>
      </c>
      <c r="S42" s="11">
        <v>45533</v>
      </c>
      <c r="T42" t="s">
        <v>2826</v>
      </c>
      <c r="U42" t="s">
        <v>1170</v>
      </c>
    </row>
    <row r="43" spans="2:21" x14ac:dyDescent="0.3">
      <c r="B43" t="s">
        <v>3113</v>
      </c>
      <c r="C43" t="s">
        <v>3114</v>
      </c>
      <c r="D43" t="s">
        <v>2436</v>
      </c>
      <c r="E43" t="s">
        <v>2580</v>
      </c>
      <c r="F43" t="s">
        <v>2580</v>
      </c>
      <c r="G43" s="8">
        <v>4810</v>
      </c>
      <c r="H43" s="8">
        <f>+IF(BDAlquilerDepartamentos[[#This Row],[Ciudad]]="Lima",BDAlquilerDepartamentos[[#This Row],[Prec. Soles]]*0.1,BDAlquilerDepartamentos[[#This Row],[Prec. Soles]]*0.05)</f>
        <v>481</v>
      </c>
      <c r="I43" s="4">
        <v>3</v>
      </c>
      <c r="J43" s="4">
        <v>3</v>
      </c>
      <c r="K43" s="4" t="s">
        <v>3096</v>
      </c>
      <c r="L43" s="4" t="s">
        <v>3096</v>
      </c>
      <c r="M43" s="4">
        <v>107</v>
      </c>
      <c r="N43" s="4">
        <v>2010</v>
      </c>
      <c r="O43" s="4" t="str">
        <f>+IF(BDAlquilerDepartamentos[[#This Row],[Prec. Soles]]&gt;2500,"Caro","Economico")</f>
        <v>Caro</v>
      </c>
      <c r="P43" s="4" t="str">
        <f>+IF(AND(BDAlquilerDepartamentos[[#This Row],[N° de Dorm.]]&gt; 3,BDAlquilerDepartamentos[[#This Row],[Prec. Soles]]&lt;= 2500),"Buena Oferta", "Precio Estadar")</f>
        <v>Precio Estadar</v>
      </c>
      <c r="Q43" t="s">
        <v>1101</v>
      </c>
      <c r="R43" t="s">
        <v>1102</v>
      </c>
      <c r="S43" s="11">
        <v>44942</v>
      </c>
      <c r="T43" t="s">
        <v>2832</v>
      </c>
      <c r="U43" t="s">
        <v>1171</v>
      </c>
    </row>
    <row r="44" spans="2:21" x14ac:dyDescent="0.3">
      <c r="B44" t="s">
        <v>1169</v>
      </c>
      <c r="C44" t="s">
        <v>2455</v>
      </c>
      <c r="D44" t="s">
        <v>2436</v>
      </c>
      <c r="E44" t="s">
        <v>2580</v>
      </c>
      <c r="F44" t="s">
        <v>2580</v>
      </c>
      <c r="G44" s="8">
        <v>3145</v>
      </c>
      <c r="H44" s="8">
        <f>+IF(BDAlquilerDepartamentos[[#This Row],[Ciudad]]="Lima",BDAlquilerDepartamentos[[#This Row],[Prec. Soles]]*0.1,BDAlquilerDepartamentos[[#This Row],[Prec. Soles]]*0.05)</f>
        <v>314.5</v>
      </c>
      <c r="I44" s="4">
        <v>3</v>
      </c>
      <c r="J44" s="4">
        <v>2</v>
      </c>
      <c r="K44" s="4" t="s">
        <v>3096</v>
      </c>
      <c r="L44" s="4" t="s">
        <v>3096</v>
      </c>
      <c r="M44" s="4">
        <v>125</v>
      </c>
      <c r="N44" s="4">
        <v>2010</v>
      </c>
      <c r="O44" s="4" t="str">
        <f>+IF(BDAlquilerDepartamentos[[#This Row],[Prec. Soles]]&gt;2500,"Caro","Economico")</f>
        <v>Caro</v>
      </c>
      <c r="P44" s="4" t="str">
        <f>+IF(AND(BDAlquilerDepartamentos[[#This Row],[N° de Dorm.]]&gt; 3,BDAlquilerDepartamentos[[#This Row],[Prec. Soles]]&lt;= 2500),"Buena Oferta", "Precio Estadar")</f>
        <v>Precio Estadar</v>
      </c>
      <c r="Q44" t="s">
        <v>1101</v>
      </c>
      <c r="R44" t="s">
        <v>1102</v>
      </c>
      <c r="S44" s="11">
        <v>45523</v>
      </c>
      <c r="T44" t="s">
        <v>2833</v>
      </c>
      <c r="U44" t="s">
        <v>1172</v>
      </c>
    </row>
    <row r="45" spans="2:21" x14ac:dyDescent="0.3">
      <c r="B45" t="s">
        <v>1167</v>
      </c>
      <c r="C45" t="s">
        <v>2454</v>
      </c>
      <c r="D45" t="s">
        <v>2418</v>
      </c>
      <c r="E45" t="s">
        <v>2580</v>
      </c>
      <c r="F45" t="s">
        <v>2580</v>
      </c>
      <c r="G45" s="8">
        <v>2220</v>
      </c>
      <c r="H45" s="8">
        <f>+IF(BDAlquilerDepartamentos[[#This Row],[Ciudad]]="Lima",BDAlquilerDepartamentos[[#This Row],[Prec. Soles]]*0.1,BDAlquilerDepartamentos[[#This Row],[Prec. Soles]]*0.05)</f>
        <v>222</v>
      </c>
      <c r="I45" s="4">
        <v>2</v>
      </c>
      <c r="J45" s="4">
        <v>1</v>
      </c>
      <c r="K45" s="4" t="s">
        <v>3095</v>
      </c>
      <c r="L45" s="4" t="s">
        <v>3095</v>
      </c>
      <c r="M45" s="4">
        <v>62</v>
      </c>
      <c r="N45" s="4">
        <v>2008</v>
      </c>
      <c r="O45" s="4" t="str">
        <f>+IF(BDAlquilerDepartamentos[[#This Row],[Prec. Soles]]&gt;2500,"Caro","Economico")</f>
        <v>Economico</v>
      </c>
      <c r="P45" s="4" t="str">
        <f>+IF(AND(BDAlquilerDepartamentos[[#This Row],[N° de Dorm.]]&gt; 3,BDAlquilerDepartamentos[[#This Row],[Prec. Soles]]&lt;= 2500),"Buena Oferta", "Precio Estadar")</f>
        <v>Precio Estadar</v>
      </c>
      <c r="Q45" t="s">
        <v>1101</v>
      </c>
      <c r="R45" t="s">
        <v>1102</v>
      </c>
      <c r="S45" s="11">
        <v>45447</v>
      </c>
      <c r="T45" t="s">
        <v>2826</v>
      </c>
      <c r="U45" t="s">
        <v>1173</v>
      </c>
    </row>
    <row r="46" spans="2:21" x14ac:dyDescent="0.3">
      <c r="B46" t="s">
        <v>1174</v>
      </c>
      <c r="C46" t="s">
        <v>2456</v>
      </c>
      <c r="D46" t="s">
        <v>2457</v>
      </c>
      <c r="E46" t="s">
        <v>2580</v>
      </c>
      <c r="F46" t="s">
        <v>2580</v>
      </c>
      <c r="G46" s="8">
        <v>5550</v>
      </c>
      <c r="H46" s="8">
        <f>+IF(BDAlquilerDepartamentos[[#This Row],[Ciudad]]="Lima",BDAlquilerDepartamentos[[#This Row],[Prec. Soles]]*0.1,BDAlquilerDepartamentos[[#This Row],[Prec. Soles]]*0.05)</f>
        <v>555</v>
      </c>
      <c r="I46" s="4">
        <v>4</v>
      </c>
      <c r="J46" s="4">
        <v>4</v>
      </c>
      <c r="K46" s="4" t="s">
        <v>3095</v>
      </c>
      <c r="L46" s="4" t="s">
        <v>3095</v>
      </c>
      <c r="M46" s="4">
        <v>220</v>
      </c>
      <c r="N46" s="4">
        <v>2013</v>
      </c>
      <c r="O46" s="4" t="str">
        <f>+IF(BDAlquilerDepartamentos[[#This Row],[Prec. Soles]]&gt;2500,"Caro","Economico")</f>
        <v>Caro</v>
      </c>
      <c r="P46" s="4" t="str">
        <f>+IF(AND(BDAlquilerDepartamentos[[#This Row],[N° de Dorm.]]&gt; 3,BDAlquilerDepartamentos[[#This Row],[Prec. Soles]]&lt;= 2500),"Buena Oferta", "Precio Estadar")</f>
        <v>Precio Estadar</v>
      </c>
      <c r="Q46" t="s">
        <v>1101</v>
      </c>
      <c r="R46" t="s">
        <v>1102</v>
      </c>
      <c r="S46" s="11">
        <v>45287</v>
      </c>
      <c r="T46" t="s">
        <v>2826</v>
      </c>
      <c r="U46" t="s">
        <v>1175</v>
      </c>
    </row>
    <row r="47" spans="2:21" x14ac:dyDescent="0.3">
      <c r="B47" t="s">
        <v>1176</v>
      </c>
      <c r="C47" t="s">
        <v>2458</v>
      </c>
      <c r="D47" t="s">
        <v>3117</v>
      </c>
      <c r="E47" t="s">
        <v>2580</v>
      </c>
      <c r="F47" t="s">
        <v>2580</v>
      </c>
      <c r="G47" s="8">
        <v>1500</v>
      </c>
      <c r="H47" s="8">
        <f>+IF(BDAlquilerDepartamentos[[#This Row],[Ciudad]]="Lima",BDAlquilerDepartamentos[[#This Row],[Prec. Soles]]*0.1,BDAlquilerDepartamentos[[#This Row],[Prec. Soles]]*0.05)</f>
        <v>150</v>
      </c>
      <c r="I47" s="4">
        <v>3</v>
      </c>
      <c r="J47" s="4">
        <v>2</v>
      </c>
      <c r="K47" s="4" t="s">
        <v>3096</v>
      </c>
      <c r="L47" s="4" t="s">
        <v>3096</v>
      </c>
      <c r="M47" s="4">
        <v>135</v>
      </c>
      <c r="N47" s="4">
        <v>2012</v>
      </c>
      <c r="O47" s="4" t="str">
        <f>+IF(BDAlquilerDepartamentos[[#This Row],[Prec. Soles]]&gt;2500,"Caro","Economico")</f>
        <v>Economico</v>
      </c>
      <c r="P47" s="4" t="str">
        <f>+IF(AND(BDAlquilerDepartamentos[[#This Row],[N° de Dorm.]]&gt; 3,BDAlquilerDepartamentos[[#This Row],[Prec. Soles]]&lt;= 2500),"Buena Oferta", "Precio Estadar")</f>
        <v>Precio Estadar</v>
      </c>
      <c r="Q47" t="s">
        <v>1101</v>
      </c>
      <c r="R47" t="s">
        <v>1102</v>
      </c>
      <c r="S47" s="11">
        <v>45600</v>
      </c>
      <c r="T47" t="s">
        <v>2834</v>
      </c>
      <c r="U47" t="s">
        <v>1177</v>
      </c>
    </row>
    <row r="48" spans="2:21" x14ac:dyDescent="0.3">
      <c r="B48" t="s">
        <v>1178</v>
      </c>
      <c r="C48" t="s">
        <v>2459</v>
      </c>
      <c r="D48" t="s">
        <v>2460</v>
      </c>
      <c r="E48" t="s">
        <v>2580</v>
      </c>
      <c r="F48" t="s">
        <v>2580</v>
      </c>
      <c r="G48" s="8">
        <v>1369</v>
      </c>
      <c r="H48" s="8">
        <f>+IF(BDAlquilerDepartamentos[[#This Row],[Ciudad]]="Lima",BDAlquilerDepartamentos[[#This Row],[Prec. Soles]]*0.1,BDAlquilerDepartamentos[[#This Row],[Prec. Soles]]*0.05)</f>
        <v>136.9</v>
      </c>
      <c r="I48" s="4">
        <v>3</v>
      </c>
      <c r="J48" s="4">
        <v>2</v>
      </c>
      <c r="K48" s="4" t="s">
        <v>3096</v>
      </c>
      <c r="L48" s="4" t="s">
        <v>3095</v>
      </c>
      <c r="M48" s="4">
        <v>85</v>
      </c>
      <c r="N48" s="4">
        <v>2011</v>
      </c>
      <c r="O48" s="4" t="str">
        <f>+IF(BDAlquilerDepartamentos[[#This Row],[Prec. Soles]]&gt;2500,"Caro","Economico")</f>
        <v>Economico</v>
      </c>
      <c r="P48" s="4" t="str">
        <f>+IF(AND(BDAlquilerDepartamentos[[#This Row],[N° de Dorm.]]&gt; 3,BDAlquilerDepartamentos[[#This Row],[Prec. Soles]]&lt;= 2500),"Buena Oferta", "Precio Estadar")</f>
        <v>Precio Estadar</v>
      </c>
      <c r="Q48" t="s">
        <v>1101</v>
      </c>
      <c r="R48" t="s">
        <v>1102</v>
      </c>
      <c r="S48" s="11">
        <v>45576</v>
      </c>
      <c r="T48" t="s">
        <v>2835</v>
      </c>
      <c r="U48" t="s">
        <v>1179</v>
      </c>
    </row>
    <row r="49" spans="2:21" x14ac:dyDescent="0.3">
      <c r="B49" t="s">
        <v>1180</v>
      </c>
      <c r="C49" t="s">
        <v>2461</v>
      </c>
      <c r="D49" t="s">
        <v>2580</v>
      </c>
      <c r="E49" t="s">
        <v>2580</v>
      </c>
      <c r="F49" t="s">
        <v>2580</v>
      </c>
      <c r="G49" s="8">
        <v>5550</v>
      </c>
      <c r="H49" s="8">
        <f>+IF(BDAlquilerDepartamentos[[#This Row],[Ciudad]]="Lima",BDAlquilerDepartamentos[[#This Row],[Prec. Soles]]*0.1,BDAlquilerDepartamentos[[#This Row],[Prec. Soles]]*0.05)</f>
        <v>555</v>
      </c>
      <c r="I49" s="4">
        <v>3</v>
      </c>
      <c r="J49" s="4">
        <v>3</v>
      </c>
      <c r="K49" s="4" t="s">
        <v>3096</v>
      </c>
      <c r="L49" s="4" t="s">
        <v>3095</v>
      </c>
      <c r="M49" s="4">
        <v>500</v>
      </c>
      <c r="N49" s="4">
        <v>2020</v>
      </c>
      <c r="O49" s="4" t="str">
        <f>+IF(BDAlquilerDepartamentos[[#This Row],[Prec. Soles]]&gt;2500,"Caro","Economico")</f>
        <v>Caro</v>
      </c>
      <c r="P49" s="4" t="str">
        <f>+IF(AND(BDAlquilerDepartamentos[[#This Row],[N° de Dorm.]]&gt; 3,BDAlquilerDepartamentos[[#This Row],[Prec. Soles]]&lt;= 2500),"Buena Oferta", "Precio Estadar")</f>
        <v>Precio Estadar</v>
      </c>
      <c r="Q49" t="s">
        <v>1113</v>
      </c>
      <c r="R49" t="s">
        <v>1102</v>
      </c>
      <c r="S49" s="11">
        <v>45044</v>
      </c>
      <c r="T49" t="s">
        <v>2821</v>
      </c>
      <c r="U49" t="s">
        <v>1181</v>
      </c>
    </row>
    <row r="50" spans="2:21" x14ac:dyDescent="0.3">
      <c r="B50" t="s">
        <v>3118</v>
      </c>
      <c r="C50" t="s">
        <v>3119</v>
      </c>
      <c r="D50" t="s">
        <v>2580</v>
      </c>
      <c r="E50" t="s">
        <v>2580</v>
      </c>
      <c r="F50" t="s">
        <v>2580</v>
      </c>
      <c r="G50" s="8">
        <v>5180</v>
      </c>
      <c r="H50" s="8">
        <f>+IF(BDAlquilerDepartamentos[[#This Row],[Ciudad]]="Lima",BDAlquilerDepartamentos[[#This Row],[Prec. Soles]]*0.1,BDAlquilerDepartamentos[[#This Row],[Prec. Soles]]*0.05)</f>
        <v>518</v>
      </c>
      <c r="I50" s="4">
        <v>2</v>
      </c>
      <c r="J50" s="4">
        <v>2</v>
      </c>
      <c r="K50" s="4" t="s">
        <v>3095</v>
      </c>
      <c r="L50" s="4" t="s">
        <v>3096</v>
      </c>
      <c r="M50" s="4">
        <v>111</v>
      </c>
      <c r="N50" s="4">
        <v>2005</v>
      </c>
      <c r="O50" s="4" t="str">
        <f>+IF(BDAlquilerDepartamentos[[#This Row],[Prec. Soles]]&gt;2500,"Caro","Economico")</f>
        <v>Caro</v>
      </c>
      <c r="P50" s="4" t="str">
        <f>+IF(AND(BDAlquilerDepartamentos[[#This Row],[N° de Dorm.]]&gt; 3,BDAlquilerDepartamentos[[#This Row],[Prec. Soles]]&lt;= 2500),"Buena Oferta", "Precio Estadar")</f>
        <v>Precio Estadar</v>
      </c>
      <c r="Q50" t="s">
        <v>1101</v>
      </c>
      <c r="R50" t="s">
        <v>1102</v>
      </c>
      <c r="S50" s="11">
        <v>45437</v>
      </c>
      <c r="T50" t="s">
        <v>2826</v>
      </c>
      <c r="U50" t="s">
        <v>1182</v>
      </c>
    </row>
    <row r="51" spans="2:21" x14ac:dyDescent="0.3">
      <c r="B51" t="s">
        <v>1100</v>
      </c>
      <c r="C51" t="s">
        <v>2415</v>
      </c>
      <c r="D51" t="s">
        <v>2436</v>
      </c>
      <c r="E51" t="s">
        <v>2580</v>
      </c>
      <c r="F51" t="s">
        <v>2580</v>
      </c>
      <c r="G51" s="8">
        <v>3885</v>
      </c>
      <c r="H51" s="8">
        <f>+IF(BDAlquilerDepartamentos[[#This Row],[Ciudad]]="Lima",BDAlquilerDepartamentos[[#This Row],[Prec. Soles]]*0.1,BDAlquilerDepartamentos[[#This Row],[Prec. Soles]]*0.05)</f>
        <v>388.5</v>
      </c>
      <c r="I51" s="4">
        <v>1</v>
      </c>
      <c r="J51" s="4">
        <v>3</v>
      </c>
      <c r="K51" s="4" t="s">
        <v>3096</v>
      </c>
      <c r="L51" s="4" t="s">
        <v>3096</v>
      </c>
      <c r="M51" s="4">
        <v>125</v>
      </c>
      <c r="N51" s="4">
        <v>2018</v>
      </c>
      <c r="O51" s="4" t="str">
        <f>+IF(BDAlquilerDepartamentos[[#This Row],[Prec. Soles]]&gt;2500,"Caro","Economico")</f>
        <v>Caro</v>
      </c>
      <c r="P51" s="4" t="str">
        <f>+IF(AND(BDAlquilerDepartamentos[[#This Row],[N° de Dorm.]]&gt; 3,BDAlquilerDepartamentos[[#This Row],[Prec. Soles]]&lt;= 2500),"Buena Oferta", "Precio Estadar")</f>
        <v>Precio Estadar</v>
      </c>
      <c r="Q51" t="s">
        <v>1101</v>
      </c>
      <c r="R51" t="s">
        <v>1102</v>
      </c>
      <c r="S51" s="11">
        <v>45600</v>
      </c>
      <c r="T51" t="s">
        <v>2819</v>
      </c>
      <c r="U51" t="s">
        <v>1183</v>
      </c>
    </row>
    <row r="52" spans="2:21" x14ac:dyDescent="0.3">
      <c r="B52" t="s">
        <v>1118</v>
      </c>
      <c r="C52" t="s">
        <v>2426</v>
      </c>
      <c r="D52" t="s">
        <v>2436</v>
      </c>
      <c r="E52" t="s">
        <v>2580</v>
      </c>
      <c r="F52" t="s">
        <v>2580</v>
      </c>
      <c r="G52" s="8">
        <v>3145</v>
      </c>
      <c r="H52" s="8">
        <f>+IF(BDAlquilerDepartamentos[[#This Row],[Ciudad]]="Lima",BDAlquilerDepartamentos[[#This Row],[Prec. Soles]]*0.1,BDAlquilerDepartamentos[[#This Row],[Prec. Soles]]*0.05)</f>
        <v>314.5</v>
      </c>
      <c r="I52" s="4">
        <v>2</v>
      </c>
      <c r="J52" s="4">
        <v>2</v>
      </c>
      <c r="K52" s="4" t="s">
        <v>3096</v>
      </c>
      <c r="L52" s="4" t="s">
        <v>3095</v>
      </c>
      <c r="M52" s="4">
        <v>84</v>
      </c>
      <c r="N52" s="4">
        <v>2012</v>
      </c>
      <c r="O52" s="4" t="str">
        <f>+IF(BDAlquilerDepartamentos[[#This Row],[Prec. Soles]]&gt;2500,"Caro","Economico")</f>
        <v>Caro</v>
      </c>
      <c r="P52" s="4" t="str">
        <f>+IF(AND(BDAlquilerDepartamentos[[#This Row],[N° de Dorm.]]&gt; 3,BDAlquilerDepartamentos[[#This Row],[Prec. Soles]]&lt;= 2500),"Buena Oferta", "Precio Estadar")</f>
        <v>Precio Estadar</v>
      </c>
      <c r="Q52" t="s">
        <v>1101</v>
      </c>
      <c r="R52" t="s">
        <v>1102</v>
      </c>
      <c r="S52" s="11">
        <v>45089</v>
      </c>
      <c r="T52" t="s">
        <v>2836</v>
      </c>
      <c r="U52" t="s">
        <v>1184</v>
      </c>
    </row>
    <row r="53" spans="2:21" x14ac:dyDescent="0.3">
      <c r="B53" t="s">
        <v>1185</v>
      </c>
      <c r="C53" t="s">
        <v>2462</v>
      </c>
      <c r="D53" t="s">
        <v>2463</v>
      </c>
      <c r="E53" t="s">
        <v>2580</v>
      </c>
      <c r="F53" t="s">
        <v>2580</v>
      </c>
      <c r="G53" s="8">
        <v>2600</v>
      </c>
      <c r="H53" s="8">
        <f>+IF(BDAlquilerDepartamentos[[#This Row],[Ciudad]]="Lima",BDAlquilerDepartamentos[[#This Row],[Prec. Soles]]*0.1,BDAlquilerDepartamentos[[#This Row],[Prec. Soles]]*0.05)</f>
        <v>260</v>
      </c>
      <c r="I53" s="4">
        <v>3</v>
      </c>
      <c r="J53" s="4">
        <v>2</v>
      </c>
      <c r="K53" s="4" t="s">
        <v>3096</v>
      </c>
      <c r="L53" s="4" t="s">
        <v>3095</v>
      </c>
      <c r="M53" s="4">
        <v>92</v>
      </c>
      <c r="N53" s="4">
        <v>1960</v>
      </c>
      <c r="O53" s="4" t="str">
        <f>+IF(BDAlquilerDepartamentos[[#This Row],[Prec. Soles]]&gt;2500,"Caro","Economico")</f>
        <v>Caro</v>
      </c>
      <c r="P53" s="4" t="str">
        <f>+IF(AND(BDAlquilerDepartamentos[[#This Row],[N° de Dorm.]]&gt; 3,BDAlquilerDepartamentos[[#This Row],[Prec. Soles]]&lt;= 2500),"Buena Oferta", "Precio Estadar")</f>
        <v>Precio Estadar</v>
      </c>
      <c r="Q53" t="s">
        <v>1113</v>
      </c>
      <c r="R53" t="s">
        <v>1102</v>
      </c>
      <c r="S53" s="11">
        <v>45476</v>
      </c>
      <c r="T53" t="s">
        <v>2837</v>
      </c>
      <c r="U53" t="s">
        <v>1186</v>
      </c>
    </row>
    <row r="54" spans="2:21" x14ac:dyDescent="0.3">
      <c r="B54" t="s">
        <v>1187</v>
      </c>
      <c r="C54" t="s">
        <v>2464</v>
      </c>
      <c r="D54" t="s">
        <v>2436</v>
      </c>
      <c r="E54" t="s">
        <v>2580</v>
      </c>
      <c r="F54" t="s">
        <v>2580</v>
      </c>
      <c r="G54" s="8">
        <v>3000</v>
      </c>
      <c r="H54" s="8">
        <f>+IF(BDAlquilerDepartamentos[[#This Row],[Ciudad]]="Lima",BDAlquilerDepartamentos[[#This Row],[Prec. Soles]]*0.1,BDAlquilerDepartamentos[[#This Row],[Prec. Soles]]*0.05)</f>
        <v>300</v>
      </c>
      <c r="I54" s="4">
        <v>2</v>
      </c>
      <c r="J54" s="4">
        <v>3</v>
      </c>
      <c r="K54" s="4" t="s">
        <v>3095</v>
      </c>
      <c r="L54" s="4" t="s">
        <v>3096</v>
      </c>
      <c r="M54" s="4">
        <v>124</v>
      </c>
      <c r="N54" s="4">
        <v>2023</v>
      </c>
      <c r="O54" s="4" t="str">
        <f>+IF(BDAlquilerDepartamentos[[#This Row],[Prec. Soles]]&gt;2500,"Caro","Economico")</f>
        <v>Caro</v>
      </c>
      <c r="P54" s="4" t="str">
        <f>+IF(AND(BDAlquilerDepartamentos[[#This Row],[N° de Dorm.]]&gt; 3,BDAlquilerDepartamentos[[#This Row],[Prec. Soles]]&lt;= 2500),"Buena Oferta", "Precio Estadar")</f>
        <v>Precio Estadar</v>
      </c>
      <c r="Q54" t="s">
        <v>1101</v>
      </c>
      <c r="R54" t="s">
        <v>1102</v>
      </c>
      <c r="S54" s="11">
        <v>45608</v>
      </c>
      <c r="T54" t="s">
        <v>2838</v>
      </c>
      <c r="U54" t="s">
        <v>1188</v>
      </c>
    </row>
    <row r="55" spans="2:21" x14ac:dyDescent="0.3">
      <c r="B55" t="s">
        <v>1189</v>
      </c>
      <c r="C55" t="s">
        <v>2465</v>
      </c>
      <c r="D55" t="s">
        <v>2418</v>
      </c>
      <c r="E55" t="s">
        <v>2580</v>
      </c>
      <c r="F55" t="s">
        <v>2580</v>
      </c>
      <c r="G55" s="8">
        <v>2300</v>
      </c>
      <c r="H55" s="8">
        <f>+IF(BDAlquilerDepartamentos[[#This Row],[Ciudad]]="Lima",BDAlquilerDepartamentos[[#This Row],[Prec. Soles]]*0.1,BDAlquilerDepartamentos[[#This Row],[Prec. Soles]]*0.05)</f>
        <v>230</v>
      </c>
      <c r="I55" s="4">
        <v>1</v>
      </c>
      <c r="J55" s="4">
        <v>1</v>
      </c>
      <c r="K55" s="4" t="s">
        <v>3096</v>
      </c>
      <c r="L55" s="4" t="s">
        <v>3096</v>
      </c>
      <c r="M55" s="4">
        <v>43</v>
      </c>
      <c r="N55" s="4">
        <v>2013</v>
      </c>
      <c r="O55" s="4" t="str">
        <f>+IF(BDAlquilerDepartamentos[[#This Row],[Prec. Soles]]&gt;2500,"Caro","Economico")</f>
        <v>Economico</v>
      </c>
      <c r="P55" s="4" t="str">
        <f>+IF(AND(BDAlquilerDepartamentos[[#This Row],[N° de Dorm.]]&gt; 3,BDAlquilerDepartamentos[[#This Row],[Prec. Soles]]&lt;= 2500),"Buena Oferta", "Precio Estadar")</f>
        <v>Precio Estadar</v>
      </c>
      <c r="Q55" t="s">
        <v>1101</v>
      </c>
      <c r="R55" t="s">
        <v>1102</v>
      </c>
      <c r="S55" s="11">
        <v>45117</v>
      </c>
      <c r="T55" t="s">
        <v>2839</v>
      </c>
      <c r="U55" t="s">
        <v>1190</v>
      </c>
    </row>
    <row r="56" spans="2:21" x14ac:dyDescent="0.3">
      <c r="B56" t="s">
        <v>1191</v>
      </c>
      <c r="C56" t="s">
        <v>2466</v>
      </c>
      <c r="D56" t="s">
        <v>2436</v>
      </c>
      <c r="E56" t="s">
        <v>2580</v>
      </c>
      <c r="F56" t="s">
        <v>2580</v>
      </c>
      <c r="G56" s="8">
        <v>2590</v>
      </c>
      <c r="H56" s="8">
        <f>+IF(BDAlquilerDepartamentos[[#This Row],[Ciudad]]="Lima",BDAlquilerDepartamentos[[#This Row],[Prec. Soles]]*0.1,BDAlquilerDepartamentos[[#This Row],[Prec. Soles]]*0.05)</f>
        <v>259</v>
      </c>
      <c r="I56" s="4">
        <v>3</v>
      </c>
      <c r="J56" s="4">
        <v>3</v>
      </c>
      <c r="K56" s="4" t="s">
        <v>3095</v>
      </c>
      <c r="L56" s="4" t="s">
        <v>3096</v>
      </c>
      <c r="M56" s="4">
        <v>89</v>
      </c>
      <c r="N56" s="4">
        <v>2010</v>
      </c>
      <c r="O56" s="4" t="str">
        <f>+IF(BDAlquilerDepartamentos[[#This Row],[Prec. Soles]]&gt;2500,"Caro","Economico")</f>
        <v>Caro</v>
      </c>
      <c r="P56" s="4" t="str">
        <f>+IF(AND(BDAlquilerDepartamentos[[#This Row],[N° de Dorm.]]&gt; 3,BDAlquilerDepartamentos[[#This Row],[Prec. Soles]]&lt;= 2500),"Buena Oferta", "Precio Estadar")</f>
        <v>Precio Estadar</v>
      </c>
      <c r="Q56" t="s">
        <v>1101</v>
      </c>
      <c r="R56" t="s">
        <v>1102</v>
      </c>
      <c r="S56" s="11">
        <v>45029</v>
      </c>
      <c r="T56" t="s">
        <v>2819</v>
      </c>
      <c r="U56" t="s">
        <v>1192</v>
      </c>
    </row>
    <row r="57" spans="2:21" x14ac:dyDescent="0.3">
      <c r="B57" t="s">
        <v>1193</v>
      </c>
      <c r="C57" t="s">
        <v>2467</v>
      </c>
      <c r="D57" t="s">
        <v>2460</v>
      </c>
      <c r="E57" t="s">
        <v>2580</v>
      </c>
      <c r="F57" t="s">
        <v>2580</v>
      </c>
      <c r="G57" s="8">
        <v>6660</v>
      </c>
      <c r="H57" s="8">
        <f>+IF(BDAlquilerDepartamentos[[#This Row],[Ciudad]]="Lima",BDAlquilerDepartamentos[[#This Row],[Prec. Soles]]*0.1,BDAlquilerDepartamentos[[#This Row],[Prec. Soles]]*0.05)</f>
        <v>666</v>
      </c>
      <c r="I57" s="4">
        <v>3</v>
      </c>
      <c r="J57" s="4">
        <v>3</v>
      </c>
      <c r="K57" s="4" t="s">
        <v>3096</v>
      </c>
      <c r="L57" s="4" t="s">
        <v>3095</v>
      </c>
      <c r="M57" s="4">
        <v>624</v>
      </c>
      <c r="N57" s="4">
        <v>1988</v>
      </c>
      <c r="O57" s="4" t="str">
        <f>+IF(BDAlquilerDepartamentos[[#This Row],[Prec. Soles]]&gt;2500,"Caro","Economico")</f>
        <v>Caro</v>
      </c>
      <c r="P57" s="4" t="str">
        <f>+IF(AND(BDAlquilerDepartamentos[[#This Row],[N° de Dorm.]]&gt; 3,BDAlquilerDepartamentos[[#This Row],[Prec. Soles]]&lt;= 2500),"Buena Oferta", "Precio Estadar")</f>
        <v>Precio Estadar</v>
      </c>
      <c r="Q57" t="s">
        <v>1113</v>
      </c>
      <c r="R57" t="s">
        <v>1102</v>
      </c>
      <c r="S57" s="11">
        <v>45444</v>
      </c>
      <c r="T57" t="s">
        <v>2840</v>
      </c>
      <c r="U57" t="s">
        <v>1194</v>
      </c>
    </row>
    <row r="58" spans="2:21" x14ac:dyDescent="0.3">
      <c r="B58" t="s">
        <v>1195</v>
      </c>
      <c r="C58" t="s">
        <v>2468</v>
      </c>
      <c r="D58" t="s">
        <v>2428</v>
      </c>
      <c r="E58" t="s">
        <v>2580</v>
      </c>
      <c r="F58" t="s">
        <v>2580</v>
      </c>
      <c r="G58" s="8">
        <v>1887</v>
      </c>
      <c r="H58" s="8">
        <f>+IF(BDAlquilerDepartamentos[[#This Row],[Ciudad]]="Lima",BDAlquilerDepartamentos[[#This Row],[Prec. Soles]]*0.1,BDAlquilerDepartamentos[[#This Row],[Prec. Soles]]*0.05)</f>
        <v>188.70000000000002</v>
      </c>
      <c r="I58" s="4">
        <v>1</v>
      </c>
      <c r="J58" s="4">
        <v>1</v>
      </c>
      <c r="K58" s="4" t="s">
        <v>3095</v>
      </c>
      <c r="L58" s="4" t="s">
        <v>3096</v>
      </c>
      <c r="M58" s="4">
        <v>55</v>
      </c>
      <c r="N58" s="4">
        <v>2022</v>
      </c>
      <c r="O58" s="4" t="str">
        <f>+IF(BDAlquilerDepartamentos[[#This Row],[Prec. Soles]]&gt;2500,"Caro","Economico")</f>
        <v>Economico</v>
      </c>
      <c r="P58" s="4" t="str">
        <f>+IF(AND(BDAlquilerDepartamentos[[#This Row],[N° de Dorm.]]&gt; 3,BDAlquilerDepartamentos[[#This Row],[Prec. Soles]]&lt;= 2500),"Buena Oferta", "Precio Estadar")</f>
        <v>Precio Estadar</v>
      </c>
      <c r="Q58" t="s">
        <v>1101</v>
      </c>
      <c r="R58" t="s">
        <v>1102</v>
      </c>
      <c r="S58" s="11">
        <v>44941</v>
      </c>
      <c r="T58" t="s">
        <v>2819</v>
      </c>
      <c r="U58" t="s">
        <v>1196</v>
      </c>
    </row>
    <row r="59" spans="2:21" x14ac:dyDescent="0.3">
      <c r="B59" t="s">
        <v>1197</v>
      </c>
      <c r="C59" t="s">
        <v>2469</v>
      </c>
      <c r="D59" t="s">
        <v>2463</v>
      </c>
      <c r="E59" t="s">
        <v>2580</v>
      </c>
      <c r="F59" t="s">
        <v>2580</v>
      </c>
      <c r="G59" s="8">
        <v>1800</v>
      </c>
      <c r="H59" s="8">
        <f>+IF(BDAlquilerDepartamentos[[#This Row],[Ciudad]]="Lima",BDAlquilerDepartamentos[[#This Row],[Prec. Soles]]*0.1,BDAlquilerDepartamentos[[#This Row],[Prec. Soles]]*0.05)</f>
        <v>180</v>
      </c>
      <c r="I59" s="4">
        <v>3</v>
      </c>
      <c r="J59" s="4">
        <v>2</v>
      </c>
      <c r="K59" s="4" t="s">
        <v>3095</v>
      </c>
      <c r="L59" s="4" t="s">
        <v>3096</v>
      </c>
      <c r="M59" s="4">
        <v>82</v>
      </c>
      <c r="N59" s="4">
        <v>2014</v>
      </c>
      <c r="O59" s="4" t="str">
        <f>+IF(BDAlquilerDepartamentos[[#This Row],[Prec. Soles]]&gt;2500,"Caro","Economico")</f>
        <v>Economico</v>
      </c>
      <c r="P59" s="4" t="str">
        <f>+IF(AND(BDAlquilerDepartamentos[[#This Row],[N° de Dorm.]]&gt; 3,BDAlquilerDepartamentos[[#This Row],[Prec. Soles]]&lt;= 2500),"Buena Oferta", "Precio Estadar")</f>
        <v>Precio Estadar</v>
      </c>
      <c r="Q59" t="s">
        <v>1101</v>
      </c>
      <c r="R59" t="s">
        <v>1102</v>
      </c>
      <c r="S59" s="11">
        <v>45331</v>
      </c>
      <c r="T59" t="s">
        <v>2841</v>
      </c>
      <c r="U59" t="s">
        <v>1198</v>
      </c>
    </row>
    <row r="60" spans="2:21" x14ac:dyDescent="0.3">
      <c r="B60" t="s">
        <v>1197</v>
      </c>
      <c r="C60" t="s">
        <v>2469</v>
      </c>
      <c r="D60" t="s">
        <v>2463</v>
      </c>
      <c r="E60" t="s">
        <v>2580</v>
      </c>
      <c r="F60" t="s">
        <v>2580</v>
      </c>
      <c r="G60" s="8">
        <v>2800</v>
      </c>
      <c r="H60" s="8">
        <f>+IF(BDAlquilerDepartamentos[[#This Row],[Ciudad]]="Lima",BDAlquilerDepartamentos[[#This Row],[Prec. Soles]]*0.1,BDAlquilerDepartamentos[[#This Row],[Prec. Soles]]*0.05)</f>
        <v>280</v>
      </c>
      <c r="I60" s="4">
        <v>2</v>
      </c>
      <c r="J60" s="4">
        <v>2</v>
      </c>
      <c r="K60" s="4" t="s">
        <v>3096</v>
      </c>
      <c r="L60" s="4" t="s">
        <v>3096</v>
      </c>
      <c r="M60" s="4">
        <v>60</v>
      </c>
      <c r="N60" s="4">
        <v>2019</v>
      </c>
      <c r="O60" s="4" t="str">
        <f>+IF(BDAlquilerDepartamentos[[#This Row],[Prec. Soles]]&gt;2500,"Caro","Economico")</f>
        <v>Caro</v>
      </c>
      <c r="P60" s="4" t="str">
        <f>+IF(AND(BDAlquilerDepartamentos[[#This Row],[N° de Dorm.]]&gt; 3,BDAlquilerDepartamentos[[#This Row],[Prec. Soles]]&lt;= 2500),"Buena Oferta", "Precio Estadar")</f>
        <v>Precio Estadar</v>
      </c>
      <c r="Q60" t="s">
        <v>1101</v>
      </c>
      <c r="R60" t="s">
        <v>1102</v>
      </c>
      <c r="S60" s="11">
        <v>45449</v>
      </c>
      <c r="T60" t="s">
        <v>2833</v>
      </c>
      <c r="U60" t="s">
        <v>1200</v>
      </c>
    </row>
    <row r="61" spans="2:21" x14ac:dyDescent="0.3">
      <c r="B61" t="s">
        <v>1201</v>
      </c>
      <c r="C61" t="s">
        <v>2470</v>
      </c>
      <c r="D61" t="s">
        <v>2580</v>
      </c>
      <c r="E61" t="s">
        <v>2580</v>
      </c>
      <c r="F61" t="s">
        <v>2580</v>
      </c>
      <c r="G61" s="8">
        <v>2590</v>
      </c>
      <c r="H61" s="8">
        <f>+IF(BDAlquilerDepartamentos[[#This Row],[Ciudad]]="Lima",BDAlquilerDepartamentos[[#This Row],[Prec. Soles]]*0.1,BDAlquilerDepartamentos[[#This Row],[Prec. Soles]]*0.05)</f>
        <v>259</v>
      </c>
      <c r="I61" s="4">
        <v>1</v>
      </c>
      <c r="J61" s="4">
        <v>1</v>
      </c>
      <c r="K61" s="4" t="s">
        <v>3096</v>
      </c>
      <c r="L61" s="4" t="s">
        <v>3096</v>
      </c>
      <c r="M61" s="4">
        <v>50</v>
      </c>
      <c r="N61" s="4">
        <v>2013</v>
      </c>
      <c r="O61" s="4" t="str">
        <f>+IF(BDAlquilerDepartamentos[[#This Row],[Prec. Soles]]&gt;2500,"Caro","Economico")</f>
        <v>Caro</v>
      </c>
      <c r="P61" s="4" t="str">
        <f>+IF(AND(BDAlquilerDepartamentos[[#This Row],[N° de Dorm.]]&gt; 3,BDAlquilerDepartamentos[[#This Row],[Prec. Soles]]&lt;= 2500),"Buena Oferta", "Precio Estadar")</f>
        <v>Precio Estadar</v>
      </c>
      <c r="Q61" t="s">
        <v>1101</v>
      </c>
      <c r="R61" t="s">
        <v>1102</v>
      </c>
      <c r="S61" s="11">
        <v>45563</v>
      </c>
      <c r="T61" t="s">
        <v>3085</v>
      </c>
      <c r="U61" t="s">
        <v>1202</v>
      </c>
    </row>
    <row r="62" spans="2:21" x14ac:dyDescent="0.3">
      <c r="B62" t="s">
        <v>1203</v>
      </c>
      <c r="C62" t="s">
        <v>2445</v>
      </c>
      <c r="D62" t="s">
        <v>2436</v>
      </c>
      <c r="E62" t="s">
        <v>2580</v>
      </c>
      <c r="F62" t="s">
        <v>2580</v>
      </c>
      <c r="G62" s="8">
        <v>14800</v>
      </c>
      <c r="H62" s="8">
        <f>+IF(BDAlquilerDepartamentos[[#This Row],[Ciudad]]="Lima",BDAlquilerDepartamentos[[#This Row],[Prec. Soles]]*0.1,BDAlquilerDepartamentos[[#This Row],[Prec. Soles]]*0.05)</f>
        <v>1480</v>
      </c>
      <c r="I62" s="4">
        <v>14</v>
      </c>
      <c r="J62" s="4">
        <v>5</v>
      </c>
      <c r="K62" s="4" t="s">
        <v>3096</v>
      </c>
      <c r="L62" s="4" t="s">
        <v>3095</v>
      </c>
      <c r="N62" s="4">
        <v>2003</v>
      </c>
      <c r="O62" s="4" t="str">
        <f>+IF(BDAlquilerDepartamentos[[#This Row],[Prec. Soles]]&gt;2500,"Caro","Economico")</f>
        <v>Caro</v>
      </c>
      <c r="P62" s="4" t="str">
        <f>+IF(AND(BDAlquilerDepartamentos[[#This Row],[N° de Dorm.]]&gt; 3,BDAlquilerDepartamentos[[#This Row],[Prec. Soles]]&lt;= 2500),"Buena Oferta", "Precio Estadar")</f>
        <v>Precio Estadar</v>
      </c>
      <c r="Q62" t="s">
        <v>1164</v>
      </c>
      <c r="R62" t="s">
        <v>1102</v>
      </c>
      <c r="S62" s="11">
        <v>45490</v>
      </c>
      <c r="T62" t="s">
        <v>2842</v>
      </c>
      <c r="U62" t="s">
        <v>1204</v>
      </c>
    </row>
    <row r="63" spans="2:21" x14ac:dyDescent="0.3">
      <c r="B63" t="s">
        <v>1205</v>
      </c>
      <c r="C63" t="s">
        <v>2471</v>
      </c>
      <c r="D63" t="s">
        <v>2472</v>
      </c>
      <c r="E63" t="s">
        <v>2473</v>
      </c>
      <c r="F63" t="s">
        <v>2473</v>
      </c>
      <c r="G63" s="8">
        <v>2500</v>
      </c>
      <c r="H63" s="8">
        <f>+IF(BDAlquilerDepartamentos[[#This Row],[Ciudad]]="Lima",BDAlquilerDepartamentos[[#This Row],[Prec. Soles]]*0.1,BDAlquilerDepartamentos[[#This Row],[Prec. Soles]]*0.05)</f>
        <v>125</v>
      </c>
      <c r="I63" s="4">
        <v>1</v>
      </c>
      <c r="J63" s="4">
        <v>1</v>
      </c>
      <c r="K63" s="4" t="s">
        <v>3095</v>
      </c>
      <c r="L63" s="4" t="s">
        <v>3096</v>
      </c>
      <c r="M63" s="4">
        <v>41</v>
      </c>
      <c r="N63" s="4">
        <v>2017</v>
      </c>
      <c r="O63" s="4" t="str">
        <f>+IF(BDAlquilerDepartamentos[[#This Row],[Prec. Soles]]&gt;2500,"Caro","Economico")</f>
        <v>Economico</v>
      </c>
      <c r="P63" s="4" t="str">
        <f>+IF(AND(BDAlquilerDepartamentos[[#This Row],[N° de Dorm.]]&gt; 3,BDAlquilerDepartamentos[[#This Row],[Prec. Soles]]&lt;= 2500),"Buena Oferta", "Precio Estadar")</f>
        <v>Precio Estadar</v>
      </c>
      <c r="Q63" t="s">
        <v>1101</v>
      </c>
      <c r="R63" t="s">
        <v>1102</v>
      </c>
      <c r="S63" s="11">
        <v>45636</v>
      </c>
      <c r="T63" t="s">
        <v>2843</v>
      </c>
      <c r="U63" t="s">
        <v>1206</v>
      </c>
    </row>
    <row r="64" spans="2:21" x14ac:dyDescent="0.3">
      <c r="B64" t="s">
        <v>1112</v>
      </c>
      <c r="C64" t="s">
        <v>2423</v>
      </c>
      <c r="D64" t="s">
        <v>2580</v>
      </c>
      <c r="E64" t="s">
        <v>2580</v>
      </c>
      <c r="F64" t="s">
        <v>2580</v>
      </c>
      <c r="G64" s="8">
        <v>10360</v>
      </c>
      <c r="H64" s="8">
        <f>+IF(BDAlquilerDepartamentos[[#This Row],[Ciudad]]="Lima",BDAlquilerDepartamentos[[#This Row],[Prec. Soles]]*0.1,BDAlquilerDepartamentos[[#This Row],[Prec. Soles]]*0.05)</f>
        <v>1036</v>
      </c>
      <c r="I64" s="4">
        <v>4</v>
      </c>
      <c r="J64" s="4">
        <v>3</v>
      </c>
      <c r="K64" s="4" t="s">
        <v>3096</v>
      </c>
      <c r="L64" s="4" t="s">
        <v>3096</v>
      </c>
      <c r="M64" s="17">
        <v>1021</v>
      </c>
      <c r="N64" s="4">
        <v>2015</v>
      </c>
      <c r="O64" s="4" t="str">
        <f>+IF(BDAlquilerDepartamentos[[#This Row],[Prec. Soles]]&gt;2500,"Caro","Economico")</f>
        <v>Caro</v>
      </c>
      <c r="P64" s="4" t="str">
        <f>+IF(AND(BDAlquilerDepartamentos[[#This Row],[N° de Dorm.]]&gt; 3,BDAlquilerDepartamentos[[#This Row],[Prec. Soles]]&lt;= 2500),"Buena Oferta", "Precio Estadar")</f>
        <v>Precio Estadar</v>
      </c>
      <c r="Q64" t="s">
        <v>1113</v>
      </c>
      <c r="R64" t="s">
        <v>1102</v>
      </c>
      <c r="S64" s="11">
        <v>44933</v>
      </c>
      <c r="T64" t="s">
        <v>2826</v>
      </c>
      <c r="U64" t="s">
        <v>1207</v>
      </c>
    </row>
    <row r="65" spans="2:21" x14ac:dyDescent="0.3">
      <c r="B65" t="s">
        <v>1208</v>
      </c>
      <c r="C65" t="s">
        <v>2475</v>
      </c>
      <c r="D65" t="s">
        <v>2422</v>
      </c>
      <c r="E65" t="s">
        <v>2580</v>
      </c>
      <c r="F65" t="s">
        <v>2580</v>
      </c>
      <c r="G65" s="8">
        <v>15910</v>
      </c>
      <c r="H65" s="8">
        <f>+IF(BDAlquilerDepartamentos[[#This Row],[Ciudad]]="Lima",BDAlquilerDepartamentos[[#This Row],[Prec. Soles]]*0.1,BDAlquilerDepartamentos[[#This Row],[Prec. Soles]]*0.05)</f>
        <v>1591</v>
      </c>
      <c r="I65" s="4">
        <v>5</v>
      </c>
      <c r="J65" s="4">
        <v>5</v>
      </c>
      <c r="K65" s="4" t="s">
        <v>3096</v>
      </c>
      <c r="L65" s="4" t="s">
        <v>3096</v>
      </c>
      <c r="M65" s="4">
        <v>470</v>
      </c>
      <c r="N65" s="4">
        <v>2014</v>
      </c>
      <c r="O65" s="4" t="str">
        <f>+IF(BDAlquilerDepartamentos[[#This Row],[Prec. Soles]]&gt;2500,"Caro","Economico")</f>
        <v>Caro</v>
      </c>
      <c r="P65" s="4" t="str">
        <f>+IF(AND(BDAlquilerDepartamentos[[#This Row],[N° de Dorm.]]&gt; 3,BDAlquilerDepartamentos[[#This Row],[Prec. Soles]]&lt;= 2500),"Buena Oferta", "Precio Estadar")</f>
        <v>Precio Estadar</v>
      </c>
      <c r="Q65" t="s">
        <v>1101</v>
      </c>
      <c r="R65" t="s">
        <v>1102</v>
      </c>
      <c r="S65" s="11">
        <v>45178</v>
      </c>
      <c r="T65" t="s">
        <v>2844</v>
      </c>
      <c r="U65" t="s">
        <v>1209</v>
      </c>
    </row>
    <row r="66" spans="2:21" x14ac:dyDescent="0.3">
      <c r="B66" t="s">
        <v>1210</v>
      </c>
      <c r="C66" t="s">
        <v>2476</v>
      </c>
      <c r="D66" t="s">
        <v>2436</v>
      </c>
      <c r="E66" t="s">
        <v>2580</v>
      </c>
      <c r="F66" t="s">
        <v>2580</v>
      </c>
      <c r="G66" s="8">
        <v>3515</v>
      </c>
      <c r="H66" s="8">
        <f>+IF(BDAlquilerDepartamentos[[#This Row],[Ciudad]]="Lima",BDAlquilerDepartamentos[[#This Row],[Prec. Soles]]*0.1,BDAlquilerDepartamentos[[#This Row],[Prec. Soles]]*0.05)</f>
        <v>351.5</v>
      </c>
      <c r="I66" s="4">
        <v>3</v>
      </c>
      <c r="J66" s="4">
        <v>3</v>
      </c>
      <c r="K66" s="4" t="s">
        <v>3095</v>
      </c>
      <c r="L66" s="4" t="s">
        <v>3095</v>
      </c>
      <c r="M66" s="4">
        <v>180</v>
      </c>
      <c r="N66" s="4">
        <v>1983</v>
      </c>
      <c r="O66" s="4" t="str">
        <f>+IF(BDAlquilerDepartamentos[[#This Row],[Prec. Soles]]&gt;2500,"Caro","Economico")</f>
        <v>Caro</v>
      </c>
      <c r="P66" s="4" t="str">
        <f>+IF(AND(BDAlquilerDepartamentos[[#This Row],[N° de Dorm.]]&gt; 3,BDAlquilerDepartamentos[[#This Row],[Prec. Soles]]&lt;= 2500),"Buena Oferta", "Precio Estadar")</f>
        <v>Precio Estadar</v>
      </c>
      <c r="Q66" t="s">
        <v>1101</v>
      </c>
      <c r="R66" t="s">
        <v>1102</v>
      </c>
      <c r="S66" s="11">
        <v>45411</v>
      </c>
      <c r="T66" t="s">
        <v>3085</v>
      </c>
      <c r="U66" t="s">
        <v>1211</v>
      </c>
    </row>
    <row r="67" spans="2:21" x14ac:dyDescent="0.3">
      <c r="B67" t="s">
        <v>1212</v>
      </c>
      <c r="C67" t="s">
        <v>2477</v>
      </c>
      <c r="D67" t="s">
        <v>2478</v>
      </c>
      <c r="E67" t="s">
        <v>2580</v>
      </c>
      <c r="F67" t="s">
        <v>2580</v>
      </c>
      <c r="G67" s="8">
        <v>1680</v>
      </c>
      <c r="H67" s="8">
        <f>+IF(BDAlquilerDepartamentos[[#This Row],[Ciudad]]="Lima",BDAlquilerDepartamentos[[#This Row],[Prec. Soles]]*0.1,BDAlquilerDepartamentos[[#This Row],[Prec. Soles]]*0.05)</f>
        <v>168</v>
      </c>
      <c r="I67" s="4">
        <v>2</v>
      </c>
      <c r="J67" s="4">
        <v>2</v>
      </c>
      <c r="K67" s="4" t="s">
        <v>3095</v>
      </c>
      <c r="L67" s="4" t="s">
        <v>3096</v>
      </c>
      <c r="M67" s="4">
        <v>80</v>
      </c>
      <c r="N67" s="4">
        <v>2013</v>
      </c>
      <c r="O67" s="4" t="str">
        <f>+IF(BDAlquilerDepartamentos[[#This Row],[Prec. Soles]]&gt;2500,"Caro","Economico")</f>
        <v>Economico</v>
      </c>
      <c r="P67" s="4" t="str">
        <f>+IF(AND(BDAlquilerDepartamentos[[#This Row],[N° de Dorm.]]&gt; 3,BDAlquilerDepartamentos[[#This Row],[Prec. Soles]]&lt;= 2500),"Buena Oferta", "Precio Estadar")</f>
        <v>Precio Estadar</v>
      </c>
      <c r="Q67" t="s">
        <v>1101</v>
      </c>
      <c r="R67" t="s">
        <v>1102</v>
      </c>
      <c r="S67" s="11">
        <v>45495</v>
      </c>
      <c r="T67" t="s">
        <v>2845</v>
      </c>
      <c r="U67" t="s">
        <v>1213</v>
      </c>
    </row>
    <row r="68" spans="2:21" x14ac:dyDescent="0.3">
      <c r="B68" t="s">
        <v>1122</v>
      </c>
      <c r="C68" t="s">
        <v>2429</v>
      </c>
      <c r="D68" t="s">
        <v>2580</v>
      </c>
      <c r="E68" t="s">
        <v>2580</v>
      </c>
      <c r="F68" t="s">
        <v>2580</v>
      </c>
      <c r="G68" s="8">
        <v>1295000</v>
      </c>
      <c r="H68" s="8">
        <f>+IF(BDAlquilerDepartamentos[[#This Row],[Ciudad]]="Lima",BDAlquilerDepartamentos[[#This Row],[Prec. Soles]]*0.1,BDAlquilerDepartamentos[[#This Row],[Prec. Soles]]*0.05)</f>
        <v>129500</v>
      </c>
      <c r="I68" s="4">
        <v>2</v>
      </c>
      <c r="J68" s="4">
        <v>2</v>
      </c>
      <c r="K68" s="4" t="s">
        <v>3095</v>
      </c>
      <c r="L68" s="4" t="s">
        <v>3095</v>
      </c>
      <c r="M68" s="4">
        <v>127</v>
      </c>
      <c r="N68" s="4">
        <v>2020</v>
      </c>
      <c r="O68" s="4" t="str">
        <f>+IF(BDAlquilerDepartamentos[[#This Row],[Prec. Soles]]&gt;2500,"Caro","Economico")</f>
        <v>Caro</v>
      </c>
      <c r="P68" s="4" t="str">
        <f>+IF(AND(BDAlquilerDepartamentos[[#This Row],[N° de Dorm.]]&gt; 3,BDAlquilerDepartamentos[[#This Row],[Prec. Soles]]&lt;= 2500),"Buena Oferta", "Precio Estadar")</f>
        <v>Precio Estadar</v>
      </c>
      <c r="Q68" t="s">
        <v>1101</v>
      </c>
      <c r="R68" t="s">
        <v>1102</v>
      </c>
      <c r="S68" s="11">
        <v>45634</v>
      </c>
      <c r="T68" t="s">
        <v>2846</v>
      </c>
      <c r="U68" t="s">
        <v>1214</v>
      </c>
    </row>
    <row r="69" spans="2:21" x14ac:dyDescent="0.3">
      <c r="B69" t="s">
        <v>2797</v>
      </c>
      <c r="C69" t="s">
        <v>2798</v>
      </c>
      <c r="D69" t="s">
        <v>2580</v>
      </c>
      <c r="E69" t="s">
        <v>2580</v>
      </c>
      <c r="F69" t="s">
        <v>2580</v>
      </c>
      <c r="G69" s="8">
        <v>1100</v>
      </c>
      <c r="H69" s="8">
        <f>+IF(BDAlquilerDepartamentos[[#This Row],[Ciudad]]="Lima",BDAlquilerDepartamentos[[#This Row],[Prec. Soles]]*0.1,BDAlquilerDepartamentos[[#This Row],[Prec. Soles]]*0.05)</f>
        <v>110</v>
      </c>
      <c r="I69" s="4">
        <v>3</v>
      </c>
      <c r="J69" s="4">
        <v>2</v>
      </c>
      <c r="K69" s="4" t="s">
        <v>3096</v>
      </c>
      <c r="L69" s="4" t="s">
        <v>3096</v>
      </c>
      <c r="M69" s="4">
        <v>140</v>
      </c>
      <c r="N69" s="4">
        <v>2000</v>
      </c>
      <c r="O69" s="4" t="str">
        <f>+IF(BDAlquilerDepartamentos[[#This Row],[Prec. Soles]]&gt;2500,"Caro","Economico")</f>
        <v>Economico</v>
      </c>
      <c r="P69" s="4" t="str">
        <f>+IF(AND(BDAlquilerDepartamentos[[#This Row],[N° de Dorm.]]&gt; 3,BDAlquilerDepartamentos[[#This Row],[Prec. Soles]]&lt;= 2500),"Buena Oferta", "Precio Estadar")</f>
        <v>Precio Estadar</v>
      </c>
      <c r="Q69" t="s">
        <v>1101</v>
      </c>
      <c r="R69" t="s">
        <v>1102</v>
      </c>
      <c r="S69" s="11">
        <v>45452</v>
      </c>
      <c r="T69" t="s">
        <v>2847</v>
      </c>
      <c r="U69" t="s">
        <v>1215</v>
      </c>
    </row>
    <row r="70" spans="2:21" x14ac:dyDescent="0.3">
      <c r="B70" t="s">
        <v>1216</v>
      </c>
      <c r="C70" t="s">
        <v>2462</v>
      </c>
      <c r="D70" t="s">
        <v>2463</v>
      </c>
      <c r="E70" t="s">
        <v>2580</v>
      </c>
      <c r="F70" t="s">
        <v>2580</v>
      </c>
      <c r="G70" s="8">
        <v>1100</v>
      </c>
      <c r="H70" s="8">
        <f>+IF(BDAlquilerDepartamentos[[#This Row],[Ciudad]]="Lima",BDAlquilerDepartamentos[[#This Row],[Prec. Soles]]*0.1,BDAlquilerDepartamentos[[#This Row],[Prec. Soles]]*0.05)</f>
        <v>110</v>
      </c>
      <c r="I70" s="4">
        <v>2</v>
      </c>
      <c r="J70" s="4">
        <v>1</v>
      </c>
      <c r="K70" s="4" t="s">
        <v>3096</v>
      </c>
      <c r="L70" s="4" t="s">
        <v>3095</v>
      </c>
      <c r="M70" s="4">
        <v>45</v>
      </c>
      <c r="N70" s="4">
        <v>2023</v>
      </c>
      <c r="O70" s="4" t="str">
        <f>+IF(BDAlquilerDepartamentos[[#This Row],[Prec. Soles]]&gt;2500,"Caro","Economico")</f>
        <v>Economico</v>
      </c>
      <c r="P70" s="4" t="str">
        <f>+IF(AND(BDAlquilerDepartamentos[[#This Row],[N° de Dorm.]]&gt; 3,BDAlquilerDepartamentos[[#This Row],[Prec. Soles]]&lt;= 2500),"Buena Oferta", "Precio Estadar")</f>
        <v>Precio Estadar</v>
      </c>
      <c r="Q70" t="s">
        <v>1101</v>
      </c>
      <c r="R70" t="s">
        <v>1102</v>
      </c>
      <c r="S70" s="11">
        <v>44999</v>
      </c>
      <c r="T70" t="s">
        <v>2848</v>
      </c>
      <c r="U70" t="s">
        <v>1217</v>
      </c>
    </row>
    <row r="71" spans="2:21" x14ac:dyDescent="0.3">
      <c r="B71" t="s">
        <v>3113</v>
      </c>
      <c r="C71" t="s">
        <v>3114</v>
      </c>
      <c r="D71" t="s">
        <v>2436</v>
      </c>
      <c r="E71" t="s">
        <v>2580</v>
      </c>
      <c r="F71" t="s">
        <v>2580</v>
      </c>
      <c r="G71" s="8">
        <v>5365</v>
      </c>
      <c r="H71" s="8">
        <f>+IF(BDAlquilerDepartamentos[[#This Row],[Ciudad]]="Lima",BDAlquilerDepartamentos[[#This Row],[Prec. Soles]]*0.1,BDAlquilerDepartamentos[[#This Row],[Prec. Soles]]*0.05)</f>
        <v>536.5</v>
      </c>
      <c r="I71" s="4">
        <v>3</v>
      </c>
      <c r="J71" s="4">
        <v>2</v>
      </c>
      <c r="K71" s="4" t="s">
        <v>3095</v>
      </c>
      <c r="L71" s="4" t="s">
        <v>3095</v>
      </c>
      <c r="M71" s="4">
        <v>200</v>
      </c>
      <c r="N71" s="4">
        <v>2001</v>
      </c>
      <c r="O71" s="4" t="str">
        <f>+IF(BDAlquilerDepartamentos[[#This Row],[Prec. Soles]]&gt;2500,"Caro","Economico")</f>
        <v>Caro</v>
      </c>
      <c r="P71" s="4" t="str">
        <f>+IF(AND(BDAlquilerDepartamentos[[#This Row],[N° de Dorm.]]&gt; 3,BDAlquilerDepartamentos[[#This Row],[Prec. Soles]]&lt;= 2500),"Buena Oferta", "Precio Estadar")</f>
        <v>Precio Estadar</v>
      </c>
      <c r="Q71" t="s">
        <v>1101</v>
      </c>
      <c r="R71" t="s">
        <v>1102</v>
      </c>
      <c r="S71" s="11">
        <v>45449</v>
      </c>
      <c r="T71" t="s">
        <v>3157</v>
      </c>
      <c r="U71" t="s">
        <v>1218</v>
      </c>
    </row>
    <row r="72" spans="2:21" x14ac:dyDescent="0.3">
      <c r="B72" t="s">
        <v>1150</v>
      </c>
      <c r="C72" t="s">
        <v>2445</v>
      </c>
      <c r="D72" t="s">
        <v>2436</v>
      </c>
      <c r="E72" t="s">
        <v>2580</v>
      </c>
      <c r="F72" t="s">
        <v>2580</v>
      </c>
      <c r="G72" s="8">
        <v>2923</v>
      </c>
      <c r="H72" s="8">
        <f>+IF(BDAlquilerDepartamentos[[#This Row],[Ciudad]]="Lima",BDAlquilerDepartamentos[[#This Row],[Prec. Soles]]*0.1,BDAlquilerDepartamentos[[#This Row],[Prec. Soles]]*0.05)</f>
        <v>292.3</v>
      </c>
      <c r="I72" s="4">
        <v>3</v>
      </c>
      <c r="J72" s="4">
        <v>2</v>
      </c>
      <c r="K72" s="4" t="s">
        <v>3096</v>
      </c>
      <c r="L72" s="4" t="s">
        <v>3095</v>
      </c>
      <c r="M72" s="4">
        <v>116</v>
      </c>
      <c r="N72" s="4">
        <v>2019</v>
      </c>
      <c r="O72" s="4" t="str">
        <f>+IF(BDAlquilerDepartamentos[[#This Row],[Prec. Soles]]&gt;2500,"Caro","Economico")</f>
        <v>Caro</v>
      </c>
      <c r="P72" s="4" t="str">
        <f>+IF(AND(BDAlquilerDepartamentos[[#This Row],[N° de Dorm.]]&gt; 3,BDAlquilerDepartamentos[[#This Row],[Prec. Soles]]&lt;= 2500),"Buena Oferta", "Precio Estadar")</f>
        <v>Precio Estadar</v>
      </c>
      <c r="Q72" t="s">
        <v>1101</v>
      </c>
      <c r="R72" t="s">
        <v>1102</v>
      </c>
      <c r="S72" s="11">
        <v>45103</v>
      </c>
      <c r="T72" t="s">
        <v>2816</v>
      </c>
      <c r="U72" t="s">
        <v>1219</v>
      </c>
    </row>
    <row r="73" spans="2:21" x14ac:dyDescent="0.3">
      <c r="B73" t="s">
        <v>1220</v>
      </c>
      <c r="C73" t="s">
        <v>2479</v>
      </c>
      <c r="D73" t="s">
        <v>2480</v>
      </c>
      <c r="E73" t="s">
        <v>2580</v>
      </c>
      <c r="F73" t="s">
        <v>2580</v>
      </c>
      <c r="G73" s="8">
        <v>8</v>
      </c>
      <c r="H73" s="8">
        <f>+IF(BDAlquilerDepartamentos[[#This Row],[Ciudad]]="Lima",BDAlquilerDepartamentos[[#This Row],[Prec. Soles]]*0.1,BDAlquilerDepartamentos[[#This Row],[Prec. Soles]]*0.05)</f>
        <v>0.8</v>
      </c>
      <c r="I73" s="4">
        <v>3</v>
      </c>
      <c r="J73" s="4">
        <v>1</v>
      </c>
      <c r="K73" s="4" t="s">
        <v>3095</v>
      </c>
      <c r="L73" s="4" t="s">
        <v>3096</v>
      </c>
      <c r="M73" s="4">
        <v>54</v>
      </c>
      <c r="N73" s="4">
        <v>2005</v>
      </c>
      <c r="O73" s="4" t="str">
        <f>+IF(BDAlquilerDepartamentos[[#This Row],[Prec. Soles]]&gt;2500,"Caro","Economico")</f>
        <v>Economico</v>
      </c>
      <c r="P73" s="4" t="str">
        <f>+IF(AND(BDAlquilerDepartamentos[[#This Row],[N° de Dorm.]]&gt; 3,BDAlquilerDepartamentos[[#This Row],[Prec. Soles]]&lt;= 2500),"Buena Oferta", "Precio Estadar")</f>
        <v>Precio Estadar</v>
      </c>
      <c r="Q73" t="s">
        <v>1101</v>
      </c>
      <c r="R73" t="s">
        <v>1102</v>
      </c>
      <c r="S73" s="11">
        <v>45623</v>
      </c>
      <c r="T73" t="s">
        <v>2847</v>
      </c>
      <c r="U73" t="s">
        <v>1221</v>
      </c>
    </row>
    <row r="74" spans="2:21" x14ac:dyDescent="0.3">
      <c r="B74" t="s">
        <v>1222</v>
      </c>
      <c r="C74" t="s">
        <v>2481</v>
      </c>
      <c r="D74" t="s">
        <v>2422</v>
      </c>
      <c r="E74" t="s">
        <v>2580</v>
      </c>
      <c r="F74" t="s">
        <v>2580</v>
      </c>
      <c r="G74" s="8">
        <v>2500</v>
      </c>
      <c r="H74" s="8">
        <f>+IF(BDAlquilerDepartamentos[[#This Row],[Ciudad]]="Lima",BDAlquilerDepartamentos[[#This Row],[Prec. Soles]]*0.1,BDAlquilerDepartamentos[[#This Row],[Prec. Soles]]*0.05)</f>
        <v>250</v>
      </c>
      <c r="I74" s="4">
        <v>2</v>
      </c>
      <c r="J74" s="4">
        <v>2</v>
      </c>
      <c r="K74" s="4" t="s">
        <v>3095</v>
      </c>
      <c r="L74" s="4" t="s">
        <v>3095</v>
      </c>
      <c r="M74" s="4">
        <v>106</v>
      </c>
      <c r="N74" s="4">
        <v>2015</v>
      </c>
      <c r="O74" s="4" t="str">
        <f>+IF(BDAlquilerDepartamentos[[#This Row],[Prec. Soles]]&gt;2500,"Caro","Economico")</f>
        <v>Economico</v>
      </c>
      <c r="P74" s="4" t="str">
        <f>+IF(AND(BDAlquilerDepartamentos[[#This Row],[N° de Dorm.]]&gt; 3,BDAlquilerDepartamentos[[#This Row],[Prec. Soles]]&lt;= 2500),"Buena Oferta", "Precio Estadar")</f>
        <v>Precio Estadar</v>
      </c>
      <c r="Q74" t="s">
        <v>1101</v>
      </c>
      <c r="R74" t="s">
        <v>1102</v>
      </c>
      <c r="S74" s="11">
        <v>44979</v>
      </c>
      <c r="T74" t="s">
        <v>2831</v>
      </c>
      <c r="U74" t="s">
        <v>1223</v>
      </c>
    </row>
    <row r="75" spans="2:21" x14ac:dyDescent="0.3">
      <c r="B75" t="s">
        <v>1224</v>
      </c>
      <c r="C75" t="s">
        <v>2482</v>
      </c>
      <c r="D75" t="s">
        <v>2473</v>
      </c>
      <c r="E75" t="s">
        <v>2473</v>
      </c>
      <c r="F75" t="s">
        <v>2473</v>
      </c>
      <c r="G75" s="8">
        <v>1200</v>
      </c>
      <c r="H75" s="8">
        <f>+IF(BDAlquilerDepartamentos[[#This Row],[Ciudad]]="Lima",BDAlquilerDepartamentos[[#This Row],[Prec. Soles]]*0.1,BDAlquilerDepartamentos[[#This Row],[Prec. Soles]]*0.05)</f>
        <v>60</v>
      </c>
      <c r="I75" s="4">
        <v>2</v>
      </c>
      <c r="J75" s="4">
        <v>1</v>
      </c>
      <c r="K75" s="4" t="s">
        <v>3096</v>
      </c>
      <c r="L75" s="4" t="s">
        <v>3095</v>
      </c>
      <c r="M75" s="4">
        <v>73</v>
      </c>
      <c r="N75" s="4">
        <v>2015</v>
      </c>
      <c r="O75" s="4" t="str">
        <f>+IF(BDAlquilerDepartamentos[[#This Row],[Prec. Soles]]&gt;2500,"Caro","Economico")</f>
        <v>Economico</v>
      </c>
      <c r="P75" s="4" t="str">
        <f>+IF(AND(BDAlquilerDepartamentos[[#This Row],[N° de Dorm.]]&gt; 3,BDAlquilerDepartamentos[[#This Row],[Prec. Soles]]&lt;= 2500),"Buena Oferta", "Precio Estadar")</f>
        <v>Precio Estadar</v>
      </c>
      <c r="Q75" t="s">
        <v>1101</v>
      </c>
      <c r="R75" t="s">
        <v>1102</v>
      </c>
      <c r="S75" s="11">
        <v>45077</v>
      </c>
      <c r="T75" t="s">
        <v>2833</v>
      </c>
      <c r="U75" t="s">
        <v>1225</v>
      </c>
    </row>
    <row r="76" spans="2:21" x14ac:dyDescent="0.3">
      <c r="B76" t="s">
        <v>1226</v>
      </c>
      <c r="C76" t="s">
        <v>2483</v>
      </c>
      <c r="D76" t="s">
        <v>2444</v>
      </c>
      <c r="E76" t="s">
        <v>2580</v>
      </c>
      <c r="F76" t="s">
        <v>2580</v>
      </c>
      <c r="G76" s="8">
        <v>7030</v>
      </c>
      <c r="H76" s="8">
        <f>+IF(BDAlquilerDepartamentos[[#This Row],[Ciudad]]="Lima",BDAlquilerDepartamentos[[#This Row],[Prec. Soles]]*0.1,BDAlquilerDepartamentos[[#This Row],[Prec. Soles]]*0.05)</f>
        <v>703</v>
      </c>
      <c r="I76" s="4">
        <v>7</v>
      </c>
      <c r="J76" s="4">
        <v>4</v>
      </c>
      <c r="K76" s="4" t="s">
        <v>3096</v>
      </c>
      <c r="L76" s="4" t="s">
        <v>3095</v>
      </c>
      <c r="M76" s="4">
        <v>207</v>
      </c>
      <c r="N76" s="4">
        <v>1992</v>
      </c>
      <c r="O76" s="4" t="str">
        <f>+IF(BDAlquilerDepartamentos[[#This Row],[Prec. Soles]]&gt;2500,"Caro","Economico")</f>
        <v>Caro</v>
      </c>
      <c r="P76" s="4" t="str">
        <f>+IF(AND(BDAlquilerDepartamentos[[#This Row],[N° de Dorm.]]&gt; 3,BDAlquilerDepartamentos[[#This Row],[Prec. Soles]]&lt;= 2500),"Buena Oferta", "Precio Estadar")</f>
        <v>Precio Estadar</v>
      </c>
      <c r="Q76" t="s">
        <v>1113</v>
      </c>
      <c r="R76" t="s">
        <v>1102</v>
      </c>
      <c r="S76" s="11">
        <v>45177</v>
      </c>
      <c r="T76" t="s">
        <v>2849</v>
      </c>
      <c r="U76" t="s">
        <v>1227</v>
      </c>
    </row>
    <row r="77" spans="2:21" x14ac:dyDescent="0.3">
      <c r="B77" t="s">
        <v>1154</v>
      </c>
      <c r="C77" t="s">
        <v>2448</v>
      </c>
      <c r="D77" t="s">
        <v>2420</v>
      </c>
      <c r="E77" t="s">
        <v>2580</v>
      </c>
      <c r="F77" t="s">
        <v>2580</v>
      </c>
      <c r="G77" s="8">
        <v>2800</v>
      </c>
      <c r="H77" s="8">
        <f>+IF(BDAlquilerDepartamentos[[#This Row],[Ciudad]]="Lima",BDAlquilerDepartamentos[[#This Row],[Prec. Soles]]*0.1,BDAlquilerDepartamentos[[#This Row],[Prec. Soles]]*0.05)</f>
        <v>280</v>
      </c>
      <c r="I77" s="4">
        <v>3</v>
      </c>
      <c r="J77" s="4">
        <v>2</v>
      </c>
      <c r="K77" s="4" t="s">
        <v>3095</v>
      </c>
      <c r="L77" s="4" t="s">
        <v>3095</v>
      </c>
      <c r="M77" s="4">
        <v>96</v>
      </c>
      <c r="N77" s="4">
        <v>2005</v>
      </c>
      <c r="O77" s="4" t="str">
        <f>+IF(BDAlquilerDepartamentos[[#This Row],[Prec. Soles]]&gt;2500,"Caro","Economico")</f>
        <v>Caro</v>
      </c>
      <c r="P77" s="4" t="str">
        <f>+IF(AND(BDAlquilerDepartamentos[[#This Row],[N° de Dorm.]]&gt; 3,BDAlquilerDepartamentos[[#This Row],[Prec. Soles]]&lt;= 2500),"Buena Oferta", "Precio Estadar")</f>
        <v>Precio Estadar</v>
      </c>
      <c r="Q77" t="s">
        <v>1101</v>
      </c>
      <c r="R77" t="s">
        <v>1102</v>
      </c>
      <c r="S77" s="11">
        <v>45349</v>
      </c>
      <c r="T77" t="s">
        <v>2850</v>
      </c>
      <c r="U77" t="s">
        <v>1228</v>
      </c>
    </row>
    <row r="78" spans="2:21" x14ac:dyDescent="0.3">
      <c r="B78" t="s">
        <v>1229</v>
      </c>
      <c r="C78" t="s">
        <v>2484</v>
      </c>
      <c r="D78" t="s">
        <v>2485</v>
      </c>
      <c r="E78" t="s">
        <v>2580</v>
      </c>
      <c r="F78" t="s">
        <v>2580</v>
      </c>
      <c r="G78" s="8">
        <v>1700</v>
      </c>
      <c r="H78" s="8">
        <f>+IF(BDAlquilerDepartamentos[[#This Row],[Ciudad]]="Lima",BDAlquilerDepartamentos[[#This Row],[Prec. Soles]]*0.1,BDAlquilerDepartamentos[[#This Row],[Prec. Soles]]*0.05)</f>
        <v>170</v>
      </c>
      <c r="I78" s="4">
        <v>2</v>
      </c>
      <c r="J78" s="4">
        <v>1</v>
      </c>
      <c r="K78" s="4" t="s">
        <v>3096</v>
      </c>
      <c r="L78" s="4" t="s">
        <v>3096</v>
      </c>
      <c r="M78" s="4">
        <v>68</v>
      </c>
      <c r="N78" s="4">
        <v>2015</v>
      </c>
      <c r="O78" s="4" t="str">
        <f>+IF(BDAlquilerDepartamentos[[#This Row],[Prec. Soles]]&gt;2500,"Caro","Economico")</f>
        <v>Economico</v>
      </c>
      <c r="P78" s="4" t="str">
        <f>+IF(AND(BDAlquilerDepartamentos[[#This Row],[N° de Dorm.]]&gt; 3,BDAlquilerDepartamentos[[#This Row],[Prec. Soles]]&lt;= 2500),"Buena Oferta", "Precio Estadar")</f>
        <v>Precio Estadar</v>
      </c>
      <c r="Q78" t="s">
        <v>1101</v>
      </c>
      <c r="R78" t="s">
        <v>1102</v>
      </c>
      <c r="S78" s="11">
        <v>45190</v>
      </c>
      <c r="T78" t="s">
        <v>2851</v>
      </c>
      <c r="U78" t="s">
        <v>1230</v>
      </c>
    </row>
    <row r="79" spans="2:21" x14ac:dyDescent="0.3">
      <c r="B79" t="s">
        <v>1231</v>
      </c>
      <c r="C79" t="s">
        <v>2486</v>
      </c>
      <c r="D79" t="s">
        <v>2452</v>
      </c>
      <c r="E79" t="s">
        <v>2580</v>
      </c>
      <c r="F79" t="s">
        <v>2580</v>
      </c>
      <c r="G79" s="8">
        <v>24</v>
      </c>
      <c r="H79" s="8">
        <f>+IF(BDAlquilerDepartamentos[[#This Row],[Ciudad]]="Lima",BDAlquilerDepartamentos[[#This Row],[Prec. Soles]]*0.1,BDAlquilerDepartamentos[[#This Row],[Prec. Soles]]*0.05)</f>
        <v>2.4000000000000004</v>
      </c>
      <c r="I79" s="4">
        <v>2</v>
      </c>
      <c r="J79" s="4">
        <v>2</v>
      </c>
      <c r="K79" s="4" t="s">
        <v>3096</v>
      </c>
      <c r="L79" s="4" t="s">
        <v>3095</v>
      </c>
      <c r="M79" s="4">
        <v>66</v>
      </c>
      <c r="N79" s="4">
        <v>2022</v>
      </c>
      <c r="O79" s="4" t="str">
        <f>+IF(BDAlquilerDepartamentos[[#This Row],[Prec. Soles]]&gt;2500,"Caro","Economico")</f>
        <v>Economico</v>
      </c>
      <c r="P79" s="4" t="str">
        <f>+IF(AND(BDAlquilerDepartamentos[[#This Row],[N° de Dorm.]]&gt; 3,BDAlquilerDepartamentos[[#This Row],[Prec. Soles]]&lt;= 2500),"Buena Oferta", "Precio Estadar")</f>
        <v>Precio Estadar</v>
      </c>
      <c r="Q79" t="s">
        <v>1101</v>
      </c>
      <c r="R79" t="s">
        <v>1102</v>
      </c>
      <c r="S79" s="11">
        <v>45591</v>
      </c>
      <c r="T79" t="s">
        <v>2819</v>
      </c>
      <c r="U79" t="s">
        <v>1232</v>
      </c>
    </row>
    <row r="80" spans="2:21" x14ac:dyDescent="0.3">
      <c r="B80" t="s">
        <v>1167</v>
      </c>
      <c r="C80" t="s">
        <v>2454</v>
      </c>
      <c r="D80" t="s">
        <v>2418</v>
      </c>
      <c r="E80" t="s">
        <v>2580</v>
      </c>
      <c r="F80" t="s">
        <v>2580</v>
      </c>
      <c r="G80" s="8">
        <v>2900</v>
      </c>
      <c r="H80" s="8">
        <f>+IF(BDAlquilerDepartamentos[[#This Row],[Ciudad]]="Lima",BDAlquilerDepartamentos[[#This Row],[Prec. Soles]]*0.1,BDAlquilerDepartamentos[[#This Row],[Prec. Soles]]*0.05)</f>
        <v>290</v>
      </c>
      <c r="I80" s="4">
        <v>2</v>
      </c>
      <c r="J80" s="4">
        <v>2</v>
      </c>
      <c r="K80" s="4" t="s">
        <v>3096</v>
      </c>
      <c r="L80" s="4" t="s">
        <v>3096</v>
      </c>
      <c r="M80" s="4">
        <v>61</v>
      </c>
      <c r="N80" s="4">
        <v>2021</v>
      </c>
      <c r="O80" s="4" t="str">
        <f>+IF(BDAlquilerDepartamentos[[#This Row],[Prec. Soles]]&gt;2500,"Caro","Economico")</f>
        <v>Caro</v>
      </c>
      <c r="P80" s="4" t="str">
        <f>+IF(AND(BDAlquilerDepartamentos[[#This Row],[N° de Dorm.]]&gt; 3,BDAlquilerDepartamentos[[#This Row],[Prec. Soles]]&lt;= 2500),"Buena Oferta", "Precio Estadar")</f>
        <v>Precio Estadar</v>
      </c>
      <c r="Q80" t="s">
        <v>1101</v>
      </c>
      <c r="R80" t="s">
        <v>1102</v>
      </c>
      <c r="S80" s="11">
        <v>45446</v>
      </c>
      <c r="T80" t="s">
        <v>2852</v>
      </c>
      <c r="U80" t="s">
        <v>1233</v>
      </c>
    </row>
    <row r="81" spans="2:21" x14ac:dyDescent="0.3">
      <c r="B81" t="s">
        <v>1212</v>
      </c>
      <c r="C81" t="s">
        <v>2477</v>
      </c>
      <c r="D81" t="s">
        <v>2478</v>
      </c>
      <c r="E81" t="s">
        <v>2580</v>
      </c>
      <c r="F81" t="s">
        <v>2580</v>
      </c>
      <c r="G81" s="8">
        <v>2000</v>
      </c>
      <c r="H81" s="8">
        <f>+IF(BDAlquilerDepartamentos[[#This Row],[Ciudad]]="Lima",BDAlquilerDepartamentos[[#This Row],[Prec. Soles]]*0.1,BDAlquilerDepartamentos[[#This Row],[Prec. Soles]]*0.05)</f>
        <v>200</v>
      </c>
      <c r="I81" s="4">
        <v>3</v>
      </c>
      <c r="J81" s="4">
        <v>2</v>
      </c>
      <c r="K81" s="4" t="s">
        <v>3095</v>
      </c>
      <c r="L81" s="4" t="s">
        <v>3095</v>
      </c>
      <c r="M81" s="4">
        <v>92</v>
      </c>
      <c r="N81" s="4">
        <v>2014</v>
      </c>
      <c r="O81" s="4" t="str">
        <f>+IF(BDAlquilerDepartamentos[[#This Row],[Prec. Soles]]&gt;2500,"Caro","Economico")</f>
        <v>Economico</v>
      </c>
      <c r="P81" s="4" t="str">
        <f>+IF(AND(BDAlquilerDepartamentos[[#This Row],[N° de Dorm.]]&gt; 3,BDAlquilerDepartamentos[[#This Row],[Prec. Soles]]&lt;= 2500),"Buena Oferta", "Precio Estadar")</f>
        <v>Precio Estadar</v>
      </c>
      <c r="Q81" t="s">
        <v>1101</v>
      </c>
      <c r="R81" t="s">
        <v>1102</v>
      </c>
      <c r="S81" s="11">
        <v>45526</v>
      </c>
      <c r="T81" t="s">
        <v>2853</v>
      </c>
      <c r="U81" t="s">
        <v>1234</v>
      </c>
    </row>
    <row r="82" spans="2:21" x14ac:dyDescent="0.3">
      <c r="B82" t="s">
        <v>1235</v>
      </c>
      <c r="C82" t="s">
        <v>2487</v>
      </c>
      <c r="D82" t="s">
        <v>2485</v>
      </c>
      <c r="E82" t="s">
        <v>2580</v>
      </c>
      <c r="F82" t="s">
        <v>2580</v>
      </c>
      <c r="G82" s="8">
        <v>1000</v>
      </c>
      <c r="H82" s="8">
        <f>+IF(BDAlquilerDepartamentos[[#This Row],[Ciudad]]="Lima",BDAlquilerDepartamentos[[#This Row],[Prec. Soles]]*0.1,BDAlquilerDepartamentos[[#This Row],[Prec. Soles]]*0.05)</f>
        <v>100</v>
      </c>
      <c r="I82" s="4">
        <v>2</v>
      </c>
      <c r="J82" s="4">
        <v>1</v>
      </c>
      <c r="K82" s="4" t="s">
        <v>3095</v>
      </c>
      <c r="L82" s="4" t="s">
        <v>3096</v>
      </c>
      <c r="M82" s="4">
        <v>35</v>
      </c>
      <c r="N82" s="4">
        <v>2017</v>
      </c>
      <c r="O82" s="4" t="str">
        <f>+IF(BDAlquilerDepartamentos[[#This Row],[Prec. Soles]]&gt;2500,"Caro","Economico")</f>
        <v>Economico</v>
      </c>
      <c r="P82" s="4" t="str">
        <f>+IF(AND(BDAlquilerDepartamentos[[#This Row],[N° de Dorm.]]&gt; 3,BDAlquilerDepartamentos[[#This Row],[Prec. Soles]]&lt;= 2500),"Buena Oferta", "Precio Estadar")</f>
        <v>Precio Estadar</v>
      </c>
      <c r="Q82" t="s">
        <v>1101</v>
      </c>
      <c r="R82" t="s">
        <v>1102</v>
      </c>
      <c r="S82" s="11">
        <v>45371</v>
      </c>
      <c r="T82" t="s">
        <v>2819</v>
      </c>
      <c r="U82" t="s">
        <v>1236</v>
      </c>
    </row>
    <row r="83" spans="2:21" x14ac:dyDescent="0.3">
      <c r="B83" t="s">
        <v>1237</v>
      </c>
      <c r="C83" t="s">
        <v>2488</v>
      </c>
      <c r="D83" t="s">
        <v>2580</v>
      </c>
      <c r="E83" t="s">
        <v>2580</v>
      </c>
      <c r="F83" t="s">
        <v>2580</v>
      </c>
      <c r="G83" s="8">
        <v>5735</v>
      </c>
      <c r="H83" s="8">
        <f>+IF(BDAlquilerDepartamentos[[#This Row],[Ciudad]]="Lima",BDAlquilerDepartamentos[[#This Row],[Prec. Soles]]*0.1,BDAlquilerDepartamentos[[#This Row],[Prec. Soles]]*0.05)</f>
        <v>573.5</v>
      </c>
      <c r="I83" s="4">
        <v>3</v>
      </c>
      <c r="J83" s="4">
        <v>3</v>
      </c>
      <c r="K83" s="4" t="s">
        <v>3096</v>
      </c>
      <c r="L83" s="4" t="s">
        <v>3095</v>
      </c>
      <c r="M83" s="4">
        <v>217</v>
      </c>
      <c r="N83" s="4">
        <v>2011</v>
      </c>
      <c r="O83" s="4" t="str">
        <f>+IF(BDAlquilerDepartamentos[[#This Row],[Prec. Soles]]&gt;2500,"Caro","Economico")</f>
        <v>Caro</v>
      </c>
      <c r="P83" s="4" t="str">
        <f>+IF(AND(BDAlquilerDepartamentos[[#This Row],[N° de Dorm.]]&gt; 3,BDAlquilerDepartamentos[[#This Row],[Prec. Soles]]&lt;= 2500),"Buena Oferta", "Precio Estadar")</f>
        <v>Precio Estadar</v>
      </c>
      <c r="Q83" t="s">
        <v>1101</v>
      </c>
      <c r="R83" t="s">
        <v>1102</v>
      </c>
      <c r="S83" s="11">
        <v>45081</v>
      </c>
      <c r="T83" t="s">
        <v>2814</v>
      </c>
      <c r="U83" t="s">
        <v>1238</v>
      </c>
    </row>
    <row r="84" spans="2:21" x14ac:dyDescent="0.3">
      <c r="B84" t="s">
        <v>1118</v>
      </c>
      <c r="C84" t="s">
        <v>2426</v>
      </c>
      <c r="D84" t="s">
        <v>2436</v>
      </c>
      <c r="E84" t="s">
        <v>2580</v>
      </c>
      <c r="F84" t="s">
        <v>2580</v>
      </c>
      <c r="G84" s="8">
        <v>3145</v>
      </c>
      <c r="H84" s="8">
        <f>+IF(BDAlquilerDepartamentos[[#This Row],[Ciudad]]="Lima",BDAlquilerDepartamentos[[#This Row],[Prec. Soles]]*0.1,BDAlquilerDepartamentos[[#This Row],[Prec. Soles]]*0.05)</f>
        <v>314.5</v>
      </c>
      <c r="I84" s="4">
        <v>3</v>
      </c>
      <c r="J84" s="4">
        <v>2</v>
      </c>
      <c r="K84" s="4" t="s">
        <v>3096</v>
      </c>
      <c r="L84" s="4" t="s">
        <v>3095</v>
      </c>
      <c r="M84" s="4">
        <v>108</v>
      </c>
      <c r="N84" s="4">
        <v>2002</v>
      </c>
      <c r="O84" s="4" t="str">
        <f>+IF(BDAlquilerDepartamentos[[#This Row],[Prec. Soles]]&gt;2500,"Caro","Economico")</f>
        <v>Caro</v>
      </c>
      <c r="P84" s="4" t="str">
        <f>+IF(AND(BDAlquilerDepartamentos[[#This Row],[N° de Dorm.]]&gt; 3,BDAlquilerDepartamentos[[#This Row],[Prec. Soles]]&lt;= 2500),"Buena Oferta", "Precio Estadar")</f>
        <v>Precio Estadar</v>
      </c>
      <c r="Q84" t="s">
        <v>1101</v>
      </c>
      <c r="R84" t="s">
        <v>1102</v>
      </c>
      <c r="S84" s="11">
        <v>45268</v>
      </c>
      <c r="T84" t="s">
        <v>2854</v>
      </c>
      <c r="U84" t="s">
        <v>1239</v>
      </c>
    </row>
    <row r="85" spans="2:21" x14ac:dyDescent="0.3">
      <c r="B85" t="s">
        <v>1128</v>
      </c>
      <c r="C85" t="s">
        <v>2433</v>
      </c>
      <c r="D85" t="s">
        <v>2804</v>
      </c>
      <c r="E85" t="s">
        <v>2580</v>
      </c>
      <c r="F85" t="s">
        <v>2580</v>
      </c>
      <c r="G85" s="8">
        <v>1100</v>
      </c>
      <c r="H85" s="8">
        <f>+IF(BDAlquilerDepartamentos[[#This Row],[Ciudad]]="Lima",BDAlquilerDepartamentos[[#This Row],[Prec. Soles]]*0.1,BDAlquilerDepartamentos[[#This Row],[Prec. Soles]]*0.05)</f>
        <v>110</v>
      </c>
      <c r="I85" s="4">
        <v>1</v>
      </c>
      <c r="J85" s="4">
        <v>1</v>
      </c>
      <c r="K85" s="4" t="s">
        <v>3096</v>
      </c>
      <c r="L85" s="4" t="s">
        <v>3095</v>
      </c>
      <c r="M85" s="4">
        <v>40</v>
      </c>
      <c r="N85" s="4">
        <v>2009</v>
      </c>
      <c r="O85" s="4" t="str">
        <f>+IF(BDAlquilerDepartamentos[[#This Row],[Prec. Soles]]&gt;2500,"Caro","Economico")</f>
        <v>Economico</v>
      </c>
      <c r="P85" s="4" t="str">
        <f>+IF(AND(BDAlquilerDepartamentos[[#This Row],[N° de Dorm.]]&gt; 3,BDAlquilerDepartamentos[[#This Row],[Prec. Soles]]&lt;= 2500),"Buena Oferta", "Precio Estadar")</f>
        <v>Precio Estadar</v>
      </c>
      <c r="Q85" t="s">
        <v>1101</v>
      </c>
      <c r="R85" t="s">
        <v>1102</v>
      </c>
      <c r="S85" s="11">
        <v>45230</v>
      </c>
      <c r="T85" t="s">
        <v>2855</v>
      </c>
      <c r="U85" t="s">
        <v>1240</v>
      </c>
    </row>
    <row r="86" spans="2:21" x14ac:dyDescent="0.3">
      <c r="B86" t="s">
        <v>3102</v>
      </c>
      <c r="C86" t="s">
        <v>2580</v>
      </c>
      <c r="D86" t="s">
        <v>2580</v>
      </c>
      <c r="E86" t="s">
        <v>2580</v>
      </c>
      <c r="F86" t="s">
        <v>2580</v>
      </c>
      <c r="G86" s="8">
        <v>1250</v>
      </c>
      <c r="H86" s="8">
        <f>+IF(BDAlquilerDepartamentos[[#This Row],[Ciudad]]="Lima",BDAlquilerDepartamentos[[#This Row],[Prec. Soles]]*0.1,BDAlquilerDepartamentos[[#This Row],[Prec. Soles]]*0.05)</f>
        <v>125</v>
      </c>
      <c r="I86" s="4">
        <v>3</v>
      </c>
      <c r="J86" s="4">
        <v>2</v>
      </c>
      <c r="K86" s="4" t="s">
        <v>3096</v>
      </c>
      <c r="L86" s="4" t="s">
        <v>3096</v>
      </c>
      <c r="M86" s="4">
        <v>84</v>
      </c>
      <c r="N86" s="4">
        <v>2012</v>
      </c>
      <c r="O86" s="4" t="str">
        <f>+IF(BDAlquilerDepartamentos[[#This Row],[Prec. Soles]]&gt;2500,"Caro","Economico")</f>
        <v>Economico</v>
      </c>
      <c r="P86" s="4" t="str">
        <f>+IF(AND(BDAlquilerDepartamentos[[#This Row],[N° de Dorm.]]&gt; 3,BDAlquilerDepartamentos[[#This Row],[Prec. Soles]]&lt;= 2500),"Buena Oferta", "Precio Estadar")</f>
        <v>Precio Estadar</v>
      </c>
      <c r="Q86" t="s">
        <v>1101</v>
      </c>
      <c r="R86" t="s">
        <v>1102</v>
      </c>
      <c r="S86" s="11">
        <v>45030</v>
      </c>
      <c r="T86" t="s">
        <v>2856</v>
      </c>
      <c r="U86" t="s">
        <v>1241</v>
      </c>
    </row>
    <row r="87" spans="2:21" x14ac:dyDescent="0.3">
      <c r="B87" t="s">
        <v>1242</v>
      </c>
      <c r="C87" t="s">
        <v>2489</v>
      </c>
      <c r="D87" t="s">
        <v>2420</v>
      </c>
      <c r="E87" t="s">
        <v>2580</v>
      </c>
      <c r="F87" t="s">
        <v>2580</v>
      </c>
      <c r="G87" s="8">
        <v>2400</v>
      </c>
      <c r="H87" s="8">
        <f>+IF(BDAlquilerDepartamentos[[#This Row],[Ciudad]]="Lima",BDAlquilerDepartamentos[[#This Row],[Prec. Soles]]*0.1,BDAlquilerDepartamentos[[#This Row],[Prec. Soles]]*0.05)</f>
        <v>240</v>
      </c>
      <c r="I87" s="4">
        <v>1</v>
      </c>
      <c r="J87" s="4">
        <v>1</v>
      </c>
      <c r="K87" s="4" t="s">
        <v>3095</v>
      </c>
      <c r="L87" s="4" t="s">
        <v>3095</v>
      </c>
      <c r="M87" s="4">
        <v>46</v>
      </c>
      <c r="N87" s="4">
        <v>2022</v>
      </c>
      <c r="O87" s="4" t="str">
        <f>+IF(BDAlquilerDepartamentos[[#This Row],[Prec. Soles]]&gt;2500,"Caro","Economico")</f>
        <v>Economico</v>
      </c>
      <c r="P87" s="4" t="str">
        <f>+IF(AND(BDAlquilerDepartamentos[[#This Row],[N° de Dorm.]]&gt; 3,BDAlquilerDepartamentos[[#This Row],[Prec. Soles]]&lt;= 2500),"Buena Oferta", "Precio Estadar")</f>
        <v>Precio Estadar</v>
      </c>
      <c r="Q87" t="s">
        <v>1101</v>
      </c>
      <c r="R87" t="s">
        <v>1102</v>
      </c>
      <c r="S87" s="11">
        <v>45519</v>
      </c>
      <c r="T87" t="s">
        <v>2857</v>
      </c>
      <c r="U87" t="s">
        <v>1243</v>
      </c>
    </row>
    <row r="88" spans="2:21" x14ac:dyDescent="0.3">
      <c r="B88" t="s">
        <v>1244</v>
      </c>
      <c r="C88" t="s">
        <v>2453</v>
      </c>
      <c r="D88" t="s">
        <v>2580</v>
      </c>
      <c r="E88" t="s">
        <v>2580</v>
      </c>
      <c r="F88" t="s">
        <v>2580</v>
      </c>
      <c r="G88" s="8">
        <v>4995</v>
      </c>
      <c r="H88" s="8">
        <f>+IF(BDAlquilerDepartamentos[[#This Row],[Ciudad]]="Lima",BDAlquilerDepartamentos[[#This Row],[Prec. Soles]]*0.1,BDAlquilerDepartamentos[[#This Row],[Prec. Soles]]*0.05)</f>
        <v>499.5</v>
      </c>
      <c r="I88" s="4">
        <v>3</v>
      </c>
      <c r="J88" s="4">
        <v>3</v>
      </c>
      <c r="K88" s="4" t="s">
        <v>3096</v>
      </c>
      <c r="L88" s="4" t="s">
        <v>3095</v>
      </c>
      <c r="M88" s="4">
        <v>214</v>
      </c>
      <c r="N88" s="4">
        <v>2002</v>
      </c>
      <c r="O88" s="4" t="str">
        <f>+IF(BDAlquilerDepartamentos[[#This Row],[Prec. Soles]]&gt;2500,"Caro","Economico")</f>
        <v>Caro</v>
      </c>
      <c r="P88" s="4" t="str">
        <f>+IF(AND(BDAlquilerDepartamentos[[#This Row],[N° de Dorm.]]&gt; 3,BDAlquilerDepartamentos[[#This Row],[Prec. Soles]]&lt;= 2500),"Buena Oferta", "Precio Estadar")</f>
        <v>Precio Estadar</v>
      </c>
      <c r="Q88" t="s">
        <v>1113</v>
      </c>
      <c r="R88" t="s">
        <v>1102</v>
      </c>
      <c r="S88" s="11">
        <v>45430</v>
      </c>
      <c r="T88" t="s">
        <v>2858</v>
      </c>
      <c r="U88" t="s">
        <v>1245</v>
      </c>
    </row>
    <row r="89" spans="2:21" x14ac:dyDescent="0.3">
      <c r="B89" t="s">
        <v>3113</v>
      </c>
      <c r="C89" t="s">
        <v>3114</v>
      </c>
      <c r="D89" t="s">
        <v>2436</v>
      </c>
      <c r="E89" t="s">
        <v>2580</v>
      </c>
      <c r="F89" t="s">
        <v>2580</v>
      </c>
      <c r="G89" s="8">
        <v>3145</v>
      </c>
      <c r="H89" s="8">
        <f>+IF(BDAlquilerDepartamentos[[#This Row],[Ciudad]]="Lima",BDAlquilerDepartamentos[[#This Row],[Prec. Soles]]*0.1,BDAlquilerDepartamentos[[#This Row],[Prec. Soles]]*0.05)</f>
        <v>314.5</v>
      </c>
      <c r="I89" s="4">
        <v>2</v>
      </c>
      <c r="J89" s="4">
        <v>3</v>
      </c>
      <c r="K89" s="4" t="s">
        <v>3095</v>
      </c>
      <c r="L89" s="4" t="s">
        <v>3096</v>
      </c>
      <c r="M89" s="4">
        <v>84</v>
      </c>
      <c r="N89" s="4">
        <v>2015</v>
      </c>
      <c r="O89" s="4" t="str">
        <f>+IF(BDAlquilerDepartamentos[[#This Row],[Prec. Soles]]&gt;2500,"Caro","Economico")</f>
        <v>Caro</v>
      </c>
      <c r="P89" s="4" t="str">
        <f>+IF(AND(BDAlquilerDepartamentos[[#This Row],[N° de Dorm.]]&gt; 3,BDAlquilerDepartamentos[[#This Row],[Prec. Soles]]&lt;= 2500),"Buena Oferta", "Precio Estadar")</f>
        <v>Precio Estadar</v>
      </c>
      <c r="Q89" t="s">
        <v>1101</v>
      </c>
      <c r="R89" t="s">
        <v>1102</v>
      </c>
      <c r="S89" s="11">
        <v>45527</v>
      </c>
      <c r="T89" t="s">
        <v>2819</v>
      </c>
      <c r="U89" t="s">
        <v>1246</v>
      </c>
    </row>
    <row r="90" spans="2:21" x14ac:dyDescent="0.3">
      <c r="B90" t="s">
        <v>1189</v>
      </c>
      <c r="C90" t="s">
        <v>2465</v>
      </c>
      <c r="D90" t="s">
        <v>2418</v>
      </c>
      <c r="E90" t="s">
        <v>2580</v>
      </c>
      <c r="F90" t="s">
        <v>2580</v>
      </c>
      <c r="G90" s="8">
        <v>3626</v>
      </c>
      <c r="H90" s="8">
        <f>+IF(BDAlquilerDepartamentos[[#This Row],[Ciudad]]="Lima",BDAlquilerDepartamentos[[#This Row],[Prec. Soles]]*0.1,BDAlquilerDepartamentos[[#This Row],[Prec. Soles]]*0.05)</f>
        <v>362.6</v>
      </c>
      <c r="I90" s="4">
        <v>3</v>
      </c>
      <c r="J90" s="4">
        <v>2</v>
      </c>
      <c r="K90" s="4" t="s">
        <v>3096</v>
      </c>
      <c r="L90" s="4" t="s">
        <v>3096</v>
      </c>
      <c r="M90" s="4">
        <v>96</v>
      </c>
      <c r="N90" s="4">
        <v>2020</v>
      </c>
      <c r="O90" s="4" t="str">
        <f>+IF(BDAlquilerDepartamentos[[#This Row],[Prec. Soles]]&gt;2500,"Caro","Economico")</f>
        <v>Caro</v>
      </c>
      <c r="P90" s="4" t="str">
        <f>+IF(AND(BDAlquilerDepartamentos[[#This Row],[N° de Dorm.]]&gt; 3,BDAlquilerDepartamentos[[#This Row],[Prec. Soles]]&lt;= 2500),"Buena Oferta", "Precio Estadar")</f>
        <v>Precio Estadar</v>
      </c>
      <c r="Q90" t="s">
        <v>1101</v>
      </c>
      <c r="R90" t="s">
        <v>1102</v>
      </c>
      <c r="S90" s="11">
        <v>45327</v>
      </c>
      <c r="T90" t="s">
        <v>2822</v>
      </c>
      <c r="U90" t="s">
        <v>1247</v>
      </c>
    </row>
    <row r="91" spans="2:21" x14ac:dyDescent="0.3">
      <c r="B91" t="s">
        <v>1248</v>
      </c>
      <c r="C91" t="s">
        <v>2490</v>
      </c>
      <c r="D91" t="s">
        <v>2435</v>
      </c>
      <c r="E91" t="s">
        <v>2580</v>
      </c>
      <c r="F91" t="s">
        <v>2580</v>
      </c>
      <c r="G91" s="8">
        <v>2300</v>
      </c>
      <c r="H91" s="8">
        <f>+IF(BDAlquilerDepartamentos[[#This Row],[Ciudad]]="Lima",BDAlquilerDepartamentos[[#This Row],[Prec. Soles]]*0.1,BDAlquilerDepartamentos[[#This Row],[Prec. Soles]]*0.05)</f>
        <v>230</v>
      </c>
      <c r="I91" s="4">
        <v>2</v>
      </c>
      <c r="J91" s="4">
        <v>2</v>
      </c>
      <c r="K91" s="4" t="s">
        <v>3096</v>
      </c>
      <c r="L91" s="4" t="s">
        <v>3095</v>
      </c>
      <c r="M91" s="4">
        <v>70</v>
      </c>
      <c r="N91" s="4">
        <v>2023</v>
      </c>
      <c r="O91" s="4" t="str">
        <f>+IF(BDAlquilerDepartamentos[[#This Row],[Prec. Soles]]&gt;2500,"Caro","Economico")</f>
        <v>Economico</v>
      </c>
      <c r="P91" s="4" t="str">
        <f>+IF(AND(BDAlquilerDepartamentos[[#This Row],[N° de Dorm.]]&gt; 3,BDAlquilerDepartamentos[[#This Row],[Prec. Soles]]&lt;= 2500),"Buena Oferta", "Precio Estadar")</f>
        <v>Precio Estadar</v>
      </c>
      <c r="Q91" t="s">
        <v>1101</v>
      </c>
      <c r="R91" t="s">
        <v>1102</v>
      </c>
      <c r="S91" s="11">
        <v>45467</v>
      </c>
      <c r="T91" t="s">
        <v>2859</v>
      </c>
      <c r="U91" t="s">
        <v>1249</v>
      </c>
    </row>
    <row r="92" spans="2:21" x14ac:dyDescent="0.3">
      <c r="B92" t="s">
        <v>1248</v>
      </c>
      <c r="C92" t="s">
        <v>2490</v>
      </c>
      <c r="D92" t="s">
        <v>2435</v>
      </c>
      <c r="E92" t="s">
        <v>2580</v>
      </c>
      <c r="F92" t="s">
        <v>2580</v>
      </c>
      <c r="G92" s="8">
        <v>1800</v>
      </c>
      <c r="H92" s="8">
        <f>+IF(BDAlquilerDepartamentos[[#This Row],[Ciudad]]="Lima",BDAlquilerDepartamentos[[#This Row],[Prec. Soles]]*0.1,BDAlquilerDepartamentos[[#This Row],[Prec. Soles]]*0.05)</f>
        <v>180</v>
      </c>
      <c r="I92" s="4">
        <v>1</v>
      </c>
      <c r="J92" s="4">
        <v>1</v>
      </c>
      <c r="K92" s="4" t="s">
        <v>3096</v>
      </c>
      <c r="L92" s="4" t="s">
        <v>3096</v>
      </c>
      <c r="M92" s="4">
        <v>56</v>
      </c>
      <c r="N92" s="4">
        <v>2023</v>
      </c>
      <c r="O92" s="4" t="str">
        <f>+IF(BDAlquilerDepartamentos[[#This Row],[Prec. Soles]]&gt;2500,"Caro","Economico")</f>
        <v>Economico</v>
      </c>
      <c r="P92" s="4" t="str">
        <f>+IF(AND(BDAlquilerDepartamentos[[#This Row],[N° de Dorm.]]&gt; 3,BDAlquilerDepartamentos[[#This Row],[Prec. Soles]]&lt;= 2500),"Buena Oferta", "Precio Estadar")</f>
        <v>Precio Estadar</v>
      </c>
      <c r="Q92" t="s">
        <v>1101</v>
      </c>
      <c r="R92" t="s">
        <v>1102</v>
      </c>
      <c r="S92" s="11">
        <v>45295</v>
      </c>
      <c r="T92" t="s">
        <v>2859</v>
      </c>
      <c r="U92" t="s">
        <v>1250</v>
      </c>
    </row>
    <row r="93" spans="2:21" x14ac:dyDescent="0.3">
      <c r="B93" t="s">
        <v>1251</v>
      </c>
      <c r="C93" t="s">
        <v>2491</v>
      </c>
      <c r="D93" t="s">
        <v>2580</v>
      </c>
      <c r="E93" t="s">
        <v>2580</v>
      </c>
      <c r="F93" t="s">
        <v>2580</v>
      </c>
      <c r="G93" s="8">
        <v>9</v>
      </c>
      <c r="H93" s="8">
        <f>+IF(BDAlquilerDepartamentos[[#This Row],[Ciudad]]="Lima",BDAlquilerDepartamentos[[#This Row],[Prec. Soles]]*0.1,BDAlquilerDepartamentos[[#This Row],[Prec. Soles]]*0.05)</f>
        <v>0.9</v>
      </c>
      <c r="I93" s="4">
        <v>2</v>
      </c>
      <c r="J93" s="4">
        <v>1</v>
      </c>
      <c r="K93" s="4" t="s">
        <v>3096</v>
      </c>
      <c r="L93" s="4" t="s">
        <v>3096</v>
      </c>
      <c r="M93" s="4">
        <v>140</v>
      </c>
      <c r="N93" s="4">
        <v>2016</v>
      </c>
      <c r="O93" s="4" t="str">
        <f>+IF(BDAlquilerDepartamentos[[#This Row],[Prec. Soles]]&gt;2500,"Caro","Economico")</f>
        <v>Economico</v>
      </c>
      <c r="P93" s="4" t="str">
        <f>+IF(AND(BDAlquilerDepartamentos[[#This Row],[N° de Dorm.]]&gt; 3,BDAlquilerDepartamentos[[#This Row],[Prec. Soles]]&lt;= 2500),"Buena Oferta", "Precio Estadar")</f>
        <v>Precio Estadar</v>
      </c>
      <c r="Q93" t="s">
        <v>1113</v>
      </c>
      <c r="R93" t="s">
        <v>1102</v>
      </c>
      <c r="S93" s="11">
        <v>45405</v>
      </c>
      <c r="T93" t="s">
        <v>2857</v>
      </c>
      <c r="U93" t="s">
        <v>1252</v>
      </c>
    </row>
    <row r="94" spans="2:21" x14ac:dyDescent="0.3">
      <c r="B94" t="s">
        <v>1128</v>
      </c>
      <c r="C94" t="s">
        <v>2433</v>
      </c>
      <c r="D94" t="s">
        <v>2804</v>
      </c>
      <c r="E94" t="s">
        <v>2580</v>
      </c>
      <c r="F94" t="s">
        <v>2580</v>
      </c>
      <c r="G94" s="8">
        <v>1800</v>
      </c>
      <c r="H94" s="8">
        <f>+IF(BDAlquilerDepartamentos[[#This Row],[Ciudad]]="Lima",BDAlquilerDepartamentos[[#This Row],[Prec. Soles]]*0.1,BDAlquilerDepartamentos[[#This Row],[Prec. Soles]]*0.05)</f>
        <v>180</v>
      </c>
      <c r="I94" s="4">
        <v>1</v>
      </c>
      <c r="J94" s="4">
        <v>1</v>
      </c>
      <c r="K94" s="4" t="s">
        <v>3095</v>
      </c>
      <c r="L94" s="4" t="s">
        <v>3095</v>
      </c>
      <c r="M94" s="4">
        <v>50</v>
      </c>
      <c r="N94" s="4">
        <v>2013</v>
      </c>
      <c r="O94" s="4" t="str">
        <f>+IF(BDAlquilerDepartamentos[[#This Row],[Prec. Soles]]&gt;2500,"Caro","Economico")</f>
        <v>Economico</v>
      </c>
      <c r="P94" s="4" t="str">
        <f>+IF(AND(BDAlquilerDepartamentos[[#This Row],[N° de Dorm.]]&gt; 3,BDAlquilerDepartamentos[[#This Row],[Prec. Soles]]&lt;= 2500),"Buena Oferta", "Precio Estadar")</f>
        <v>Precio Estadar</v>
      </c>
      <c r="Q94" t="s">
        <v>1101</v>
      </c>
      <c r="R94" t="s">
        <v>1102</v>
      </c>
      <c r="S94" s="11">
        <v>45500</v>
      </c>
      <c r="T94" t="s">
        <v>2824</v>
      </c>
      <c r="U94" t="s">
        <v>1253</v>
      </c>
    </row>
    <row r="95" spans="2:21" x14ac:dyDescent="0.3">
      <c r="B95" t="s">
        <v>1122</v>
      </c>
      <c r="C95" t="s">
        <v>2429</v>
      </c>
      <c r="D95" t="s">
        <v>2580</v>
      </c>
      <c r="E95" t="s">
        <v>2580</v>
      </c>
      <c r="F95" t="s">
        <v>2580</v>
      </c>
      <c r="G95" s="8">
        <v>2200</v>
      </c>
      <c r="H95" s="8">
        <f>+IF(BDAlquilerDepartamentos[[#This Row],[Ciudad]]="Lima",BDAlquilerDepartamentos[[#This Row],[Prec. Soles]]*0.1,BDAlquilerDepartamentos[[#This Row],[Prec. Soles]]*0.05)</f>
        <v>220</v>
      </c>
      <c r="I95" s="4">
        <v>1</v>
      </c>
      <c r="J95" s="4">
        <v>1</v>
      </c>
      <c r="K95" s="4" t="s">
        <v>3095</v>
      </c>
      <c r="L95" s="4" t="s">
        <v>3095</v>
      </c>
      <c r="M95" s="4">
        <v>43</v>
      </c>
      <c r="N95" s="4">
        <v>2018</v>
      </c>
      <c r="O95" s="4" t="str">
        <f>+IF(BDAlquilerDepartamentos[[#This Row],[Prec. Soles]]&gt;2500,"Caro","Economico")</f>
        <v>Economico</v>
      </c>
      <c r="P95" s="4" t="str">
        <f>+IF(AND(BDAlquilerDepartamentos[[#This Row],[N° de Dorm.]]&gt; 3,BDAlquilerDepartamentos[[#This Row],[Prec. Soles]]&lt;= 2500),"Buena Oferta", "Precio Estadar")</f>
        <v>Precio Estadar</v>
      </c>
      <c r="Q95" t="s">
        <v>1101</v>
      </c>
      <c r="R95" t="s">
        <v>1102</v>
      </c>
      <c r="S95" s="11">
        <v>45163</v>
      </c>
      <c r="T95" t="s">
        <v>2860</v>
      </c>
      <c r="U95" t="s">
        <v>1254</v>
      </c>
    </row>
    <row r="96" spans="2:21" x14ac:dyDescent="0.3">
      <c r="B96" t="s">
        <v>1255</v>
      </c>
      <c r="C96" t="s">
        <v>2492</v>
      </c>
      <c r="D96" t="s">
        <v>2422</v>
      </c>
      <c r="E96" t="s">
        <v>2580</v>
      </c>
      <c r="F96" t="s">
        <v>2580</v>
      </c>
      <c r="G96" s="8">
        <v>2350</v>
      </c>
      <c r="H96" s="8">
        <f>+IF(BDAlquilerDepartamentos[[#This Row],[Ciudad]]="Lima",BDAlquilerDepartamentos[[#This Row],[Prec. Soles]]*0.1,BDAlquilerDepartamentos[[#This Row],[Prec. Soles]]*0.05)</f>
        <v>235</v>
      </c>
      <c r="I96" s="4">
        <v>2</v>
      </c>
      <c r="J96" s="4">
        <v>2</v>
      </c>
      <c r="K96" s="4" t="s">
        <v>3095</v>
      </c>
      <c r="L96" s="4" t="s">
        <v>3095</v>
      </c>
      <c r="M96" s="4">
        <v>50</v>
      </c>
      <c r="N96" s="4">
        <v>2003</v>
      </c>
      <c r="O96" s="4" t="str">
        <f>+IF(BDAlquilerDepartamentos[[#This Row],[Prec. Soles]]&gt;2500,"Caro","Economico")</f>
        <v>Economico</v>
      </c>
      <c r="P96" s="4" t="str">
        <f>+IF(AND(BDAlquilerDepartamentos[[#This Row],[N° de Dorm.]]&gt; 3,BDAlquilerDepartamentos[[#This Row],[Prec. Soles]]&lt;= 2500),"Buena Oferta", "Precio Estadar")</f>
        <v>Precio Estadar</v>
      </c>
      <c r="Q96" t="s">
        <v>1101</v>
      </c>
      <c r="R96" t="s">
        <v>1102</v>
      </c>
      <c r="S96" s="11">
        <v>45513</v>
      </c>
      <c r="T96" t="s">
        <v>2862</v>
      </c>
      <c r="U96" t="s">
        <v>1256</v>
      </c>
    </row>
    <row r="97" spans="2:21" x14ac:dyDescent="0.3">
      <c r="B97" t="s">
        <v>1195</v>
      </c>
      <c r="C97" t="s">
        <v>2468</v>
      </c>
      <c r="D97" t="s">
        <v>2428</v>
      </c>
      <c r="E97" t="s">
        <v>2580</v>
      </c>
      <c r="F97" t="s">
        <v>2580</v>
      </c>
      <c r="G97" s="8">
        <v>3330</v>
      </c>
      <c r="H97" s="8">
        <f>+IF(BDAlquilerDepartamentos[[#This Row],[Ciudad]]="Lima",BDAlquilerDepartamentos[[#This Row],[Prec. Soles]]*0.1,BDAlquilerDepartamentos[[#This Row],[Prec. Soles]]*0.05)</f>
        <v>333</v>
      </c>
      <c r="I97" s="4">
        <v>1</v>
      </c>
      <c r="J97" s="4">
        <v>1</v>
      </c>
      <c r="K97" s="4" t="s">
        <v>3096</v>
      </c>
      <c r="L97" s="4" t="s">
        <v>3095</v>
      </c>
      <c r="M97" s="4">
        <v>45</v>
      </c>
      <c r="N97" s="4">
        <v>2023</v>
      </c>
      <c r="O97" s="4" t="str">
        <f>+IF(BDAlquilerDepartamentos[[#This Row],[Prec. Soles]]&gt;2500,"Caro","Economico")</f>
        <v>Caro</v>
      </c>
      <c r="P97" s="4" t="str">
        <f>+IF(AND(BDAlquilerDepartamentos[[#This Row],[N° de Dorm.]]&gt; 3,BDAlquilerDepartamentos[[#This Row],[Prec. Soles]]&lt;= 2500),"Buena Oferta", "Precio Estadar")</f>
        <v>Precio Estadar</v>
      </c>
      <c r="Q97" t="s">
        <v>1101</v>
      </c>
      <c r="R97" t="s">
        <v>1102</v>
      </c>
      <c r="S97" s="11">
        <v>45498</v>
      </c>
      <c r="T97" t="s">
        <v>2863</v>
      </c>
      <c r="U97" t="s">
        <v>1257</v>
      </c>
    </row>
    <row r="98" spans="2:21" x14ac:dyDescent="0.3">
      <c r="B98" t="s">
        <v>1150</v>
      </c>
      <c r="C98" t="s">
        <v>2445</v>
      </c>
      <c r="D98" t="s">
        <v>2436</v>
      </c>
      <c r="E98" t="s">
        <v>2580</v>
      </c>
      <c r="F98" t="s">
        <v>2580</v>
      </c>
      <c r="G98" s="8">
        <v>3663</v>
      </c>
      <c r="H98" s="8">
        <f>+IF(BDAlquilerDepartamentos[[#This Row],[Ciudad]]="Lima",BDAlquilerDepartamentos[[#This Row],[Prec. Soles]]*0.1,BDAlquilerDepartamentos[[#This Row],[Prec. Soles]]*0.05)</f>
        <v>366.3</v>
      </c>
      <c r="I98" s="4">
        <v>2</v>
      </c>
      <c r="J98" s="4">
        <v>4</v>
      </c>
      <c r="K98" s="4" t="s">
        <v>3095</v>
      </c>
      <c r="L98" s="4" t="s">
        <v>3095</v>
      </c>
      <c r="M98" s="4">
        <v>126</v>
      </c>
      <c r="N98" s="4">
        <v>2021</v>
      </c>
      <c r="O98" s="4" t="str">
        <f>+IF(BDAlquilerDepartamentos[[#This Row],[Prec. Soles]]&gt;2500,"Caro","Economico")</f>
        <v>Caro</v>
      </c>
      <c r="P98" s="4" t="str">
        <f>+IF(AND(BDAlquilerDepartamentos[[#This Row],[N° de Dorm.]]&gt; 3,BDAlquilerDepartamentos[[#This Row],[Prec. Soles]]&lt;= 2500),"Buena Oferta", "Precio Estadar")</f>
        <v>Precio Estadar</v>
      </c>
      <c r="Q98" t="s">
        <v>1101</v>
      </c>
      <c r="R98" t="s">
        <v>1102</v>
      </c>
      <c r="S98" s="11">
        <v>45229</v>
      </c>
      <c r="T98" t="s">
        <v>2864</v>
      </c>
      <c r="U98" t="s">
        <v>1258</v>
      </c>
    </row>
    <row r="99" spans="2:21" x14ac:dyDescent="0.3">
      <c r="B99" t="s">
        <v>1143</v>
      </c>
      <c r="C99" t="s">
        <v>2441</v>
      </c>
      <c r="D99" t="s">
        <v>2428</v>
      </c>
      <c r="E99" t="s">
        <v>2580</v>
      </c>
      <c r="F99" t="s">
        <v>2580</v>
      </c>
      <c r="G99" s="8">
        <v>5106</v>
      </c>
      <c r="H99" s="8">
        <f>+IF(BDAlquilerDepartamentos[[#This Row],[Ciudad]]="Lima",BDAlquilerDepartamentos[[#This Row],[Prec. Soles]]*0.1,BDAlquilerDepartamentos[[#This Row],[Prec. Soles]]*0.05)</f>
        <v>510.6</v>
      </c>
      <c r="I99" s="4">
        <v>3</v>
      </c>
      <c r="J99" s="4">
        <v>2</v>
      </c>
      <c r="K99" s="4" t="s">
        <v>3095</v>
      </c>
      <c r="L99" s="4" t="s">
        <v>3095</v>
      </c>
      <c r="M99" s="4">
        <v>131</v>
      </c>
      <c r="N99" s="4">
        <v>2020</v>
      </c>
      <c r="O99" s="4" t="str">
        <f>+IF(BDAlquilerDepartamentos[[#This Row],[Prec. Soles]]&gt;2500,"Caro","Economico")</f>
        <v>Caro</v>
      </c>
      <c r="P99" s="4" t="str">
        <f>+IF(AND(BDAlquilerDepartamentos[[#This Row],[N° de Dorm.]]&gt; 3,BDAlquilerDepartamentos[[#This Row],[Prec. Soles]]&lt;= 2500),"Buena Oferta", "Precio Estadar")</f>
        <v>Precio Estadar</v>
      </c>
      <c r="Q99" t="s">
        <v>1101</v>
      </c>
      <c r="R99" t="s">
        <v>1102</v>
      </c>
      <c r="S99" s="11">
        <v>45456</v>
      </c>
      <c r="T99" t="s">
        <v>2863</v>
      </c>
      <c r="U99" t="s">
        <v>1259</v>
      </c>
    </row>
    <row r="100" spans="2:21" x14ac:dyDescent="0.3">
      <c r="B100" t="s">
        <v>1260</v>
      </c>
      <c r="C100" t="s">
        <v>2493</v>
      </c>
      <c r="D100" t="s">
        <v>2428</v>
      </c>
      <c r="E100" t="s">
        <v>2580</v>
      </c>
      <c r="F100" t="s">
        <v>2580</v>
      </c>
      <c r="G100" s="8">
        <v>3330</v>
      </c>
      <c r="H100" s="8">
        <f>+IF(BDAlquilerDepartamentos[[#This Row],[Ciudad]]="Lima",BDAlquilerDepartamentos[[#This Row],[Prec. Soles]]*0.1,BDAlquilerDepartamentos[[#This Row],[Prec. Soles]]*0.05)</f>
        <v>333</v>
      </c>
      <c r="I100" s="4">
        <v>1</v>
      </c>
      <c r="J100" s="4">
        <v>1</v>
      </c>
      <c r="K100" s="4" t="s">
        <v>3096</v>
      </c>
      <c r="L100" s="4" t="s">
        <v>3096</v>
      </c>
      <c r="M100" s="4">
        <v>45</v>
      </c>
      <c r="N100" s="4">
        <v>2023</v>
      </c>
      <c r="O100" s="4" t="str">
        <f>+IF(BDAlquilerDepartamentos[[#This Row],[Prec. Soles]]&gt;2500,"Caro","Economico")</f>
        <v>Caro</v>
      </c>
      <c r="P100" s="4" t="str">
        <f>+IF(AND(BDAlquilerDepartamentos[[#This Row],[N° de Dorm.]]&gt; 3,BDAlquilerDepartamentos[[#This Row],[Prec. Soles]]&lt;= 2500),"Buena Oferta", "Precio Estadar")</f>
        <v>Precio Estadar</v>
      </c>
      <c r="Q100" t="s">
        <v>1101</v>
      </c>
      <c r="R100" t="s">
        <v>1102</v>
      </c>
      <c r="S100" s="11">
        <v>45565</v>
      </c>
      <c r="T100" t="s">
        <v>2863</v>
      </c>
      <c r="U100" t="s">
        <v>1261</v>
      </c>
    </row>
    <row r="101" spans="2:21" x14ac:dyDescent="0.3">
      <c r="B101" t="s">
        <v>1262</v>
      </c>
      <c r="C101" t="s">
        <v>2494</v>
      </c>
      <c r="D101" t="s">
        <v>2444</v>
      </c>
      <c r="E101" t="s">
        <v>2580</v>
      </c>
      <c r="F101" t="s">
        <v>2580</v>
      </c>
      <c r="G101" s="8">
        <v>2800</v>
      </c>
      <c r="H101" s="8">
        <f>+IF(BDAlquilerDepartamentos[[#This Row],[Ciudad]]="Lima",BDAlquilerDepartamentos[[#This Row],[Prec. Soles]]*0.1,BDAlquilerDepartamentos[[#This Row],[Prec. Soles]]*0.05)</f>
        <v>280</v>
      </c>
      <c r="I101" s="4">
        <v>2</v>
      </c>
      <c r="J101" s="4">
        <v>1</v>
      </c>
      <c r="K101" s="4" t="s">
        <v>3096</v>
      </c>
      <c r="L101" s="4" t="s">
        <v>3095</v>
      </c>
      <c r="M101" s="4">
        <v>80</v>
      </c>
      <c r="N101" s="4">
        <v>2019</v>
      </c>
      <c r="O101" s="4" t="str">
        <f>+IF(BDAlquilerDepartamentos[[#This Row],[Prec. Soles]]&gt;2500,"Caro","Economico")</f>
        <v>Caro</v>
      </c>
      <c r="P101" s="4" t="str">
        <f>+IF(AND(BDAlquilerDepartamentos[[#This Row],[N° de Dorm.]]&gt; 3,BDAlquilerDepartamentos[[#This Row],[Prec. Soles]]&lt;= 2500),"Buena Oferta", "Precio Estadar")</f>
        <v>Precio Estadar</v>
      </c>
      <c r="Q101" t="s">
        <v>1101</v>
      </c>
      <c r="R101" t="s">
        <v>1102</v>
      </c>
      <c r="S101" s="11">
        <v>45285</v>
      </c>
      <c r="T101" t="s">
        <v>2865</v>
      </c>
      <c r="U101" t="s">
        <v>1263</v>
      </c>
    </row>
    <row r="102" spans="2:21" x14ac:dyDescent="0.3">
      <c r="B102" t="s">
        <v>1264</v>
      </c>
      <c r="C102" t="s">
        <v>2417</v>
      </c>
      <c r="D102" t="s">
        <v>2436</v>
      </c>
      <c r="E102" t="s">
        <v>2580</v>
      </c>
      <c r="F102" t="s">
        <v>2580</v>
      </c>
      <c r="G102" s="8">
        <v>9120</v>
      </c>
      <c r="H102" s="8">
        <f>+IF(BDAlquilerDepartamentos[[#This Row],[Ciudad]]="Lima",BDAlquilerDepartamentos[[#This Row],[Prec. Soles]]*0.1,BDAlquilerDepartamentos[[#This Row],[Prec. Soles]]*0.05)</f>
        <v>912</v>
      </c>
      <c r="I102" s="4">
        <v>1</v>
      </c>
      <c r="J102" s="4">
        <v>3</v>
      </c>
      <c r="K102" s="4" t="s">
        <v>3095</v>
      </c>
      <c r="L102" s="4" t="s">
        <v>3095</v>
      </c>
      <c r="M102" s="4">
        <v>200</v>
      </c>
      <c r="N102" s="4">
        <v>2000</v>
      </c>
      <c r="O102" s="4" t="str">
        <f>+IF(BDAlquilerDepartamentos[[#This Row],[Prec. Soles]]&gt;2500,"Caro","Economico")</f>
        <v>Caro</v>
      </c>
      <c r="P102" s="4" t="str">
        <f>+IF(AND(BDAlquilerDepartamentos[[#This Row],[N° de Dorm.]]&gt; 3,BDAlquilerDepartamentos[[#This Row],[Prec. Soles]]&lt;= 2500),"Buena Oferta", "Precio Estadar")</f>
        <v>Precio Estadar</v>
      </c>
      <c r="Q102" t="s">
        <v>1164</v>
      </c>
      <c r="R102" t="s">
        <v>1102</v>
      </c>
      <c r="S102" s="11">
        <v>45092</v>
      </c>
      <c r="T102" t="s">
        <v>2866</v>
      </c>
      <c r="U102" t="s">
        <v>1265</v>
      </c>
    </row>
    <row r="103" spans="2:21" x14ac:dyDescent="0.3">
      <c r="B103" t="s">
        <v>1266</v>
      </c>
      <c r="C103" t="s">
        <v>2495</v>
      </c>
      <c r="D103" t="s">
        <v>2580</v>
      </c>
      <c r="E103" t="s">
        <v>2580</v>
      </c>
      <c r="F103" t="s">
        <v>2580</v>
      </c>
      <c r="G103" s="8">
        <v>8</v>
      </c>
      <c r="H103" s="8">
        <f>+IF(BDAlquilerDepartamentos[[#This Row],[Ciudad]]="Lima",BDAlquilerDepartamentos[[#This Row],[Prec. Soles]]*0.1,BDAlquilerDepartamentos[[#This Row],[Prec. Soles]]*0.05)</f>
        <v>0.8</v>
      </c>
      <c r="I103" s="4">
        <v>1</v>
      </c>
      <c r="J103" s="4">
        <v>1</v>
      </c>
      <c r="K103" s="4" t="s">
        <v>3096</v>
      </c>
      <c r="L103" s="4" t="s">
        <v>3095</v>
      </c>
      <c r="M103" s="4">
        <v>45</v>
      </c>
      <c r="N103" s="4">
        <v>2018</v>
      </c>
      <c r="O103" s="4" t="str">
        <f>+IF(BDAlquilerDepartamentos[[#This Row],[Prec. Soles]]&gt;2500,"Caro","Economico")</f>
        <v>Economico</v>
      </c>
      <c r="P103" s="4" t="str">
        <f>+IF(AND(BDAlquilerDepartamentos[[#This Row],[N° de Dorm.]]&gt; 3,BDAlquilerDepartamentos[[#This Row],[Prec. Soles]]&lt;= 2500),"Buena Oferta", "Precio Estadar")</f>
        <v>Precio Estadar</v>
      </c>
      <c r="Q103" t="s">
        <v>1101</v>
      </c>
      <c r="R103" t="s">
        <v>1102</v>
      </c>
      <c r="S103" s="11">
        <v>45017</v>
      </c>
      <c r="T103" t="s">
        <v>2867</v>
      </c>
      <c r="U103" t="s">
        <v>1267</v>
      </c>
    </row>
    <row r="104" spans="2:21" x14ac:dyDescent="0.3">
      <c r="B104" t="s">
        <v>1268</v>
      </c>
      <c r="C104" t="s">
        <v>2496</v>
      </c>
      <c r="D104" t="s">
        <v>2497</v>
      </c>
      <c r="E104" t="s">
        <v>2580</v>
      </c>
      <c r="F104" t="s">
        <v>2580</v>
      </c>
      <c r="G104" s="8">
        <v>1050</v>
      </c>
      <c r="H104" s="8">
        <f>+IF(BDAlquilerDepartamentos[[#This Row],[Ciudad]]="Lima",BDAlquilerDepartamentos[[#This Row],[Prec. Soles]]*0.1,BDAlquilerDepartamentos[[#This Row],[Prec. Soles]]*0.05)</f>
        <v>105</v>
      </c>
      <c r="I104" s="4">
        <v>1</v>
      </c>
      <c r="J104" s="4">
        <v>1</v>
      </c>
      <c r="K104" s="4" t="s">
        <v>3096</v>
      </c>
      <c r="L104" s="4" t="s">
        <v>3095</v>
      </c>
      <c r="M104" s="4">
        <v>80</v>
      </c>
      <c r="N104" s="4">
        <v>2016</v>
      </c>
      <c r="O104" s="4" t="str">
        <f>+IF(BDAlquilerDepartamentos[[#This Row],[Prec. Soles]]&gt;2500,"Caro","Economico")</f>
        <v>Economico</v>
      </c>
      <c r="P104" s="4" t="str">
        <f>+IF(AND(BDAlquilerDepartamentos[[#This Row],[N° de Dorm.]]&gt; 3,BDAlquilerDepartamentos[[#This Row],[Prec. Soles]]&lt;= 2500),"Buena Oferta", "Precio Estadar")</f>
        <v>Precio Estadar</v>
      </c>
      <c r="Q104" t="s">
        <v>1101</v>
      </c>
      <c r="R104" t="s">
        <v>1102</v>
      </c>
      <c r="S104" s="11">
        <v>45449</v>
      </c>
      <c r="T104" t="s">
        <v>2868</v>
      </c>
      <c r="U104" t="s">
        <v>1269</v>
      </c>
    </row>
    <row r="105" spans="2:21" x14ac:dyDescent="0.3">
      <c r="B105" t="s">
        <v>1264</v>
      </c>
      <c r="C105" t="s">
        <v>2417</v>
      </c>
      <c r="D105" t="s">
        <v>2436</v>
      </c>
      <c r="E105" t="s">
        <v>2580</v>
      </c>
      <c r="F105" t="s">
        <v>2580</v>
      </c>
      <c r="G105" s="8">
        <v>19061</v>
      </c>
      <c r="H105" s="8">
        <f>+IF(BDAlquilerDepartamentos[[#This Row],[Ciudad]]="Lima",BDAlquilerDepartamentos[[#This Row],[Prec. Soles]]*0.1,BDAlquilerDepartamentos[[#This Row],[Prec. Soles]]*0.05)</f>
        <v>1906.1000000000001</v>
      </c>
      <c r="I105" s="4">
        <v>1</v>
      </c>
      <c r="J105" s="4">
        <v>3</v>
      </c>
      <c r="K105" s="4" t="s">
        <v>3095</v>
      </c>
      <c r="L105" s="4" t="s">
        <v>3095</v>
      </c>
      <c r="M105" s="4">
        <v>418</v>
      </c>
      <c r="N105" s="4">
        <v>2000</v>
      </c>
      <c r="O105" s="4" t="str">
        <f>+IF(BDAlquilerDepartamentos[[#This Row],[Prec. Soles]]&gt;2500,"Caro","Economico")</f>
        <v>Caro</v>
      </c>
      <c r="P105" s="4" t="str">
        <f>+IF(AND(BDAlquilerDepartamentos[[#This Row],[N° de Dorm.]]&gt; 3,BDAlquilerDepartamentos[[#This Row],[Prec. Soles]]&lt;= 2500),"Buena Oferta", "Precio Estadar")</f>
        <v>Precio Estadar</v>
      </c>
      <c r="Q105" t="s">
        <v>1164</v>
      </c>
      <c r="R105" t="s">
        <v>1102</v>
      </c>
      <c r="S105" s="11">
        <v>45187</v>
      </c>
      <c r="T105" t="s">
        <v>2866</v>
      </c>
      <c r="U105" t="s">
        <v>1270</v>
      </c>
    </row>
    <row r="106" spans="2:21" x14ac:dyDescent="0.3">
      <c r="B106" t="s">
        <v>1271</v>
      </c>
      <c r="C106" t="s">
        <v>2498</v>
      </c>
      <c r="D106" t="s">
        <v>2499</v>
      </c>
      <c r="E106" t="s">
        <v>2580</v>
      </c>
      <c r="F106" t="s">
        <v>2580</v>
      </c>
      <c r="G106" s="8">
        <v>7400</v>
      </c>
      <c r="H106" s="8">
        <f>+IF(BDAlquilerDepartamentos[[#This Row],[Ciudad]]="Lima",BDAlquilerDepartamentos[[#This Row],[Prec. Soles]]*0.1,BDAlquilerDepartamentos[[#This Row],[Prec. Soles]]*0.05)</f>
        <v>740</v>
      </c>
      <c r="I106" s="4">
        <v>4</v>
      </c>
      <c r="J106" s="4">
        <v>4</v>
      </c>
      <c r="K106" s="4" t="s">
        <v>3095</v>
      </c>
      <c r="L106" s="4" t="s">
        <v>3096</v>
      </c>
      <c r="M106" s="4">
        <v>300</v>
      </c>
      <c r="N106" s="4">
        <v>2000</v>
      </c>
      <c r="O106" s="4" t="str">
        <f>+IF(BDAlquilerDepartamentos[[#This Row],[Prec. Soles]]&gt;2500,"Caro","Economico")</f>
        <v>Caro</v>
      </c>
      <c r="P106" s="4" t="str">
        <f>+IF(AND(BDAlquilerDepartamentos[[#This Row],[N° de Dorm.]]&gt; 3,BDAlquilerDepartamentos[[#This Row],[Prec. Soles]]&lt;= 2500),"Buena Oferta", "Precio Estadar")</f>
        <v>Precio Estadar</v>
      </c>
      <c r="Q106" t="s">
        <v>1113</v>
      </c>
      <c r="R106" t="s">
        <v>1102</v>
      </c>
      <c r="S106" s="11">
        <v>45073</v>
      </c>
      <c r="T106" t="s">
        <v>3158</v>
      </c>
      <c r="U106" t="s">
        <v>1272</v>
      </c>
    </row>
    <row r="107" spans="2:21" x14ac:dyDescent="0.3">
      <c r="B107" t="s">
        <v>1273</v>
      </c>
      <c r="C107" t="s">
        <v>2500</v>
      </c>
      <c r="D107" t="s">
        <v>2501</v>
      </c>
      <c r="E107" t="s">
        <v>2580</v>
      </c>
      <c r="F107" t="s">
        <v>2580</v>
      </c>
      <c r="G107" s="8">
        <v>2812</v>
      </c>
      <c r="H107" s="8">
        <f>+IF(BDAlquilerDepartamentos[[#This Row],[Ciudad]]="Lima",BDAlquilerDepartamentos[[#This Row],[Prec. Soles]]*0.1,BDAlquilerDepartamentos[[#This Row],[Prec. Soles]]*0.05)</f>
        <v>281.2</v>
      </c>
      <c r="I107" s="4">
        <v>3</v>
      </c>
      <c r="J107" s="4">
        <v>2</v>
      </c>
      <c r="K107" s="4" t="s">
        <v>3095</v>
      </c>
      <c r="L107" s="4" t="s">
        <v>3095</v>
      </c>
      <c r="M107" s="4">
        <v>104</v>
      </c>
      <c r="N107" s="4">
        <v>2017</v>
      </c>
      <c r="O107" s="4" t="str">
        <f>+IF(BDAlquilerDepartamentos[[#This Row],[Prec. Soles]]&gt;2500,"Caro","Economico")</f>
        <v>Caro</v>
      </c>
      <c r="P107" s="4" t="str">
        <f>+IF(AND(BDAlquilerDepartamentos[[#This Row],[N° de Dorm.]]&gt; 3,BDAlquilerDepartamentos[[#This Row],[Prec. Soles]]&lt;= 2500),"Buena Oferta", "Precio Estadar")</f>
        <v>Precio Estadar</v>
      </c>
      <c r="Q107" t="s">
        <v>1101</v>
      </c>
      <c r="R107" t="s">
        <v>1102</v>
      </c>
      <c r="S107" s="11">
        <v>45406</v>
      </c>
      <c r="T107" t="s">
        <v>3158</v>
      </c>
      <c r="U107" t="s">
        <v>1274</v>
      </c>
    </row>
    <row r="108" spans="2:21" x14ac:dyDescent="0.3">
      <c r="B108" t="s">
        <v>1275</v>
      </c>
      <c r="C108" t="s">
        <v>2502</v>
      </c>
      <c r="D108" t="s">
        <v>2422</v>
      </c>
      <c r="E108" t="s">
        <v>2580</v>
      </c>
      <c r="F108" t="s">
        <v>2580</v>
      </c>
      <c r="G108" s="8">
        <v>5735</v>
      </c>
      <c r="H108" s="8">
        <f>+IF(BDAlquilerDepartamentos[[#This Row],[Ciudad]]="Lima",BDAlquilerDepartamentos[[#This Row],[Prec. Soles]]*0.1,BDAlquilerDepartamentos[[#This Row],[Prec. Soles]]*0.05)</f>
        <v>573.5</v>
      </c>
      <c r="I108" s="4">
        <v>4</v>
      </c>
      <c r="J108" s="4">
        <v>4</v>
      </c>
      <c r="K108" s="4" t="s">
        <v>3096</v>
      </c>
      <c r="L108" s="4" t="s">
        <v>3095</v>
      </c>
      <c r="M108" s="4">
        <v>220</v>
      </c>
      <c r="N108" s="4">
        <v>1991</v>
      </c>
      <c r="O108" s="4" t="str">
        <f>+IF(BDAlquilerDepartamentos[[#This Row],[Prec. Soles]]&gt;2500,"Caro","Economico")</f>
        <v>Caro</v>
      </c>
      <c r="P108" s="4" t="str">
        <f>+IF(AND(BDAlquilerDepartamentos[[#This Row],[N° de Dorm.]]&gt; 3,BDAlquilerDepartamentos[[#This Row],[Prec. Soles]]&lt;= 2500),"Buena Oferta", "Precio Estadar")</f>
        <v>Precio Estadar</v>
      </c>
      <c r="Q108" t="s">
        <v>1113</v>
      </c>
      <c r="R108" t="s">
        <v>1102</v>
      </c>
      <c r="S108" s="11">
        <v>45607</v>
      </c>
      <c r="T108" t="s">
        <v>2868</v>
      </c>
      <c r="U108" t="s">
        <v>1276</v>
      </c>
    </row>
    <row r="109" spans="2:21" x14ac:dyDescent="0.3">
      <c r="B109" t="s">
        <v>1277</v>
      </c>
      <c r="C109" t="s">
        <v>2503</v>
      </c>
      <c r="D109" t="s">
        <v>2422</v>
      </c>
      <c r="E109" t="s">
        <v>2580</v>
      </c>
      <c r="F109" t="s">
        <v>2580</v>
      </c>
      <c r="G109" s="8">
        <v>2350</v>
      </c>
      <c r="H109" s="8">
        <f>+IF(BDAlquilerDepartamentos[[#This Row],[Ciudad]]="Lima",BDAlquilerDepartamentos[[#This Row],[Prec. Soles]]*0.1,BDAlquilerDepartamentos[[#This Row],[Prec. Soles]]*0.05)</f>
        <v>235</v>
      </c>
      <c r="I109" s="4">
        <v>2</v>
      </c>
      <c r="J109" s="4">
        <v>2</v>
      </c>
      <c r="K109" s="4" t="s">
        <v>3096</v>
      </c>
      <c r="L109" s="4" t="s">
        <v>3096</v>
      </c>
      <c r="M109" s="4">
        <v>50</v>
      </c>
      <c r="N109" s="4">
        <v>2022</v>
      </c>
      <c r="O109" s="4" t="str">
        <f>+IF(BDAlquilerDepartamentos[[#This Row],[Prec. Soles]]&gt;2500,"Caro","Economico")</f>
        <v>Economico</v>
      </c>
      <c r="P109" s="4" t="str">
        <f>+IF(AND(BDAlquilerDepartamentos[[#This Row],[N° de Dorm.]]&gt; 3,BDAlquilerDepartamentos[[#This Row],[Prec. Soles]]&lt;= 2500),"Buena Oferta", "Precio Estadar")</f>
        <v>Precio Estadar</v>
      </c>
      <c r="Q109" t="s">
        <v>1101</v>
      </c>
      <c r="R109" t="s">
        <v>1102</v>
      </c>
      <c r="S109" s="11">
        <v>45384</v>
      </c>
      <c r="T109" t="s">
        <v>2868</v>
      </c>
      <c r="U109" t="s">
        <v>1278</v>
      </c>
    </row>
    <row r="110" spans="2:21" x14ac:dyDescent="0.3">
      <c r="B110" t="s">
        <v>1191</v>
      </c>
      <c r="C110" t="s">
        <v>2466</v>
      </c>
      <c r="D110" t="s">
        <v>2436</v>
      </c>
      <c r="E110" t="s">
        <v>2580</v>
      </c>
      <c r="F110" t="s">
        <v>2580</v>
      </c>
      <c r="G110" s="8">
        <v>3700</v>
      </c>
      <c r="H110" s="8">
        <f>+IF(BDAlquilerDepartamentos[[#This Row],[Ciudad]]="Lima",BDAlquilerDepartamentos[[#This Row],[Prec. Soles]]*0.1,BDAlquilerDepartamentos[[#This Row],[Prec. Soles]]*0.05)</f>
        <v>370</v>
      </c>
      <c r="I110" s="4">
        <v>2</v>
      </c>
      <c r="J110" s="4">
        <v>4</v>
      </c>
      <c r="K110" s="4" t="s">
        <v>3096</v>
      </c>
      <c r="L110" s="4" t="s">
        <v>3096</v>
      </c>
      <c r="M110" s="4">
        <v>150</v>
      </c>
      <c r="N110" s="4">
        <v>2020</v>
      </c>
      <c r="O110" s="4" t="str">
        <f>+IF(BDAlquilerDepartamentos[[#This Row],[Prec. Soles]]&gt;2500,"Caro","Economico")</f>
        <v>Caro</v>
      </c>
      <c r="P110" s="4" t="str">
        <f>+IF(AND(BDAlquilerDepartamentos[[#This Row],[N° de Dorm.]]&gt; 3,BDAlquilerDepartamentos[[#This Row],[Prec. Soles]]&lt;= 2500),"Buena Oferta", "Precio Estadar")</f>
        <v>Precio Estadar</v>
      </c>
      <c r="Q110" t="s">
        <v>1101</v>
      </c>
      <c r="R110" t="s">
        <v>1102</v>
      </c>
      <c r="S110" s="11">
        <v>45351</v>
      </c>
      <c r="T110" t="s">
        <v>2869</v>
      </c>
      <c r="U110" t="s">
        <v>1279</v>
      </c>
    </row>
    <row r="111" spans="2:21" x14ac:dyDescent="0.3">
      <c r="B111" t="s">
        <v>1280</v>
      </c>
      <c r="C111" t="s">
        <v>2504</v>
      </c>
      <c r="D111" t="s">
        <v>2580</v>
      </c>
      <c r="E111" t="s">
        <v>2580</v>
      </c>
      <c r="F111" t="s">
        <v>2580</v>
      </c>
      <c r="G111" s="8">
        <v>3700</v>
      </c>
      <c r="H111" s="8">
        <f>+IF(BDAlquilerDepartamentos[[#This Row],[Ciudad]]="Lima",BDAlquilerDepartamentos[[#This Row],[Prec. Soles]]*0.1,BDAlquilerDepartamentos[[#This Row],[Prec. Soles]]*0.05)</f>
        <v>370</v>
      </c>
      <c r="I111" s="4">
        <v>3</v>
      </c>
      <c r="J111" s="4">
        <v>3</v>
      </c>
      <c r="K111" s="4" t="s">
        <v>3095</v>
      </c>
      <c r="L111" s="4" t="s">
        <v>3096</v>
      </c>
      <c r="M111" s="4">
        <v>129</v>
      </c>
      <c r="N111" s="4">
        <v>2014</v>
      </c>
      <c r="O111" s="4" t="str">
        <f>+IF(BDAlquilerDepartamentos[[#This Row],[Prec. Soles]]&gt;2500,"Caro","Economico")</f>
        <v>Caro</v>
      </c>
      <c r="P111" s="4" t="str">
        <f>+IF(AND(BDAlquilerDepartamentos[[#This Row],[N° de Dorm.]]&gt; 3,BDAlquilerDepartamentos[[#This Row],[Prec. Soles]]&lt;= 2500),"Buena Oferta", "Precio Estadar")</f>
        <v>Precio Estadar</v>
      </c>
      <c r="Q111" t="s">
        <v>1101</v>
      </c>
      <c r="R111" t="s">
        <v>1102</v>
      </c>
      <c r="S111" s="11">
        <v>45311</v>
      </c>
      <c r="T111" t="s">
        <v>3158</v>
      </c>
      <c r="U111" t="s">
        <v>1281</v>
      </c>
    </row>
    <row r="112" spans="2:21" x14ac:dyDescent="0.3">
      <c r="B112" t="s">
        <v>1282</v>
      </c>
      <c r="C112" t="s">
        <v>2505</v>
      </c>
      <c r="D112" t="s">
        <v>2506</v>
      </c>
      <c r="E112" t="s">
        <v>2580</v>
      </c>
      <c r="F112" t="s">
        <v>2580</v>
      </c>
      <c r="G112" s="8">
        <v>2300</v>
      </c>
      <c r="H112" s="8">
        <f>+IF(BDAlquilerDepartamentos[[#This Row],[Ciudad]]="Lima",BDAlquilerDepartamentos[[#This Row],[Prec. Soles]]*0.1,BDAlquilerDepartamentos[[#This Row],[Prec. Soles]]*0.05)</f>
        <v>230</v>
      </c>
      <c r="I112" s="4">
        <v>3</v>
      </c>
      <c r="J112" s="4">
        <v>2</v>
      </c>
      <c r="K112" s="4" t="s">
        <v>3096</v>
      </c>
      <c r="L112" s="4" t="s">
        <v>3096</v>
      </c>
      <c r="M112" s="4">
        <v>70</v>
      </c>
      <c r="N112" s="4">
        <v>2022</v>
      </c>
      <c r="O112" s="4" t="str">
        <f>+IF(BDAlquilerDepartamentos[[#This Row],[Prec. Soles]]&gt;2500,"Caro","Economico")</f>
        <v>Economico</v>
      </c>
      <c r="P112" s="4" t="str">
        <f>+IF(AND(BDAlquilerDepartamentos[[#This Row],[N° de Dorm.]]&gt; 3,BDAlquilerDepartamentos[[#This Row],[Prec. Soles]]&lt;= 2500),"Buena Oferta", "Precio Estadar")</f>
        <v>Precio Estadar</v>
      </c>
      <c r="Q112" t="s">
        <v>1101</v>
      </c>
      <c r="R112" t="s">
        <v>1102</v>
      </c>
      <c r="S112" s="11">
        <v>45446</v>
      </c>
      <c r="T112" t="s">
        <v>2868</v>
      </c>
      <c r="U112" t="s">
        <v>1283</v>
      </c>
    </row>
    <row r="113" spans="2:21" x14ac:dyDescent="0.3">
      <c r="B113" t="s">
        <v>1191</v>
      </c>
      <c r="C113" t="s">
        <v>2466</v>
      </c>
      <c r="D113" t="s">
        <v>2436</v>
      </c>
      <c r="E113" t="s">
        <v>2580</v>
      </c>
      <c r="F113" t="s">
        <v>2580</v>
      </c>
      <c r="G113" s="8">
        <v>5550</v>
      </c>
      <c r="H113" s="8">
        <f>+IF(BDAlquilerDepartamentos[[#This Row],[Ciudad]]="Lima",BDAlquilerDepartamentos[[#This Row],[Prec. Soles]]*0.1,BDAlquilerDepartamentos[[#This Row],[Prec. Soles]]*0.05)</f>
        <v>555</v>
      </c>
      <c r="I113" s="4">
        <v>2</v>
      </c>
      <c r="J113" s="4">
        <v>2</v>
      </c>
      <c r="K113" s="4" t="s">
        <v>3095</v>
      </c>
      <c r="L113" s="4" t="s">
        <v>3096</v>
      </c>
      <c r="M113" s="4">
        <v>104</v>
      </c>
      <c r="N113" s="4">
        <v>2005</v>
      </c>
      <c r="O113" s="4" t="str">
        <f>+IF(BDAlquilerDepartamentos[[#This Row],[Prec. Soles]]&gt;2500,"Caro","Economico")</f>
        <v>Caro</v>
      </c>
      <c r="P113" s="4" t="str">
        <f>+IF(AND(BDAlquilerDepartamentos[[#This Row],[N° de Dorm.]]&gt; 3,BDAlquilerDepartamentos[[#This Row],[Prec. Soles]]&lt;= 2500),"Buena Oferta", "Precio Estadar")</f>
        <v>Precio Estadar</v>
      </c>
      <c r="Q113" t="s">
        <v>1101</v>
      </c>
      <c r="R113" t="s">
        <v>1102</v>
      </c>
      <c r="S113" s="11">
        <v>45605</v>
      </c>
      <c r="T113" t="s">
        <v>2844</v>
      </c>
      <c r="U113" t="s">
        <v>1284</v>
      </c>
    </row>
    <row r="114" spans="2:21" x14ac:dyDescent="0.3">
      <c r="B114" t="s">
        <v>3113</v>
      </c>
      <c r="C114" t="s">
        <v>3114</v>
      </c>
      <c r="D114" t="s">
        <v>2436</v>
      </c>
      <c r="E114" t="s">
        <v>2580</v>
      </c>
      <c r="F114" t="s">
        <v>2580</v>
      </c>
      <c r="G114" s="8">
        <v>5180</v>
      </c>
      <c r="H114" s="8">
        <f>+IF(BDAlquilerDepartamentos[[#This Row],[Ciudad]]="Lima",BDAlquilerDepartamentos[[#This Row],[Prec. Soles]]*0.1,BDAlquilerDepartamentos[[#This Row],[Prec. Soles]]*0.05)</f>
        <v>518</v>
      </c>
      <c r="I114" s="4">
        <v>2</v>
      </c>
      <c r="J114" s="4">
        <v>3</v>
      </c>
      <c r="K114" s="4" t="s">
        <v>3096</v>
      </c>
      <c r="L114" s="4" t="s">
        <v>3096</v>
      </c>
      <c r="M114" s="4">
        <v>107</v>
      </c>
      <c r="N114" s="4">
        <v>2010</v>
      </c>
      <c r="O114" s="4" t="str">
        <f>+IF(BDAlquilerDepartamentos[[#This Row],[Prec. Soles]]&gt;2500,"Caro","Economico")</f>
        <v>Caro</v>
      </c>
      <c r="P114" s="4" t="str">
        <f>+IF(AND(BDAlquilerDepartamentos[[#This Row],[N° de Dorm.]]&gt; 3,BDAlquilerDepartamentos[[#This Row],[Prec. Soles]]&lt;= 2500),"Buena Oferta", "Precio Estadar")</f>
        <v>Precio Estadar</v>
      </c>
      <c r="Q114" t="s">
        <v>1101</v>
      </c>
      <c r="R114" t="s">
        <v>1102</v>
      </c>
      <c r="S114" s="11">
        <v>45425</v>
      </c>
      <c r="T114" t="s">
        <v>2832</v>
      </c>
      <c r="U114" t="s">
        <v>1285</v>
      </c>
    </row>
    <row r="115" spans="2:21" x14ac:dyDescent="0.3">
      <c r="B115" t="s">
        <v>1169</v>
      </c>
      <c r="C115" t="s">
        <v>2455</v>
      </c>
      <c r="D115" t="s">
        <v>2436</v>
      </c>
      <c r="E115" t="s">
        <v>2580</v>
      </c>
      <c r="F115" t="s">
        <v>2580</v>
      </c>
      <c r="G115" s="8">
        <v>2886</v>
      </c>
      <c r="H115" s="8">
        <f>+IF(BDAlquilerDepartamentos[[#This Row],[Ciudad]]="Lima",BDAlquilerDepartamentos[[#This Row],[Prec. Soles]]*0.1,BDAlquilerDepartamentos[[#This Row],[Prec. Soles]]*0.05)</f>
        <v>288.60000000000002</v>
      </c>
      <c r="I115" s="4">
        <v>2</v>
      </c>
      <c r="J115" s="4">
        <v>2</v>
      </c>
      <c r="K115" s="4" t="s">
        <v>3095</v>
      </c>
      <c r="L115" s="4" t="s">
        <v>3095</v>
      </c>
      <c r="N115" s="4">
        <v>2007</v>
      </c>
      <c r="O115" s="4" t="str">
        <f>+IF(BDAlquilerDepartamentos[[#This Row],[Prec. Soles]]&gt;2500,"Caro","Economico")</f>
        <v>Caro</v>
      </c>
      <c r="P115" s="4" t="str">
        <f>+IF(AND(BDAlquilerDepartamentos[[#This Row],[N° de Dorm.]]&gt; 3,BDAlquilerDepartamentos[[#This Row],[Prec. Soles]]&lt;= 2500),"Buena Oferta", "Precio Estadar")</f>
        <v>Precio Estadar</v>
      </c>
      <c r="Q115" t="s">
        <v>1101</v>
      </c>
      <c r="R115" t="s">
        <v>1102</v>
      </c>
      <c r="S115" s="11">
        <v>45319</v>
      </c>
      <c r="T115" t="s">
        <v>2819</v>
      </c>
      <c r="U115" t="s">
        <v>1286</v>
      </c>
    </row>
    <row r="116" spans="2:21" x14ac:dyDescent="0.3">
      <c r="B116" t="s">
        <v>1287</v>
      </c>
      <c r="C116" t="s">
        <v>2507</v>
      </c>
      <c r="D116" t="s">
        <v>2422</v>
      </c>
      <c r="E116" t="s">
        <v>2580</v>
      </c>
      <c r="F116" t="s">
        <v>2580</v>
      </c>
      <c r="G116" s="8">
        <v>7800</v>
      </c>
      <c r="H116" s="8">
        <f>+IF(BDAlquilerDepartamentos[[#This Row],[Ciudad]]="Lima",BDAlquilerDepartamentos[[#This Row],[Prec. Soles]]*0.1,BDAlquilerDepartamentos[[#This Row],[Prec. Soles]]*0.05)</f>
        <v>780</v>
      </c>
      <c r="I116" s="4">
        <v>5</v>
      </c>
      <c r="J116" s="4">
        <v>4</v>
      </c>
      <c r="K116" s="4" t="s">
        <v>3096</v>
      </c>
      <c r="L116" s="4" t="s">
        <v>3096</v>
      </c>
      <c r="M116" s="4">
        <v>350</v>
      </c>
      <c r="N116" s="4">
        <v>1998</v>
      </c>
      <c r="O116" s="4" t="str">
        <f>+IF(BDAlquilerDepartamentos[[#This Row],[Prec. Soles]]&gt;2500,"Caro","Economico")</f>
        <v>Caro</v>
      </c>
      <c r="P116" s="4" t="str">
        <f>+IF(AND(BDAlquilerDepartamentos[[#This Row],[N° de Dorm.]]&gt; 3,BDAlquilerDepartamentos[[#This Row],[Prec. Soles]]&lt;= 2500),"Buena Oferta", "Precio Estadar")</f>
        <v>Precio Estadar</v>
      </c>
      <c r="Q116" t="s">
        <v>1113</v>
      </c>
      <c r="R116" t="s">
        <v>1102</v>
      </c>
      <c r="S116" s="11">
        <v>45301</v>
      </c>
      <c r="T116" t="s">
        <v>2870</v>
      </c>
      <c r="U116" t="s">
        <v>1288</v>
      </c>
    </row>
    <row r="117" spans="2:21" x14ac:dyDescent="0.3">
      <c r="B117" t="s">
        <v>1289</v>
      </c>
      <c r="C117" t="s">
        <v>2508</v>
      </c>
      <c r="D117" t="s">
        <v>2422</v>
      </c>
      <c r="E117" t="s">
        <v>2580</v>
      </c>
      <c r="F117" t="s">
        <v>2580</v>
      </c>
      <c r="G117" s="8">
        <v>3626</v>
      </c>
      <c r="H117" s="8">
        <f>+IF(BDAlquilerDepartamentos[[#This Row],[Ciudad]]="Lima",BDAlquilerDepartamentos[[#This Row],[Prec. Soles]]*0.1,BDAlquilerDepartamentos[[#This Row],[Prec. Soles]]*0.05)</f>
        <v>362.6</v>
      </c>
      <c r="I117" s="4">
        <v>3</v>
      </c>
      <c r="J117" s="4">
        <v>3</v>
      </c>
      <c r="K117" s="4" t="s">
        <v>3095</v>
      </c>
      <c r="L117" s="4" t="s">
        <v>3096</v>
      </c>
      <c r="M117" s="4">
        <v>126</v>
      </c>
      <c r="N117" s="4">
        <v>2019</v>
      </c>
      <c r="O117" s="4" t="str">
        <f>+IF(BDAlquilerDepartamentos[[#This Row],[Prec. Soles]]&gt;2500,"Caro","Economico")</f>
        <v>Caro</v>
      </c>
      <c r="P117" s="4" t="str">
        <f>+IF(AND(BDAlquilerDepartamentos[[#This Row],[N° de Dorm.]]&gt; 3,BDAlquilerDepartamentos[[#This Row],[Prec. Soles]]&lt;= 2500),"Buena Oferta", "Precio Estadar")</f>
        <v>Precio Estadar</v>
      </c>
      <c r="Q117" t="s">
        <v>1101</v>
      </c>
      <c r="R117" t="s">
        <v>1102</v>
      </c>
      <c r="S117" s="11">
        <v>45346</v>
      </c>
      <c r="T117" t="s">
        <v>2865</v>
      </c>
      <c r="U117" t="s">
        <v>1290</v>
      </c>
    </row>
    <row r="118" spans="2:21" x14ac:dyDescent="0.3">
      <c r="B118" t="s">
        <v>1118</v>
      </c>
      <c r="C118" t="s">
        <v>2426</v>
      </c>
      <c r="D118" t="s">
        <v>2436</v>
      </c>
      <c r="E118" t="s">
        <v>2580</v>
      </c>
      <c r="F118" t="s">
        <v>2580</v>
      </c>
      <c r="G118" s="8">
        <v>4440</v>
      </c>
      <c r="H118" s="8">
        <f>+IF(BDAlquilerDepartamentos[[#This Row],[Ciudad]]="Lima",BDAlquilerDepartamentos[[#This Row],[Prec. Soles]]*0.1,BDAlquilerDepartamentos[[#This Row],[Prec. Soles]]*0.05)</f>
        <v>444</v>
      </c>
      <c r="I118" s="4">
        <v>2</v>
      </c>
      <c r="J118" s="4">
        <v>2</v>
      </c>
      <c r="K118" s="4" t="s">
        <v>3096</v>
      </c>
      <c r="L118" s="4" t="s">
        <v>3096</v>
      </c>
      <c r="M118" s="4">
        <v>100</v>
      </c>
      <c r="N118" s="4">
        <v>2005</v>
      </c>
      <c r="O118" s="4" t="str">
        <f>+IF(BDAlquilerDepartamentos[[#This Row],[Prec. Soles]]&gt;2500,"Caro","Economico")</f>
        <v>Caro</v>
      </c>
      <c r="P118" s="4" t="str">
        <f>+IF(AND(BDAlquilerDepartamentos[[#This Row],[N° de Dorm.]]&gt; 3,BDAlquilerDepartamentos[[#This Row],[Prec. Soles]]&lt;= 2500),"Buena Oferta", "Precio Estadar")</f>
        <v>Precio Estadar</v>
      </c>
      <c r="Q118" t="s">
        <v>1101</v>
      </c>
      <c r="R118" t="s">
        <v>1102</v>
      </c>
      <c r="S118" s="11">
        <v>44991</v>
      </c>
      <c r="T118" t="s">
        <v>2833</v>
      </c>
      <c r="U118" t="s">
        <v>1291</v>
      </c>
    </row>
    <row r="119" spans="2:21" x14ac:dyDescent="0.3">
      <c r="B119" t="s">
        <v>1292</v>
      </c>
      <c r="C119" t="s">
        <v>2509</v>
      </c>
      <c r="D119" t="s">
        <v>2422</v>
      </c>
      <c r="E119" t="s">
        <v>2580</v>
      </c>
      <c r="F119" t="s">
        <v>2580</v>
      </c>
      <c r="G119" s="8">
        <v>4600</v>
      </c>
      <c r="H119" s="8">
        <f>+IF(BDAlquilerDepartamentos[[#This Row],[Ciudad]]="Lima",BDAlquilerDepartamentos[[#This Row],[Prec. Soles]]*0.1,BDAlquilerDepartamentos[[#This Row],[Prec. Soles]]*0.05)</f>
        <v>460</v>
      </c>
      <c r="I119" s="4">
        <v>3</v>
      </c>
      <c r="J119" s="4">
        <v>5</v>
      </c>
      <c r="K119" s="4" t="s">
        <v>3095</v>
      </c>
      <c r="L119" s="4" t="s">
        <v>3095</v>
      </c>
      <c r="M119" s="4">
        <v>224</v>
      </c>
      <c r="N119" s="4">
        <v>2018</v>
      </c>
      <c r="O119" s="4" t="str">
        <f>+IF(BDAlquilerDepartamentos[[#This Row],[Prec. Soles]]&gt;2500,"Caro","Economico")</f>
        <v>Caro</v>
      </c>
      <c r="P119" s="4" t="str">
        <f>+IF(AND(BDAlquilerDepartamentos[[#This Row],[N° de Dorm.]]&gt; 3,BDAlquilerDepartamentos[[#This Row],[Prec. Soles]]&lt;= 2500),"Buena Oferta", "Precio Estadar")</f>
        <v>Precio Estadar</v>
      </c>
      <c r="Q119" t="s">
        <v>1101</v>
      </c>
      <c r="R119" t="s">
        <v>1102</v>
      </c>
      <c r="S119" s="11">
        <v>45182</v>
      </c>
      <c r="T119" t="s">
        <v>2871</v>
      </c>
      <c r="U119" t="s">
        <v>1293</v>
      </c>
    </row>
    <row r="120" spans="2:21" x14ac:dyDescent="0.3">
      <c r="B120" t="s">
        <v>1294</v>
      </c>
      <c r="C120" t="s">
        <v>2510</v>
      </c>
      <c r="D120" t="s">
        <v>2422</v>
      </c>
      <c r="E120" t="s">
        <v>2580</v>
      </c>
      <c r="F120" t="s">
        <v>2580</v>
      </c>
      <c r="G120" s="8">
        <v>2200</v>
      </c>
      <c r="H120" s="8">
        <f>+IF(BDAlquilerDepartamentos[[#This Row],[Ciudad]]="Lima",BDAlquilerDepartamentos[[#This Row],[Prec. Soles]]*0.1,BDAlquilerDepartamentos[[#This Row],[Prec. Soles]]*0.05)</f>
        <v>220</v>
      </c>
      <c r="I120" s="4">
        <v>3</v>
      </c>
      <c r="J120" s="4">
        <v>2</v>
      </c>
      <c r="K120" s="4" t="s">
        <v>3096</v>
      </c>
      <c r="L120" s="4" t="s">
        <v>3096</v>
      </c>
      <c r="M120" s="4">
        <v>80</v>
      </c>
      <c r="N120" s="4">
        <v>2022</v>
      </c>
      <c r="O120" s="4" t="str">
        <f>+IF(BDAlquilerDepartamentos[[#This Row],[Prec. Soles]]&gt;2500,"Caro","Economico")</f>
        <v>Economico</v>
      </c>
      <c r="P120" s="4" t="str">
        <f>+IF(AND(BDAlquilerDepartamentos[[#This Row],[N° de Dorm.]]&gt; 3,BDAlquilerDepartamentos[[#This Row],[Prec. Soles]]&lt;= 2500),"Buena Oferta", "Precio Estadar")</f>
        <v>Precio Estadar</v>
      </c>
      <c r="Q120" t="s">
        <v>1101</v>
      </c>
      <c r="R120" t="s">
        <v>1102</v>
      </c>
      <c r="S120" s="11">
        <v>45654</v>
      </c>
      <c r="T120" t="s">
        <v>2872</v>
      </c>
      <c r="U120" t="s">
        <v>1295</v>
      </c>
    </row>
    <row r="121" spans="2:21" x14ac:dyDescent="0.3">
      <c r="B121" t="s">
        <v>1100</v>
      </c>
      <c r="C121" t="s">
        <v>2415</v>
      </c>
      <c r="D121" t="s">
        <v>2436</v>
      </c>
      <c r="E121" t="s">
        <v>2580</v>
      </c>
      <c r="F121" t="s">
        <v>2580</v>
      </c>
      <c r="G121" s="8">
        <v>3330</v>
      </c>
      <c r="H121" s="8">
        <f>+IF(BDAlquilerDepartamentos[[#This Row],[Ciudad]]="Lima",BDAlquilerDepartamentos[[#This Row],[Prec. Soles]]*0.1,BDAlquilerDepartamentos[[#This Row],[Prec. Soles]]*0.05)</f>
        <v>333</v>
      </c>
      <c r="I121" s="4">
        <v>2</v>
      </c>
      <c r="J121" s="4">
        <v>3</v>
      </c>
      <c r="K121" s="4" t="s">
        <v>3095</v>
      </c>
      <c r="L121" s="4" t="s">
        <v>3095</v>
      </c>
      <c r="M121" s="4">
        <v>110</v>
      </c>
      <c r="N121" s="4">
        <v>2012</v>
      </c>
      <c r="O121" s="4" t="str">
        <f>+IF(BDAlquilerDepartamentos[[#This Row],[Prec. Soles]]&gt;2500,"Caro","Economico")</f>
        <v>Caro</v>
      </c>
      <c r="P121" s="4" t="str">
        <f>+IF(AND(BDAlquilerDepartamentos[[#This Row],[N° de Dorm.]]&gt; 3,BDAlquilerDepartamentos[[#This Row],[Prec. Soles]]&lt;= 2500),"Buena Oferta", "Precio Estadar")</f>
        <v>Precio Estadar</v>
      </c>
      <c r="Q121" t="s">
        <v>1101</v>
      </c>
      <c r="R121" t="s">
        <v>1102</v>
      </c>
      <c r="S121" s="11">
        <v>45499</v>
      </c>
      <c r="T121" t="s">
        <v>2827</v>
      </c>
      <c r="U121" t="s">
        <v>1296</v>
      </c>
    </row>
    <row r="122" spans="2:21" x14ac:dyDescent="0.3">
      <c r="B122" t="s">
        <v>1189</v>
      </c>
      <c r="C122" t="s">
        <v>2465</v>
      </c>
      <c r="D122" t="s">
        <v>2418</v>
      </c>
      <c r="E122" t="s">
        <v>2580</v>
      </c>
      <c r="F122" t="s">
        <v>2580</v>
      </c>
      <c r="G122" s="8">
        <v>2960</v>
      </c>
      <c r="H122" s="8">
        <f>+IF(BDAlquilerDepartamentos[[#This Row],[Ciudad]]="Lima",BDAlquilerDepartamentos[[#This Row],[Prec. Soles]]*0.1,BDAlquilerDepartamentos[[#This Row],[Prec. Soles]]*0.05)</f>
        <v>296</v>
      </c>
      <c r="I122" s="4">
        <v>2</v>
      </c>
      <c r="J122" s="4">
        <v>2</v>
      </c>
      <c r="K122" s="4" t="s">
        <v>3096</v>
      </c>
      <c r="L122" s="4" t="s">
        <v>3096</v>
      </c>
      <c r="M122" s="4">
        <v>72</v>
      </c>
      <c r="N122" s="4">
        <v>2023</v>
      </c>
      <c r="O122" s="4" t="str">
        <f>+IF(BDAlquilerDepartamentos[[#This Row],[Prec. Soles]]&gt;2500,"Caro","Economico")</f>
        <v>Caro</v>
      </c>
      <c r="P122" s="4" t="str">
        <f>+IF(AND(BDAlquilerDepartamentos[[#This Row],[N° de Dorm.]]&gt; 3,BDAlquilerDepartamentos[[#This Row],[Prec. Soles]]&lt;= 2500),"Buena Oferta", "Precio Estadar")</f>
        <v>Precio Estadar</v>
      </c>
      <c r="Q122" t="s">
        <v>1101</v>
      </c>
      <c r="R122" t="s">
        <v>1102</v>
      </c>
      <c r="S122" s="11">
        <v>45083</v>
      </c>
      <c r="T122" t="s">
        <v>2873</v>
      </c>
      <c r="U122" t="s">
        <v>1297</v>
      </c>
    </row>
    <row r="123" spans="2:21" x14ac:dyDescent="0.3">
      <c r="B123" t="s">
        <v>1298</v>
      </c>
      <c r="C123" t="s">
        <v>2511</v>
      </c>
      <c r="D123" t="s">
        <v>2444</v>
      </c>
      <c r="E123" t="s">
        <v>2580</v>
      </c>
      <c r="F123" t="s">
        <v>2580</v>
      </c>
      <c r="G123" s="8">
        <v>3515</v>
      </c>
      <c r="H123" s="8">
        <f>+IF(BDAlquilerDepartamentos[[#This Row],[Ciudad]]="Lima",BDAlquilerDepartamentos[[#This Row],[Prec. Soles]]*0.1,BDAlquilerDepartamentos[[#This Row],[Prec. Soles]]*0.05)</f>
        <v>351.5</v>
      </c>
      <c r="I123" s="4">
        <v>2</v>
      </c>
      <c r="J123" s="4">
        <v>3</v>
      </c>
      <c r="K123" s="4" t="s">
        <v>3096</v>
      </c>
      <c r="L123" s="4" t="s">
        <v>3096</v>
      </c>
      <c r="M123" s="4">
        <v>92</v>
      </c>
      <c r="N123" s="4">
        <v>2021</v>
      </c>
      <c r="O123" s="4" t="str">
        <f>+IF(BDAlquilerDepartamentos[[#This Row],[Prec. Soles]]&gt;2500,"Caro","Economico")</f>
        <v>Caro</v>
      </c>
      <c r="P123" s="4" t="str">
        <f>+IF(AND(BDAlquilerDepartamentos[[#This Row],[N° de Dorm.]]&gt; 3,BDAlquilerDepartamentos[[#This Row],[Prec. Soles]]&lt;= 2500),"Buena Oferta", "Precio Estadar")</f>
        <v>Precio Estadar</v>
      </c>
      <c r="Q123" t="s">
        <v>1101</v>
      </c>
      <c r="R123" t="s">
        <v>1102</v>
      </c>
      <c r="S123" s="11">
        <v>45441</v>
      </c>
      <c r="T123" t="s">
        <v>2874</v>
      </c>
      <c r="U123" t="s">
        <v>1299</v>
      </c>
    </row>
    <row r="124" spans="2:21" x14ac:dyDescent="0.3">
      <c r="B124" t="s">
        <v>1300</v>
      </c>
      <c r="C124" t="s">
        <v>2512</v>
      </c>
      <c r="D124" t="s">
        <v>2422</v>
      </c>
      <c r="E124" t="s">
        <v>2580</v>
      </c>
      <c r="F124" t="s">
        <v>2580</v>
      </c>
      <c r="G124" s="8">
        <v>4440</v>
      </c>
      <c r="H124" s="8">
        <f>+IF(BDAlquilerDepartamentos[[#This Row],[Ciudad]]="Lima",BDAlquilerDepartamentos[[#This Row],[Prec. Soles]]*0.1,BDAlquilerDepartamentos[[#This Row],[Prec. Soles]]*0.05)</f>
        <v>444</v>
      </c>
      <c r="I124" s="4">
        <v>3</v>
      </c>
      <c r="J124" s="4">
        <v>3</v>
      </c>
      <c r="K124" s="4" t="s">
        <v>3096</v>
      </c>
      <c r="L124" s="4" t="s">
        <v>3095</v>
      </c>
      <c r="M124" s="4">
        <v>167</v>
      </c>
      <c r="N124" s="4">
        <v>2015</v>
      </c>
      <c r="O124" s="4" t="str">
        <f>+IF(BDAlquilerDepartamentos[[#This Row],[Prec. Soles]]&gt;2500,"Caro","Economico")</f>
        <v>Caro</v>
      </c>
      <c r="P124" s="4" t="str">
        <f>+IF(AND(BDAlquilerDepartamentos[[#This Row],[N° de Dorm.]]&gt; 3,BDAlquilerDepartamentos[[#This Row],[Prec. Soles]]&lt;= 2500),"Buena Oferta", "Precio Estadar")</f>
        <v>Precio Estadar</v>
      </c>
      <c r="Q124" t="s">
        <v>1101</v>
      </c>
      <c r="R124" t="s">
        <v>1102</v>
      </c>
      <c r="S124" s="11">
        <v>44944</v>
      </c>
      <c r="T124" t="s">
        <v>2827</v>
      </c>
      <c r="U124" t="s">
        <v>1301</v>
      </c>
    </row>
    <row r="125" spans="2:21" x14ac:dyDescent="0.3">
      <c r="B125" t="s">
        <v>1118</v>
      </c>
      <c r="C125" t="s">
        <v>2426</v>
      </c>
      <c r="D125" t="s">
        <v>2436</v>
      </c>
      <c r="E125" t="s">
        <v>2580</v>
      </c>
      <c r="F125" t="s">
        <v>2580</v>
      </c>
      <c r="G125" s="8">
        <v>2553</v>
      </c>
      <c r="H125" s="8">
        <f>+IF(BDAlquilerDepartamentos[[#This Row],[Ciudad]]="Lima",BDAlquilerDepartamentos[[#This Row],[Prec. Soles]]*0.1,BDAlquilerDepartamentos[[#This Row],[Prec. Soles]]*0.05)</f>
        <v>255.3</v>
      </c>
      <c r="I125" s="4">
        <v>1</v>
      </c>
      <c r="J125" s="4">
        <v>1</v>
      </c>
      <c r="K125" s="4" t="s">
        <v>3095</v>
      </c>
      <c r="L125" s="4" t="s">
        <v>3095</v>
      </c>
      <c r="M125" s="4">
        <v>60</v>
      </c>
      <c r="N125" s="4">
        <v>2001</v>
      </c>
      <c r="O125" s="4" t="str">
        <f>+IF(BDAlquilerDepartamentos[[#This Row],[Prec. Soles]]&gt;2500,"Caro","Economico")</f>
        <v>Caro</v>
      </c>
      <c r="P125" s="4" t="str">
        <f>+IF(AND(BDAlquilerDepartamentos[[#This Row],[N° de Dorm.]]&gt; 3,BDAlquilerDepartamentos[[#This Row],[Prec. Soles]]&lt;= 2500),"Buena Oferta", "Precio Estadar")</f>
        <v>Precio Estadar</v>
      </c>
      <c r="Q125" t="s">
        <v>1101</v>
      </c>
      <c r="R125" t="s">
        <v>1102</v>
      </c>
      <c r="S125" s="11">
        <v>45180</v>
      </c>
      <c r="T125" t="s">
        <v>3157</v>
      </c>
      <c r="U125" t="s">
        <v>1302</v>
      </c>
    </row>
    <row r="126" spans="2:21" x14ac:dyDescent="0.3">
      <c r="B126" t="s">
        <v>1118</v>
      </c>
      <c r="C126" t="s">
        <v>2426</v>
      </c>
      <c r="D126" t="s">
        <v>2436</v>
      </c>
      <c r="E126" t="s">
        <v>2580</v>
      </c>
      <c r="F126" t="s">
        <v>2580</v>
      </c>
      <c r="G126" s="8">
        <v>3145</v>
      </c>
      <c r="H126" s="8">
        <f>+IF(BDAlquilerDepartamentos[[#This Row],[Ciudad]]="Lima",BDAlquilerDepartamentos[[#This Row],[Prec. Soles]]*0.1,BDAlquilerDepartamentos[[#This Row],[Prec. Soles]]*0.05)</f>
        <v>314.5</v>
      </c>
      <c r="I126" s="4">
        <v>2</v>
      </c>
      <c r="J126" s="4">
        <v>2</v>
      </c>
      <c r="K126" s="4" t="s">
        <v>3096</v>
      </c>
      <c r="L126" s="4" t="s">
        <v>3096</v>
      </c>
      <c r="M126" s="4">
        <v>80</v>
      </c>
      <c r="N126" s="4">
        <v>2016</v>
      </c>
      <c r="O126" s="4" t="str">
        <f>+IF(BDAlquilerDepartamentos[[#This Row],[Prec. Soles]]&gt;2500,"Caro","Economico")</f>
        <v>Caro</v>
      </c>
      <c r="P126" s="4" t="str">
        <f>+IF(AND(BDAlquilerDepartamentos[[#This Row],[N° de Dorm.]]&gt; 3,BDAlquilerDepartamentos[[#This Row],[Prec. Soles]]&lt;= 2500),"Buena Oferta", "Precio Estadar")</f>
        <v>Precio Estadar</v>
      </c>
      <c r="Q126" t="s">
        <v>1101</v>
      </c>
      <c r="R126" t="s">
        <v>1102</v>
      </c>
      <c r="S126" s="11">
        <v>45589</v>
      </c>
      <c r="T126" t="s">
        <v>2875</v>
      </c>
      <c r="U126" t="s">
        <v>1303</v>
      </c>
    </row>
    <row r="127" spans="2:21" x14ac:dyDescent="0.3">
      <c r="B127" t="s">
        <v>1304</v>
      </c>
      <c r="C127" t="s">
        <v>2513</v>
      </c>
      <c r="D127" t="s">
        <v>2514</v>
      </c>
      <c r="E127" t="s">
        <v>2580</v>
      </c>
      <c r="F127" t="s">
        <v>2580</v>
      </c>
      <c r="G127" s="8">
        <v>1600</v>
      </c>
      <c r="H127" s="8">
        <f>+IF(BDAlquilerDepartamentos[[#This Row],[Ciudad]]="Lima",BDAlquilerDepartamentos[[#This Row],[Prec. Soles]]*0.1,BDAlquilerDepartamentos[[#This Row],[Prec. Soles]]*0.05)</f>
        <v>160</v>
      </c>
      <c r="I127" s="4">
        <v>3</v>
      </c>
      <c r="J127" s="4">
        <v>2</v>
      </c>
      <c r="K127" s="4" t="s">
        <v>3096</v>
      </c>
      <c r="L127" s="4" t="s">
        <v>3096</v>
      </c>
      <c r="M127" s="4">
        <v>68</v>
      </c>
      <c r="N127" s="4">
        <v>2000</v>
      </c>
      <c r="O127" s="4" t="str">
        <f>+IF(BDAlquilerDepartamentos[[#This Row],[Prec. Soles]]&gt;2500,"Caro","Economico")</f>
        <v>Economico</v>
      </c>
      <c r="P127" s="4" t="str">
        <f>+IF(AND(BDAlquilerDepartamentos[[#This Row],[N° de Dorm.]]&gt; 3,BDAlquilerDepartamentos[[#This Row],[Prec. Soles]]&lt;= 2500),"Buena Oferta", "Precio Estadar")</f>
        <v>Precio Estadar</v>
      </c>
      <c r="Q127" t="s">
        <v>1101</v>
      </c>
      <c r="R127" t="s">
        <v>1102</v>
      </c>
      <c r="S127" s="11">
        <v>44972</v>
      </c>
      <c r="T127" t="s">
        <v>2873</v>
      </c>
      <c r="U127" t="s">
        <v>1305</v>
      </c>
    </row>
    <row r="128" spans="2:21" x14ac:dyDescent="0.3">
      <c r="B128" t="s">
        <v>1306</v>
      </c>
      <c r="C128" t="s">
        <v>2515</v>
      </c>
      <c r="D128" t="s">
        <v>2425</v>
      </c>
      <c r="E128" t="s">
        <v>2580</v>
      </c>
      <c r="F128" t="s">
        <v>2580</v>
      </c>
      <c r="G128" s="8">
        <v>1450</v>
      </c>
      <c r="H128" s="8">
        <f>+IF(BDAlquilerDepartamentos[[#This Row],[Ciudad]]="Lima",BDAlquilerDepartamentos[[#This Row],[Prec. Soles]]*0.1,BDAlquilerDepartamentos[[#This Row],[Prec. Soles]]*0.05)</f>
        <v>145</v>
      </c>
      <c r="I128" s="4">
        <v>2</v>
      </c>
      <c r="J128" s="4">
        <v>1</v>
      </c>
      <c r="K128" s="4" t="s">
        <v>3096</v>
      </c>
      <c r="L128" s="4" t="s">
        <v>3096</v>
      </c>
      <c r="M128" s="4">
        <v>59</v>
      </c>
      <c r="N128" s="4">
        <v>2023</v>
      </c>
      <c r="O128" s="4" t="str">
        <f>+IF(BDAlquilerDepartamentos[[#This Row],[Prec. Soles]]&gt;2500,"Caro","Economico")</f>
        <v>Economico</v>
      </c>
      <c r="P128" s="4" t="str">
        <f>+IF(AND(BDAlquilerDepartamentos[[#This Row],[N° de Dorm.]]&gt; 3,BDAlquilerDepartamentos[[#This Row],[Prec. Soles]]&lt;= 2500),"Buena Oferta", "Precio Estadar")</f>
        <v>Precio Estadar</v>
      </c>
      <c r="Q128" t="s">
        <v>1101</v>
      </c>
      <c r="R128" t="s">
        <v>1102</v>
      </c>
      <c r="S128" s="11">
        <v>44990</v>
      </c>
      <c r="T128" t="s">
        <v>2876</v>
      </c>
      <c r="U128" t="s">
        <v>1307</v>
      </c>
    </row>
    <row r="129" spans="2:21" x14ac:dyDescent="0.3">
      <c r="B129" t="s">
        <v>1308</v>
      </c>
      <c r="C129" t="s">
        <v>2516</v>
      </c>
      <c r="D129" t="s">
        <v>2422</v>
      </c>
      <c r="E129" t="s">
        <v>2580</v>
      </c>
      <c r="F129" t="s">
        <v>2580</v>
      </c>
      <c r="G129" s="8">
        <v>3100</v>
      </c>
      <c r="H129" s="8">
        <f>+IF(BDAlquilerDepartamentos[[#This Row],[Ciudad]]="Lima",BDAlquilerDepartamentos[[#This Row],[Prec. Soles]]*0.1,BDAlquilerDepartamentos[[#This Row],[Prec. Soles]]*0.05)</f>
        <v>310</v>
      </c>
      <c r="I129" s="4">
        <v>3</v>
      </c>
      <c r="J129" s="4">
        <v>3</v>
      </c>
      <c r="K129" s="4" t="s">
        <v>3096</v>
      </c>
      <c r="L129" s="4" t="s">
        <v>3096</v>
      </c>
      <c r="M129" s="4">
        <v>105</v>
      </c>
      <c r="N129" s="4">
        <v>1999</v>
      </c>
      <c r="O129" s="4" t="str">
        <f>+IF(BDAlquilerDepartamentos[[#This Row],[Prec. Soles]]&gt;2500,"Caro","Economico")</f>
        <v>Caro</v>
      </c>
      <c r="P129" s="4" t="str">
        <f>+IF(AND(BDAlquilerDepartamentos[[#This Row],[N° de Dorm.]]&gt; 3,BDAlquilerDepartamentos[[#This Row],[Prec. Soles]]&lt;= 2500),"Buena Oferta", "Precio Estadar")</f>
        <v>Precio Estadar</v>
      </c>
      <c r="Q129" t="s">
        <v>1101</v>
      </c>
      <c r="R129" t="s">
        <v>1102</v>
      </c>
      <c r="S129" s="11">
        <v>45529</v>
      </c>
      <c r="T129" t="s">
        <v>2877</v>
      </c>
      <c r="U129" t="s">
        <v>1309</v>
      </c>
    </row>
    <row r="130" spans="2:21" x14ac:dyDescent="0.3">
      <c r="B130" t="s">
        <v>1189</v>
      </c>
      <c r="C130" t="s">
        <v>2465</v>
      </c>
      <c r="D130" t="s">
        <v>2418</v>
      </c>
      <c r="E130" t="s">
        <v>2580</v>
      </c>
      <c r="F130" t="s">
        <v>2580</v>
      </c>
      <c r="G130" s="8">
        <v>2812</v>
      </c>
      <c r="H130" s="8">
        <f>+IF(BDAlquilerDepartamentos[[#This Row],[Ciudad]]="Lima",BDAlquilerDepartamentos[[#This Row],[Prec. Soles]]*0.1,BDAlquilerDepartamentos[[#This Row],[Prec. Soles]]*0.05)</f>
        <v>281.2</v>
      </c>
      <c r="I130" s="4">
        <v>1</v>
      </c>
      <c r="J130" s="4">
        <v>1</v>
      </c>
      <c r="K130" s="4" t="s">
        <v>3095</v>
      </c>
      <c r="L130" s="4" t="s">
        <v>3096</v>
      </c>
      <c r="M130" s="4">
        <v>45</v>
      </c>
      <c r="N130" s="4">
        <v>2017</v>
      </c>
      <c r="O130" s="4" t="str">
        <f>+IF(BDAlquilerDepartamentos[[#This Row],[Prec. Soles]]&gt;2500,"Caro","Economico")</f>
        <v>Caro</v>
      </c>
      <c r="P130" s="4" t="str">
        <f>+IF(AND(BDAlquilerDepartamentos[[#This Row],[N° de Dorm.]]&gt; 3,BDAlquilerDepartamentos[[#This Row],[Prec. Soles]]&lt;= 2500),"Buena Oferta", "Precio Estadar")</f>
        <v>Precio Estadar</v>
      </c>
      <c r="Q130" t="s">
        <v>1101</v>
      </c>
      <c r="R130" t="s">
        <v>1102</v>
      </c>
      <c r="S130" s="11">
        <v>45334</v>
      </c>
      <c r="T130" t="s">
        <v>2873</v>
      </c>
      <c r="U130" t="s">
        <v>1310</v>
      </c>
    </row>
    <row r="131" spans="2:21" x14ac:dyDescent="0.3">
      <c r="B131" t="s">
        <v>1112</v>
      </c>
      <c r="C131" t="s">
        <v>2423</v>
      </c>
      <c r="D131" t="s">
        <v>2580</v>
      </c>
      <c r="E131" t="s">
        <v>2580</v>
      </c>
      <c r="F131" t="s">
        <v>2580</v>
      </c>
      <c r="G131" s="8">
        <v>6105</v>
      </c>
      <c r="H131" s="8">
        <f>+IF(BDAlquilerDepartamentos[[#This Row],[Ciudad]]="Lima",BDAlquilerDepartamentos[[#This Row],[Prec. Soles]]*0.1,BDAlquilerDepartamentos[[#This Row],[Prec. Soles]]*0.05)</f>
        <v>610.5</v>
      </c>
      <c r="I131" s="4">
        <v>3</v>
      </c>
      <c r="J131" s="4">
        <v>2</v>
      </c>
      <c r="K131" s="4" t="s">
        <v>3095</v>
      </c>
      <c r="L131" s="4" t="s">
        <v>3095</v>
      </c>
      <c r="M131" s="4">
        <v>300</v>
      </c>
      <c r="N131" s="4">
        <v>2008</v>
      </c>
      <c r="O131" s="4" t="str">
        <f>+IF(BDAlquilerDepartamentos[[#This Row],[Prec. Soles]]&gt;2500,"Caro","Economico")</f>
        <v>Caro</v>
      </c>
      <c r="P131" s="4" t="str">
        <f>+IF(AND(BDAlquilerDepartamentos[[#This Row],[N° de Dorm.]]&gt; 3,BDAlquilerDepartamentos[[#This Row],[Prec. Soles]]&lt;= 2500),"Buena Oferta", "Precio Estadar")</f>
        <v>Precio Estadar</v>
      </c>
      <c r="Q131" t="s">
        <v>1113</v>
      </c>
      <c r="R131" t="s">
        <v>1102</v>
      </c>
      <c r="S131" s="11">
        <v>45235</v>
      </c>
      <c r="T131" t="s">
        <v>2826</v>
      </c>
      <c r="U131" t="s">
        <v>1311</v>
      </c>
    </row>
    <row r="132" spans="2:21" x14ac:dyDescent="0.3">
      <c r="B132" t="s">
        <v>1167</v>
      </c>
      <c r="C132" t="s">
        <v>2454</v>
      </c>
      <c r="D132" t="s">
        <v>2418</v>
      </c>
      <c r="E132" t="s">
        <v>2580</v>
      </c>
      <c r="F132" t="s">
        <v>2580</v>
      </c>
      <c r="G132" s="8">
        <v>3404</v>
      </c>
      <c r="H132" s="8">
        <f>+IF(BDAlquilerDepartamentos[[#This Row],[Ciudad]]="Lima",BDAlquilerDepartamentos[[#This Row],[Prec. Soles]]*0.1,BDAlquilerDepartamentos[[#This Row],[Prec. Soles]]*0.05)</f>
        <v>340.40000000000003</v>
      </c>
      <c r="I132" s="4">
        <v>2</v>
      </c>
      <c r="J132" s="4">
        <v>2</v>
      </c>
      <c r="K132" s="4" t="s">
        <v>3096</v>
      </c>
      <c r="L132" s="4" t="s">
        <v>3096</v>
      </c>
      <c r="M132" s="4">
        <v>55</v>
      </c>
      <c r="N132" s="4">
        <v>2019</v>
      </c>
      <c r="O132" s="4" t="str">
        <f>+IF(BDAlquilerDepartamentos[[#This Row],[Prec. Soles]]&gt;2500,"Caro","Economico")</f>
        <v>Caro</v>
      </c>
      <c r="P132" s="4" t="str">
        <f>+IF(AND(BDAlquilerDepartamentos[[#This Row],[N° de Dorm.]]&gt; 3,BDAlquilerDepartamentos[[#This Row],[Prec. Soles]]&lt;= 2500),"Buena Oferta", "Precio Estadar")</f>
        <v>Precio Estadar</v>
      </c>
      <c r="Q132" t="s">
        <v>1101</v>
      </c>
      <c r="R132" t="s">
        <v>1102</v>
      </c>
      <c r="S132" s="11">
        <v>45476</v>
      </c>
      <c r="T132" t="s">
        <v>2878</v>
      </c>
      <c r="U132" t="s">
        <v>1312</v>
      </c>
    </row>
    <row r="133" spans="2:21" x14ac:dyDescent="0.3">
      <c r="B133" t="s">
        <v>3113</v>
      </c>
      <c r="C133" t="s">
        <v>3114</v>
      </c>
      <c r="D133" t="s">
        <v>2436</v>
      </c>
      <c r="E133" t="s">
        <v>2580</v>
      </c>
      <c r="F133" t="s">
        <v>2580</v>
      </c>
      <c r="G133" s="8">
        <v>7770</v>
      </c>
      <c r="H133" s="8">
        <f>+IF(BDAlquilerDepartamentos[[#This Row],[Ciudad]]="Lima",BDAlquilerDepartamentos[[#This Row],[Prec. Soles]]*0.1,BDAlquilerDepartamentos[[#This Row],[Prec. Soles]]*0.05)</f>
        <v>777</v>
      </c>
      <c r="I133" s="4">
        <v>3</v>
      </c>
      <c r="J133" s="4">
        <v>4</v>
      </c>
      <c r="K133" s="4" t="s">
        <v>3095</v>
      </c>
      <c r="L133" s="4" t="s">
        <v>3095</v>
      </c>
      <c r="M133" s="4">
        <v>246</v>
      </c>
      <c r="N133" s="4">
        <v>2006</v>
      </c>
      <c r="O133" s="4" t="str">
        <f>+IF(BDAlquilerDepartamentos[[#This Row],[Prec. Soles]]&gt;2500,"Caro","Economico")</f>
        <v>Caro</v>
      </c>
      <c r="P133" s="4" t="str">
        <f>+IF(AND(BDAlquilerDepartamentos[[#This Row],[N° de Dorm.]]&gt; 3,BDAlquilerDepartamentos[[#This Row],[Prec. Soles]]&lt;= 2500),"Buena Oferta", "Precio Estadar")</f>
        <v>Precio Estadar</v>
      </c>
      <c r="Q133" t="s">
        <v>1101</v>
      </c>
      <c r="R133" t="s">
        <v>1102</v>
      </c>
      <c r="S133" s="11">
        <v>45286</v>
      </c>
      <c r="T133" t="s">
        <v>2879</v>
      </c>
      <c r="U133" t="s">
        <v>1313</v>
      </c>
    </row>
    <row r="134" spans="2:21" x14ac:dyDescent="0.3">
      <c r="B134" t="s">
        <v>1277</v>
      </c>
      <c r="C134" t="s">
        <v>2503</v>
      </c>
      <c r="D134" t="s">
        <v>2422</v>
      </c>
      <c r="E134" t="s">
        <v>2580</v>
      </c>
      <c r="F134" t="s">
        <v>2580</v>
      </c>
      <c r="G134" s="8">
        <v>1400</v>
      </c>
      <c r="H134" s="8">
        <f>+IF(BDAlquilerDepartamentos[[#This Row],[Ciudad]]="Lima",BDAlquilerDepartamentos[[#This Row],[Prec. Soles]]*0.1,BDAlquilerDepartamentos[[#This Row],[Prec. Soles]]*0.05)</f>
        <v>140</v>
      </c>
      <c r="I134" s="4">
        <v>1</v>
      </c>
      <c r="J134" s="4">
        <v>1</v>
      </c>
      <c r="K134" s="4" t="s">
        <v>3095</v>
      </c>
      <c r="L134" s="4" t="s">
        <v>3095</v>
      </c>
      <c r="M134" s="4">
        <v>60</v>
      </c>
      <c r="N134" s="4">
        <v>2000</v>
      </c>
      <c r="O134" s="4" t="str">
        <f>+IF(BDAlquilerDepartamentos[[#This Row],[Prec. Soles]]&gt;2500,"Caro","Economico")</f>
        <v>Economico</v>
      </c>
      <c r="P134" s="4" t="str">
        <f>+IF(AND(BDAlquilerDepartamentos[[#This Row],[N° de Dorm.]]&gt; 3,BDAlquilerDepartamentos[[#This Row],[Prec. Soles]]&lt;= 2500),"Buena Oferta", "Precio Estadar")</f>
        <v>Precio Estadar</v>
      </c>
      <c r="Q134" t="s">
        <v>1101</v>
      </c>
      <c r="R134" t="s">
        <v>1102</v>
      </c>
      <c r="S134" s="11">
        <v>45417</v>
      </c>
      <c r="T134" t="s">
        <v>2880</v>
      </c>
      <c r="U134" t="s">
        <v>1314</v>
      </c>
    </row>
    <row r="135" spans="2:21" x14ac:dyDescent="0.3">
      <c r="B135" t="s">
        <v>1315</v>
      </c>
      <c r="C135" t="s">
        <v>2517</v>
      </c>
      <c r="D135" t="s">
        <v>2435</v>
      </c>
      <c r="E135" t="s">
        <v>2580</v>
      </c>
      <c r="F135" t="s">
        <v>2580</v>
      </c>
      <c r="G135" s="8">
        <v>1800</v>
      </c>
      <c r="H135" s="8">
        <f>+IF(BDAlquilerDepartamentos[[#This Row],[Ciudad]]="Lima",BDAlquilerDepartamentos[[#This Row],[Prec. Soles]]*0.1,BDAlquilerDepartamentos[[#This Row],[Prec. Soles]]*0.05)</f>
        <v>180</v>
      </c>
      <c r="I135" s="4">
        <v>2</v>
      </c>
      <c r="J135" s="4">
        <v>1</v>
      </c>
      <c r="K135" s="4" t="s">
        <v>3095</v>
      </c>
      <c r="L135" s="4" t="s">
        <v>3096</v>
      </c>
      <c r="M135" s="4">
        <v>70</v>
      </c>
      <c r="N135" s="4">
        <v>2003</v>
      </c>
      <c r="O135" s="4" t="str">
        <f>+IF(BDAlquilerDepartamentos[[#This Row],[Prec. Soles]]&gt;2500,"Caro","Economico")</f>
        <v>Economico</v>
      </c>
      <c r="P135" s="4" t="str">
        <f>+IF(AND(BDAlquilerDepartamentos[[#This Row],[N° de Dorm.]]&gt; 3,BDAlquilerDepartamentos[[#This Row],[Prec. Soles]]&lt;= 2500),"Buena Oferta", "Precio Estadar")</f>
        <v>Precio Estadar</v>
      </c>
      <c r="Q135" t="s">
        <v>1101</v>
      </c>
      <c r="R135" t="s">
        <v>1102</v>
      </c>
      <c r="S135" s="11">
        <v>45087</v>
      </c>
      <c r="T135" t="s">
        <v>2881</v>
      </c>
      <c r="U135" t="s">
        <v>1316</v>
      </c>
    </row>
    <row r="136" spans="2:21" x14ac:dyDescent="0.3">
      <c r="B136" t="s">
        <v>1165</v>
      </c>
      <c r="C136" t="s">
        <v>2453</v>
      </c>
      <c r="D136" t="s">
        <v>2580</v>
      </c>
      <c r="E136" t="s">
        <v>2580</v>
      </c>
      <c r="F136" t="s">
        <v>2580</v>
      </c>
      <c r="G136" s="8">
        <v>10360</v>
      </c>
      <c r="H136" s="8">
        <f>+IF(BDAlquilerDepartamentos[[#This Row],[Ciudad]]="Lima",BDAlquilerDepartamentos[[#This Row],[Prec. Soles]]*0.1,BDAlquilerDepartamentos[[#This Row],[Prec. Soles]]*0.05)</f>
        <v>1036</v>
      </c>
      <c r="I136" s="4">
        <v>3</v>
      </c>
      <c r="J136" s="4">
        <v>5</v>
      </c>
      <c r="K136" s="4" t="s">
        <v>3095</v>
      </c>
      <c r="L136" s="4" t="s">
        <v>3095</v>
      </c>
      <c r="M136" s="4">
        <v>280</v>
      </c>
      <c r="N136" s="4">
        <v>2010</v>
      </c>
      <c r="O136" s="4" t="str">
        <f>+IF(BDAlquilerDepartamentos[[#This Row],[Prec. Soles]]&gt;2500,"Caro","Economico")</f>
        <v>Caro</v>
      </c>
      <c r="P136" s="4" t="str">
        <f>+IF(AND(BDAlquilerDepartamentos[[#This Row],[N° de Dorm.]]&gt; 3,BDAlquilerDepartamentos[[#This Row],[Prec. Soles]]&lt;= 2500),"Buena Oferta", "Precio Estadar")</f>
        <v>Precio Estadar</v>
      </c>
      <c r="Q136" t="s">
        <v>1101</v>
      </c>
      <c r="R136" t="s">
        <v>1102</v>
      </c>
      <c r="S136" s="11">
        <v>45350</v>
      </c>
      <c r="T136" t="s">
        <v>2882</v>
      </c>
      <c r="U136" t="s">
        <v>1317</v>
      </c>
    </row>
    <row r="137" spans="2:21" x14ac:dyDescent="0.3">
      <c r="B137" t="s">
        <v>1315</v>
      </c>
      <c r="C137" t="s">
        <v>2517</v>
      </c>
      <c r="D137" t="s">
        <v>2435</v>
      </c>
      <c r="E137" t="s">
        <v>2580</v>
      </c>
      <c r="F137" t="s">
        <v>2580</v>
      </c>
      <c r="G137" s="8">
        <v>1600</v>
      </c>
      <c r="H137" s="8">
        <f>+IF(BDAlquilerDepartamentos[[#This Row],[Ciudad]]="Lima",BDAlquilerDepartamentos[[#This Row],[Prec. Soles]]*0.1,BDAlquilerDepartamentos[[#This Row],[Prec. Soles]]*0.05)</f>
        <v>160</v>
      </c>
      <c r="I137" s="4">
        <v>1</v>
      </c>
      <c r="J137" s="4">
        <v>1</v>
      </c>
      <c r="K137" s="4" t="s">
        <v>3096</v>
      </c>
      <c r="L137" s="4" t="s">
        <v>3096</v>
      </c>
      <c r="M137" s="4">
        <v>65</v>
      </c>
      <c r="N137" s="4">
        <v>2002</v>
      </c>
      <c r="O137" s="4" t="str">
        <f>+IF(BDAlquilerDepartamentos[[#This Row],[Prec. Soles]]&gt;2500,"Caro","Economico")</f>
        <v>Economico</v>
      </c>
      <c r="P137" s="4" t="str">
        <f>+IF(AND(BDAlquilerDepartamentos[[#This Row],[N° de Dorm.]]&gt; 3,BDAlquilerDepartamentos[[#This Row],[Prec. Soles]]&lt;= 2500),"Buena Oferta", "Precio Estadar")</f>
        <v>Precio Estadar</v>
      </c>
      <c r="Q137" t="s">
        <v>1101</v>
      </c>
      <c r="R137" t="s">
        <v>1102</v>
      </c>
      <c r="S137" s="11">
        <v>45565</v>
      </c>
      <c r="T137" t="s">
        <v>2881</v>
      </c>
      <c r="U137" t="s">
        <v>1318</v>
      </c>
    </row>
    <row r="138" spans="2:21" x14ac:dyDescent="0.3">
      <c r="B138" t="s">
        <v>1319</v>
      </c>
      <c r="C138" t="s">
        <v>2518</v>
      </c>
      <c r="D138" t="s">
        <v>2478</v>
      </c>
      <c r="E138" t="s">
        <v>2580</v>
      </c>
      <c r="F138" t="s">
        <v>2580</v>
      </c>
      <c r="G138" s="8">
        <v>1800</v>
      </c>
      <c r="H138" s="8">
        <f>+IF(BDAlquilerDepartamentos[[#This Row],[Ciudad]]="Lima",BDAlquilerDepartamentos[[#This Row],[Prec. Soles]]*0.1,BDAlquilerDepartamentos[[#This Row],[Prec. Soles]]*0.05)</f>
        <v>180</v>
      </c>
      <c r="I138" s="4">
        <v>3</v>
      </c>
      <c r="J138" s="4">
        <v>2</v>
      </c>
      <c r="K138" s="4" t="s">
        <v>3096</v>
      </c>
      <c r="L138" s="4" t="s">
        <v>3096</v>
      </c>
      <c r="M138" s="4">
        <v>105</v>
      </c>
      <c r="N138" s="4">
        <v>2018</v>
      </c>
      <c r="O138" s="4" t="str">
        <f>+IF(BDAlquilerDepartamentos[[#This Row],[Prec. Soles]]&gt;2500,"Caro","Economico")</f>
        <v>Economico</v>
      </c>
      <c r="P138" s="4" t="str">
        <f>+IF(AND(BDAlquilerDepartamentos[[#This Row],[N° de Dorm.]]&gt; 3,BDAlquilerDepartamentos[[#This Row],[Prec. Soles]]&lt;= 2500),"Buena Oferta", "Precio Estadar")</f>
        <v>Precio Estadar</v>
      </c>
      <c r="Q138" t="s">
        <v>1101</v>
      </c>
      <c r="R138" t="s">
        <v>1102</v>
      </c>
      <c r="S138" s="11">
        <v>44927</v>
      </c>
      <c r="T138" t="s">
        <v>2854</v>
      </c>
      <c r="U138" t="s">
        <v>1320</v>
      </c>
    </row>
    <row r="139" spans="2:21" x14ac:dyDescent="0.3">
      <c r="B139" t="s">
        <v>1321</v>
      </c>
      <c r="C139" t="s">
        <v>2519</v>
      </c>
      <c r="D139" t="s">
        <v>2799</v>
      </c>
      <c r="E139" t="s">
        <v>2580</v>
      </c>
      <c r="F139" t="s">
        <v>2580</v>
      </c>
      <c r="G139" s="8">
        <v>6000</v>
      </c>
      <c r="H139" s="8">
        <f>+IF(BDAlquilerDepartamentos[[#This Row],[Ciudad]]="Lima",BDAlquilerDepartamentos[[#This Row],[Prec. Soles]]*0.1,BDAlquilerDepartamentos[[#This Row],[Prec. Soles]]*0.05)</f>
        <v>600</v>
      </c>
      <c r="I139" s="4">
        <v>12</v>
      </c>
      <c r="J139" s="4">
        <v>7</v>
      </c>
      <c r="K139" s="4" t="s">
        <v>3096</v>
      </c>
      <c r="L139" s="4" t="s">
        <v>3096</v>
      </c>
      <c r="M139" s="4">
        <v>209</v>
      </c>
      <c r="N139" s="4">
        <v>2012</v>
      </c>
      <c r="O139" s="4" t="str">
        <f>+IF(BDAlquilerDepartamentos[[#This Row],[Prec. Soles]]&gt;2500,"Caro","Economico")</f>
        <v>Caro</v>
      </c>
      <c r="P139" s="4" t="str">
        <f>+IF(AND(BDAlquilerDepartamentos[[#This Row],[N° de Dorm.]]&gt; 3,BDAlquilerDepartamentos[[#This Row],[Prec. Soles]]&lt;= 2500),"Buena Oferta", "Precio Estadar")</f>
        <v>Precio Estadar</v>
      </c>
      <c r="Q139" t="s">
        <v>1113</v>
      </c>
      <c r="R139" t="s">
        <v>1102</v>
      </c>
      <c r="S139" s="11">
        <v>45024</v>
      </c>
      <c r="T139" t="s">
        <v>2883</v>
      </c>
      <c r="U139" t="s">
        <v>1322</v>
      </c>
    </row>
    <row r="140" spans="2:21" x14ac:dyDescent="0.3">
      <c r="B140" t="s">
        <v>1323</v>
      </c>
      <c r="C140" t="s">
        <v>2520</v>
      </c>
      <c r="D140" t="s">
        <v>2420</v>
      </c>
      <c r="E140" t="s">
        <v>2580</v>
      </c>
      <c r="F140" t="s">
        <v>2580</v>
      </c>
      <c r="G140" s="8">
        <v>2100</v>
      </c>
      <c r="H140" s="8">
        <f>+IF(BDAlquilerDepartamentos[[#This Row],[Ciudad]]="Lima",BDAlquilerDepartamentos[[#This Row],[Prec. Soles]]*0.1,BDAlquilerDepartamentos[[#This Row],[Prec. Soles]]*0.05)</f>
        <v>210</v>
      </c>
      <c r="I140" s="4">
        <v>1</v>
      </c>
      <c r="J140" s="4">
        <v>1</v>
      </c>
      <c r="K140" s="4" t="s">
        <v>3095</v>
      </c>
      <c r="L140" s="4" t="s">
        <v>3095</v>
      </c>
      <c r="M140" s="4">
        <v>53</v>
      </c>
      <c r="N140" s="4">
        <v>2023</v>
      </c>
      <c r="O140" s="4" t="str">
        <f>+IF(BDAlquilerDepartamentos[[#This Row],[Prec. Soles]]&gt;2500,"Caro","Economico")</f>
        <v>Economico</v>
      </c>
      <c r="P140" s="4" t="str">
        <f>+IF(AND(BDAlquilerDepartamentos[[#This Row],[N° de Dorm.]]&gt; 3,BDAlquilerDepartamentos[[#This Row],[Prec. Soles]]&lt;= 2500),"Buena Oferta", "Precio Estadar")</f>
        <v>Precio Estadar</v>
      </c>
      <c r="Q140" t="s">
        <v>1101</v>
      </c>
      <c r="R140" t="s">
        <v>1102</v>
      </c>
      <c r="S140" s="11">
        <v>44929</v>
      </c>
      <c r="T140" t="s">
        <v>2843</v>
      </c>
      <c r="U140" t="s">
        <v>1324</v>
      </c>
    </row>
    <row r="141" spans="2:21" x14ac:dyDescent="0.3">
      <c r="B141" t="s">
        <v>1237</v>
      </c>
      <c r="C141" t="s">
        <v>2488</v>
      </c>
      <c r="D141" t="s">
        <v>2580</v>
      </c>
      <c r="E141" t="s">
        <v>2580</v>
      </c>
      <c r="F141" t="s">
        <v>2580</v>
      </c>
      <c r="G141" s="8">
        <v>1300</v>
      </c>
      <c r="H141" s="8">
        <f>+IF(BDAlquilerDepartamentos[[#This Row],[Ciudad]]="Lima",BDAlquilerDepartamentos[[#This Row],[Prec. Soles]]*0.1,BDAlquilerDepartamentos[[#This Row],[Prec. Soles]]*0.05)</f>
        <v>130</v>
      </c>
      <c r="I141" s="4">
        <v>1</v>
      </c>
      <c r="J141" s="4">
        <v>1</v>
      </c>
      <c r="K141" s="4" t="s">
        <v>3095</v>
      </c>
      <c r="L141" s="4" t="s">
        <v>3095</v>
      </c>
      <c r="M141" s="4">
        <v>35</v>
      </c>
      <c r="N141" s="4">
        <v>2003</v>
      </c>
      <c r="O141" s="4" t="str">
        <f>+IF(BDAlquilerDepartamentos[[#This Row],[Prec. Soles]]&gt;2500,"Caro","Economico")</f>
        <v>Economico</v>
      </c>
      <c r="P141" s="4" t="str">
        <f>+IF(AND(BDAlquilerDepartamentos[[#This Row],[N° de Dorm.]]&gt; 3,BDAlquilerDepartamentos[[#This Row],[Prec. Soles]]&lt;= 2500),"Buena Oferta", "Precio Estadar")</f>
        <v>Precio Estadar</v>
      </c>
      <c r="Q141" t="s">
        <v>1101</v>
      </c>
      <c r="R141" t="s">
        <v>1102</v>
      </c>
      <c r="S141" s="11">
        <v>45335</v>
      </c>
      <c r="T141" t="s">
        <v>2884</v>
      </c>
      <c r="U141" t="s">
        <v>1325</v>
      </c>
    </row>
    <row r="142" spans="2:21" x14ac:dyDescent="0.3">
      <c r="B142" t="s">
        <v>1326</v>
      </c>
      <c r="C142" t="s">
        <v>2521</v>
      </c>
      <c r="D142" t="s">
        <v>2444</v>
      </c>
      <c r="E142" t="s">
        <v>2580</v>
      </c>
      <c r="F142" t="s">
        <v>2580</v>
      </c>
      <c r="G142" s="8">
        <v>4255</v>
      </c>
      <c r="H142" s="8">
        <f>+IF(BDAlquilerDepartamentos[[#This Row],[Ciudad]]="Lima",BDAlquilerDepartamentos[[#This Row],[Prec. Soles]]*0.1,BDAlquilerDepartamentos[[#This Row],[Prec. Soles]]*0.05)</f>
        <v>425.5</v>
      </c>
      <c r="I142" s="4">
        <v>5</v>
      </c>
      <c r="J142" s="4">
        <v>3</v>
      </c>
      <c r="K142" s="4" t="s">
        <v>3096</v>
      </c>
      <c r="L142" s="4" t="s">
        <v>3096</v>
      </c>
      <c r="M142" s="4">
        <v>232</v>
      </c>
      <c r="N142" s="4">
        <v>1998</v>
      </c>
      <c r="O142" s="4" t="str">
        <f>+IF(BDAlquilerDepartamentos[[#This Row],[Prec. Soles]]&gt;2500,"Caro","Economico")</f>
        <v>Caro</v>
      </c>
      <c r="P142" s="4" t="str">
        <f>+IF(AND(BDAlquilerDepartamentos[[#This Row],[N° de Dorm.]]&gt; 3,BDAlquilerDepartamentos[[#This Row],[Prec. Soles]]&lt;= 2500),"Buena Oferta", "Precio Estadar")</f>
        <v>Precio Estadar</v>
      </c>
      <c r="Q142" t="s">
        <v>1101</v>
      </c>
      <c r="R142" t="s">
        <v>1102</v>
      </c>
      <c r="S142" s="11">
        <v>45546</v>
      </c>
      <c r="T142" t="s">
        <v>2871</v>
      </c>
      <c r="U142" t="s">
        <v>1327</v>
      </c>
    </row>
    <row r="143" spans="2:21" x14ac:dyDescent="0.3">
      <c r="B143" t="s">
        <v>1328</v>
      </c>
      <c r="C143" t="s">
        <v>2522</v>
      </c>
      <c r="D143" t="s">
        <v>2580</v>
      </c>
      <c r="E143" t="s">
        <v>2580</v>
      </c>
      <c r="F143" t="s">
        <v>2580</v>
      </c>
      <c r="G143" s="8">
        <v>2250</v>
      </c>
      <c r="H143" s="8">
        <f>+IF(BDAlquilerDepartamentos[[#This Row],[Ciudad]]="Lima",BDAlquilerDepartamentos[[#This Row],[Prec. Soles]]*0.1,BDAlquilerDepartamentos[[#This Row],[Prec. Soles]]*0.05)</f>
        <v>225</v>
      </c>
      <c r="I143" s="4">
        <v>2</v>
      </c>
      <c r="J143" s="4">
        <v>1</v>
      </c>
      <c r="K143" s="4" t="s">
        <v>3095</v>
      </c>
      <c r="L143" s="4" t="s">
        <v>3095</v>
      </c>
      <c r="M143" s="4">
        <v>60</v>
      </c>
      <c r="N143" s="4">
        <v>2020</v>
      </c>
      <c r="O143" s="4" t="str">
        <f>+IF(BDAlquilerDepartamentos[[#This Row],[Prec. Soles]]&gt;2500,"Caro","Economico")</f>
        <v>Economico</v>
      </c>
      <c r="P143" s="4" t="str">
        <f>+IF(AND(BDAlquilerDepartamentos[[#This Row],[N° de Dorm.]]&gt; 3,BDAlquilerDepartamentos[[#This Row],[Prec. Soles]]&lt;= 2500),"Buena Oferta", "Precio Estadar")</f>
        <v>Precio Estadar</v>
      </c>
      <c r="Q143" t="s">
        <v>1101</v>
      </c>
      <c r="R143" t="s">
        <v>1102</v>
      </c>
      <c r="S143" s="11">
        <v>45541</v>
      </c>
      <c r="T143" t="s">
        <v>2819</v>
      </c>
      <c r="U143" t="s">
        <v>1329</v>
      </c>
    </row>
    <row r="144" spans="2:21" x14ac:dyDescent="0.3">
      <c r="B144" t="s">
        <v>3116</v>
      </c>
      <c r="C144" t="s">
        <v>2436</v>
      </c>
      <c r="D144" t="s">
        <v>2580</v>
      </c>
      <c r="E144" t="s">
        <v>2580</v>
      </c>
      <c r="F144" t="s">
        <v>2580</v>
      </c>
      <c r="G144" s="8">
        <v>7400</v>
      </c>
      <c r="H144" s="8">
        <f>+IF(BDAlquilerDepartamentos[[#This Row],[Ciudad]]="Lima",BDAlquilerDepartamentos[[#This Row],[Prec. Soles]]*0.1,BDAlquilerDepartamentos[[#This Row],[Prec. Soles]]*0.05)</f>
        <v>740</v>
      </c>
      <c r="I144" s="4">
        <v>3</v>
      </c>
      <c r="J144" s="4">
        <v>2</v>
      </c>
      <c r="K144" s="4" t="s">
        <v>3095</v>
      </c>
      <c r="L144" s="4" t="s">
        <v>3095</v>
      </c>
      <c r="M144" s="4">
        <v>180</v>
      </c>
      <c r="N144" s="4">
        <v>2015</v>
      </c>
      <c r="O144" s="4" t="str">
        <f>+IF(BDAlquilerDepartamentos[[#This Row],[Prec. Soles]]&gt;2500,"Caro","Economico")</f>
        <v>Caro</v>
      </c>
      <c r="P144" s="4" t="str">
        <f>+IF(AND(BDAlquilerDepartamentos[[#This Row],[N° de Dorm.]]&gt; 3,BDAlquilerDepartamentos[[#This Row],[Prec. Soles]]&lt;= 2500),"Buena Oferta", "Precio Estadar")</f>
        <v>Precio Estadar</v>
      </c>
      <c r="Q144" t="s">
        <v>1101</v>
      </c>
      <c r="R144" t="s">
        <v>1102</v>
      </c>
      <c r="S144" s="11">
        <v>45113</v>
      </c>
      <c r="T144" t="s">
        <v>2819</v>
      </c>
      <c r="U144" t="s">
        <v>1330</v>
      </c>
    </row>
    <row r="145" spans="2:21" x14ac:dyDescent="0.3">
      <c r="B145" t="s">
        <v>3116</v>
      </c>
      <c r="C145" t="s">
        <v>2436</v>
      </c>
      <c r="D145" t="s">
        <v>2580</v>
      </c>
      <c r="E145" t="s">
        <v>2580</v>
      </c>
      <c r="F145" t="s">
        <v>2580</v>
      </c>
      <c r="G145" s="8">
        <v>3700</v>
      </c>
      <c r="H145" s="8">
        <f>+IF(BDAlquilerDepartamentos[[#This Row],[Ciudad]]="Lima",BDAlquilerDepartamentos[[#This Row],[Prec. Soles]]*0.1,BDAlquilerDepartamentos[[#This Row],[Prec. Soles]]*0.05)</f>
        <v>370</v>
      </c>
      <c r="I145" s="4">
        <v>2</v>
      </c>
      <c r="J145" s="4">
        <v>3</v>
      </c>
      <c r="K145" s="4" t="s">
        <v>3095</v>
      </c>
      <c r="L145" s="4" t="s">
        <v>3096</v>
      </c>
      <c r="M145" s="4">
        <v>90</v>
      </c>
      <c r="N145" s="4">
        <v>2011</v>
      </c>
      <c r="O145" s="4" t="str">
        <f>+IF(BDAlquilerDepartamentos[[#This Row],[Prec. Soles]]&gt;2500,"Caro","Economico")</f>
        <v>Caro</v>
      </c>
      <c r="P145" s="4" t="str">
        <f>+IF(AND(BDAlquilerDepartamentos[[#This Row],[N° de Dorm.]]&gt; 3,BDAlquilerDepartamentos[[#This Row],[Prec. Soles]]&lt;= 2500),"Buena Oferta", "Precio Estadar")</f>
        <v>Precio Estadar</v>
      </c>
      <c r="Q145" t="s">
        <v>1101</v>
      </c>
      <c r="R145" t="s">
        <v>1102</v>
      </c>
      <c r="S145" s="11">
        <v>45418</v>
      </c>
      <c r="T145" t="s">
        <v>2885</v>
      </c>
      <c r="U145" t="s">
        <v>1331</v>
      </c>
    </row>
    <row r="146" spans="2:21" x14ac:dyDescent="0.3">
      <c r="B146" t="s">
        <v>3102</v>
      </c>
      <c r="C146" t="s">
        <v>2580</v>
      </c>
      <c r="D146" t="s">
        <v>2580</v>
      </c>
      <c r="E146" t="s">
        <v>2580</v>
      </c>
      <c r="F146" t="s">
        <v>2580</v>
      </c>
      <c r="G146" s="8">
        <v>4070</v>
      </c>
      <c r="H146" s="8">
        <f>+IF(BDAlquilerDepartamentos[[#This Row],[Ciudad]]="Lima",BDAlquilerDepartamentos[[#This Row],[Prec. Soles]]*0.1,BDAlquilerDepartamentos[[#This Row],[Prec. Soles]]*0.05)</f>
        <v>407</v>
      </c>
      <c r="I146" s="4">
        <v>3</v>
      </c>
      <c r="J146" s="4">
        <v>2</v>
      </c>
      <c r="K146" s="4" t="s">
        <v>3096</v>
      </c>
      <c r="L146" s="4" t="s">
        <v>3096</v>
      </c>
      <c r="M146" s="4">
        <v>155</v>
      </c>
      <c r="N146" s="4">
        <v>2016</v>
      </c>
      <c r="O146" s="4" t="str">
        <f>+IF(BDAlquilerDepartamentos[[#This Row],[Prec. Soles]]&gt;2500,"Caro","Economico")</f>
        <v>Caro</v>
      </c>
      <c r="P146" s="4" t="str">
        <f>+IF(AND(BDAlquilerDepartamentos[[#This Row],[N° de Dorm.]]&gt; 3,BDAlquilerDepartamentos[[#This Row],[Prec. Soles]]&lt;= 2500),"Buena Oferta", "Precio Estadar")</f>
        <v>Precio Estadar</v>
      </c>
      <c r="Q146" t="s">
        <v>1101</v>
      </c>
      <c r="R146" t="s">
        <v>1102</v>
      </c>
      <c r="S146" s="11">
        <v>45200</v>
      </c>
      <c r="T146" t="s">
        <v>2885</v>
      </c>
      <c r="U146" t="s">
        <v>1332</v>
      </c>
    </row>
    <row r="147" spans="2:21" x14ac:dyDescent="0.3">
      <c r="B147" t="s">
        <v>1333</v>
      </c>
      <c r="C147" t="s">
        <v>2523</v>
      </c>
      <c r="D147" t="s">
        <v>2580</v>
      </c>
      <c r="E147" t="s">
        <v>2580</v>
      </c>
      <c r="F147" t="s">
        <v>2580</v>
      </c>
      <c r="G147" s="8">
        <v>94</v>
      </c>
      <c r="H147" s="8">
        <f>+IF(BDAlquilerDepartamentos[[#This Row],[Ciudad]]="Lima",BDAlquilerDepartamentos[[#This Row],[Prec. Soles]]*0.1,BDAlquilerDepartamentos[[#This Row],[Prec. Soles]]*0.05)</f>
        <v>9.4</v>
      </c>
      <c r="I147" s="4">
        <v>2</v>
      </c>
      <c r="J147" s="4">
        <v>1</v>
      </c>
      <c r="K147" s="4" t="s">
        <v>3096</v>
      </c>
      <c r="L147" s="4" t="s">
        <v>3095</v>
      </c>
      <c r="M147" s="4">
        <v>50</v>
      </c>
      <c r="N147" s="4">
        <v>2021</v>
      </c>
      <c r="O147" s="4" t="str">
        <f>+IF(BDAlquilerDepartamentos[[#This Row],[Prec. Soles]]&gt;2500,"Caro","Economico")</f>
        <v>Economico</v>
      </c>
      <c r="P147" s="4" t="str">
        <f>+IF(AND(BDAlquilerDepartamentos[[#This Row],[N° de Dorm.]]&gt; 3,BDAlquilerDepartamentos[[#This Row],[Prec. Soles]]&lt;= 2500),"Buena Oferta", "Precio Estadar")</f>
        <v>Precio Estadar</v>
      </c>
      <c r="Q147" t="s">
        <v>1101</v>
      </c>
      <c r="R147" t="s">
        <v>1102</v>
      </c>
      <c r="S147" s="11">
        <v>45378</v>
      </c>
      <c r="T147" t="s">
        <v>2876</v>
      </c>
      <c r="U147" t="s">
        <v>1334</v>
      </c>
    </row>
    <row r="148" spans="2:21" x14ac:dyDescent="0.3">
      <c r="B148" t="s">
        <v>1335</v>
      </c>
      <c r="C148" t="s">
        <v>2491</v>
      </c>
      <c r="D148" t="s">
        <v>2580</v>
      </c>
      <c r="E148" t="s">
        <v>2580</v>
      </c>
      <c r="F148" t="s">
        <v>2580</v>
      </c>
      <c r="G148" s="8">
        <v>1000</v>
      </c>
      <c r="H148" s="8">
        <f>+IF(BDAlquilerDepartamentos[[#This Row],[Ciudad]]="Lima",BDAlquilerDepartamentos[[#This Row],[Prec. Soles]]*0.1,BDAlquilerDepartamentos[[#This Row],[Prec. Soles]]*0.05)</f>
        <v>100</v>
      </c>
      <c r="I148" s="4">
        <v>2</v>
      </c>
      <c r="J148" s="4">
        <v>1</v>
      </c>
      <c r="K148" s="4" t="s">
        <v>3095</v>
      </c>
      <c r="L148" s="4" t="s">
        <v>3096</v>
      </c>
      <c r="M148" s="4">
        <v>102</v>
      </c>
      <c r="N148" s="4">
        <v>2013</v>
      </c>
      <c r="O148" s="4" t="str">
        <f>+IF(BDAlquilerDepartamentos[[#This Row],[Prec. Soles]]&gt;2500,"Caro","Economico")</f>
        <v>Economico</v>
      </c>
      <c r="P148" s="4" t="str">
        <f>+IF(AND(BDAlquilerDepartamentos[[#This Row],[N° de Dorm.]]&gt; 3,BDAlquilerDepartamentos[[#This Row],[Prec. Soles]]&lt;= 2500),"Buena Oferta", "Precio Estadar")</f>
        <v>Precio Estadar</v>
      </c>
      <c r="Q148" t="s">
        <v>1101</v>
      </c>
      <c r="R148" t="s">
        <v>1102</v>
      </c>
      <c r="S148" s="11">
        <v>45087</v>
      </c>
      <c r="T148" t="s">
        <v>2876</v>
      </c>
      <c r="U148" t="s">
        <v>1336</v>
      </c>
    </row>
    <row r="149" spans="2:21" x14ac:dyDescent="0.3">
      <c r="B149" t="s">
        <v>1337</v>
      </c>
      <c r="C149" t="s">
        <v>2524</v>
      </c>
      <c r="D149" t="s">
        <v>2463</v>
      </c>
      <c r="E149" t="s">
        <v>2580</v>
      </c>
      <c r="F149" t="s">
        <v>2580</v>
      </c>
      <c r="G149" s="8">
        <v>1500</v>
      </c>
      <c r="H149" s="8">
        <f>+IF(BDAlquilerDepartamentos[[#This Row],[Ciudad]]="Lima",BDAlquilerDepartamentos[[#This Row],[Prec. Soles]]*0.1,BDAlquilerDepartamentos[[#This Row],[Prec. Soles]]*0.05)</f>
        <v>150</v>
      </c>
      <c r="I149" s="4">
        <v>2</v>
      </c>
      <c r="J149" s="4">
        <v>1</v>
      </c>
      <c r="K149" s="4" t="s">
        <v>3096</v>
      </c>
      <c r="L149" s="4" t="s">
        <v>3096</v>
      </c>
      <c r="M149" s="4">
        <v>51</v>
      </c>
      <c r="N149" s="4">
        <v>2019</v>
      </c>
      <c r="O149" s="4" t="str">
        <f>+IF(BDAlquilerDepartamentos[[#This Row],[Prec. Soles]]&gt;2500,"Caro","Economico")</f>
        <v>Economico</v>
      </c>
      <c r="P149" s="4" t="str">
        <f>+IF(AND(BDAlquilerDepartamentos[[#This Row],[N° de Dorm.]]&gt; 3,BDAlquilerDepartamentos[[#This Row],[Prec. Soles]]&lt;= 2500),"Buena Oferta", "Precio Estadar")</f>
        <v>Precio Estadar</v>
      </c>
      <c r="Q149" t="s">
        <v>1101</v>
      </c>
      <c r="R149" t="s">
        <v>1102</v>
      </c>
      <c r="S149" s="11">
        <v>45627</v>
      </c>
      <c r="T149" t="s">
        <v>2876</v>
      </c>
      <c r="U149" t="s">
        <v>1338</v>
      </c>
    </row>
    <row r="150" spans="2:21" x14ac:dyDescent="0.3">
      <c r="B150" t="s">
        <v>1339</v>
      </c>
      <c r="C150" t="s">
        <v>2525</v>
      </c>
      <c r="D150" t="s">
        <v>2485</v>
      </c>
      <c r="E150" t="s">
        <v>2580</v>
      </c>
      <c r="F150" t="s">
        <v>2580</v>
      </c>
      <c r="G150" s="8">
        <v>2100</v>
      </c>
      <c r="H150" s="8">
        <f>+IF(BDAlquilerDepartamentos[[#This Row],[Ciudad]]="Lima",BDAlquilerDepartamentos[[#This Row],[Prec. Soles]]*0.1,BDAlquilerDepartamentos[[#This Row],[Prec. Soles]]*0.05)</f>
        <v>210</v>
      </c>
      <c r="I150" s="4">
        <v>2</v>
      </c>
      <c r="J150" s="4">
        <v>2</v>
      </c>
      <c r="K150" s="4" t="s">
        <v>3095</v>
      </c>
      <c r="L150" s="4" t="s">
        <v>3096</v>
      </c>
      <c r="M150" s="4">
        <v>75</v>
      </c>
      <c r="N150" s="4">
        <v>1997</v>
      </c>
      <c r="O150" s="4" t="str">
        <f>+IF(BDAlquilerDepartamentos[[#This Row],[Prec. Soles]]&gt;2500,"Caro","Economico")</f>
        <v>Economico</v>
      </c>
      <c r="P150" s="4" t="str">
        <f>+IF(AND(BDAlquilerDepartamentos[[#This Row],[N° de Dorm.]]&gt; 3,BDAlquilerDepartamentos[[#This Row],[Prec. Soles]]&lt;= 2500),"Buena Oferta", "Precio Estadar")</f>
        <v>Precio Estadar</v>
      </c>
      <c r="Q150" t="s">
        <v>1101</v>
      </c>
      <c r="R150" t="s">
        <v>1102</v>
      </c>
      <c r="S150" s="11">
        <v>45598</v>
      </c>
      <c r="T150" t="s">
        <v>2876</v>
      </c>
      <c r="U150" t="s">
        <v>1340</v>
      </c>
    </row>
    <row r="151" spans="2:21" x14ac:dyDescent="0.3">
      <c r="B151" t="s">
        <v>1341</v>
      </c>
      <c r="C151" t="s">
        <v>2526</v>
      </c>
      <c r="D151" t="s">
        <v>2527</v>
      </c>
      <c r="E151" t="s">
        <v>2580</v>
      </c>
      <c r="F151" t="s">
        <v>2580</v>
      </c>
      <c r="G151" s="8">
        <v>2100</v>
      </c>
      <c r="H151" s="8">
        <f>+IF(BDAlquilerDepartamentos[[#This Row],[Ciudad]]="Lima",BDAlquilerDepartamentos[[#This Row],[Prec. Soles]]*0.1,BDAlquilerDepartamentos[[#This Row],[Prec. Soles]]*0.05)</f>
        <v>210</v>
      </c>
      <c r="I151" s="4">
        <v>4</v>
      </c>
      <c r="J151" s="4">
        <v>3</v>
      </c>
      <c r="K151" s="4" t="s">
        <v>3095</v>
      </c>
      <c r="L151" s="4" t="s">
        <v>3096</v>
      </c>
      <c r="M151" s="4">
        <v>260</v>
      </c>
      <c r="N151" s="4">
        <v>2018</v>
      </c>
      <c r="O151" s="4" t="str">
        <f>+IF(BDAlquilerDepartamentos[[#This Row],[Prec. Soles]]&gt;2500,"Caro","Economico")</f>
        <v>Economico</v>
      </c>
      <c r="P151" s="4" t="str">
        <f>+IF(AND(BDAlquilerDepartamentos[[#This Row],[N° de Dorm.]]&gt; 3,BDAlquilerDepartamentos[[#This Row],[Prec. Soles]]&lt;= 2500),"Buena Oferta", "Precio Estadar")</f>
        <v>Buena Oferta</v>
      </c>
      <c r="Q151" t="s">
        <v>1101</v>
      </c>
      <c r="R151" t="s">
        <v>1102</v>
      </c>
      <c r="S151" s="11">
        <v>45514</v>
      </c>
      <c r="T151" t="s">
        <v>2876</v>
      </c>
      <c r="U151" t="s">
        <v>1342</v>
      </c>
    </row>
    <row r="152" spans="2:21" x14ac:dyDescent="0.3">
      <c r="B152" t="s">
        <v>1343</v>
      </c>
      <c r="C152" t="s">
        <v>2528</v>
      </c>
      <c r="D152" t="s">
        <v>2432</v>
      </c>
      <c r="E152" t="s">
        <v>2580</v>
      </c>
      <c r="F152" t="s">
        <v>2580</v>
      </c>
      <c r="G152" s="8">
        <v>1000</v>
      </c>
      <c r="H152" s="8">
        <f>+IF(BDAlquilerDepartamentos[[#This Row],[Ciudad]]="Lima",BDAlquilerDepartamentos[[#This Row],[Prec. Soles]]*0.1,BDAlquilerDepartamentos[[#This Row],[Prec. Soles]]*0.05)</f>
        <v>100</v>
      </c>
      <c r="I152" s="4">
        <v>3</v>
      </c>
      <c r="J152" s="4">
        <v>1</v>
      </c>
      <c r="K152" s="4" t="s">
        <v>3096</v>
      </c>
      <c r="L152" s="4" t="s">
        <v>3096</v>
      </c>
      <c r="M152" s="4">
        <v>61</v>
      </c>
      <c r="N152" s="4">
        <v>2022</v>
      </c>
      <c r="O152" s="4" t="str">
        <f>+IF(BDAlquilerDepartamentos[[#This Row],[Prec. Soles]]&gt;2500,"Caro","Economico")</f>
        <v>Economico</v>
      </c>
      <c r="P152" s="4" t="str">
        <f>+IF(AND(BDAlquilerDepartamentos[[#This Row],[N° de Dorm.]]&gt; 3,BDAlquilerDepartamentos[[#This Row],[Prec. Soles]]&lt;= 2500),"Buena Oferta", "Precio Estadar")</f>
        <v>Precio Estadar</v>
      </c>
      <c r="Q152" t="s">
        <v>1101</v>
      </c>
      <c r="R152" t="s">
        <v>1102</v>
      </c>
      <c r="S152" s="11">
        <v>45164</v>
      </c>
      <c r="T152" t="s">
        <v>2876</v>
      </c>
      <c r="U152" t="s">
        <v>1344</v>
      </c>
    </row>
    <row r="153" spans="2:21" x14ac:dyDescent="0.3">
      <c r="B153" t="s">
        <v>1112</v>
      </c>
      <c r="C153" t="s">
        <v>2423</v>
      </c>
      <c r="D153" t="s">
        <v>2580</v>
      </c>
      <c r="E153" t="s">
        <v>2580</v>
      </c>
      <c r="F153" t="s">
        <v>2580</v>
      </c>
      <c r="G153" s="8">
        <v>5550</v>
      </c>
      <c r="H153" s="8">
        <f>+IF(BDAlquilerDepartamentos[[#This Row],[Ciudad]]="Lima",BDAlquilerDepartamentos[[#This Row],[Prec. Soles]]*0.1,BDAlquilerDepartamentos[[#This Row],[Prec. Soles]]*0.05)</f>
        <v>555</v>
      </c>
      <c r="I153" s="4">
        <v>3</v>
      </c>
      <c r="J153" s="4">
        <v>2</v>
      </c>
      <c r="K153" s="4" t="s">
        <v>3096</v>
      </c>
      <c r="L153" s="4" t="s">
        <v>3096</v>
      </c>
      <c r="M153" s="4">
        <v>300</v>
      </c>
      <c r="N153" s="4">
        <v>2008</v>
      </c>
      <c r="O153" s="4" t="str">
        <f>+IF(BDAlquilerDepartamentos[[#This Row],[Prec. Soles]]&gt;2500,"Caro","Economico")</f>
        <v>Caro</v>
      </c>
      <c r="P153" s="4" t="str">
        <f>+IF(AND(BDAlquilerDepartamentos[[#This Row],[N° de Dorm.]]&gt; 3,BDAlquilerDepartamentos[[#This Row],[Prec. Soles]]&lt;= 2500),"Buena Oferta", "Precio Estadar")</f>
        <v>Precio Estadar</v>
      </c>
      <c r="Q153" t="s">
        <v>1113</v>
      </c>
      <c r="R153" t="s">
        <v>1102</v>
      </c>
      <c r="S153" s="11">
        <v>45578</v>
      </c>
      <c r="T153" t="s">
        <v>2826</v>
      </c>
      <c r="U153" t="s">
        <v>1345</v>
      </c>
    </row>
    <row r="154" spans="2:21" x14ac:dyDescent="0.3">
      <c r="B154" t="s">
        <v>1346</v>
      </c>
      <c r="C154" t="s">
        <v>2529</v>
      </c>
      <c r="D154" t="s">
        <v>2580</v>
      </c>
      <c r="E154" t="s">
        <v>2580</v>
      </c>
      <c r="F154" t="s">
        <v>2580</v>
      </c>
      <c r="G154" s="8">
        <v>1200</v>
      </c>
      <c r="H154" s="8">
        <f>+IF(BDAlquilerDepartamentos[[#This Row],[Ciudad]]="Lima",BDAlquilerDepartamentos[[#This Row],[Prec. Soles]]*0.1,BDAlquilerDepartamentos[[#This Row],[Prec. Soles]]*0.05)</f>
        <v>120</v>
      </c>
      <c r="I154" s="4">
        <v>2</v>
      </c>
      <c r="J154" s="4">
        <v>1</v>
      </c>
      <c r="K154" s="4" t="s">
        <v>3096</v>
      </c>
      <c r="L154" s="4" t="s">
        <v>3096</v>
      </c>
      <c r="M154" s="4">
        <v>60</v>
      </c>
      <c r="N154" s="4">
        <v>2018</v>
      </c>
      <c r="O154" s="4" t="str">
        <f>+IF(BDAlquilerDepartamentos[[#This Row],[Prec. Soles]]&gt;2500,"Caro","Economico")</f>
        <v>Economico</v>
      </c>
      <c r="P154" s="4" t="str">
        <f>+IF(AND(BDAlquilerDepartamentos[[#This Row],[N° de Dorm.]]&gt; 3,BDAlquilerDepartamentos[[#This Row],[Prec. Soles]]&lt;= 2500),"Buena Oferta", "Precio Estadar")</f>
        <v>Precio Estadar</v>
      </c>
      <c r="Q154" t="s">
        <v>1101</v>
      </c>
      <c r="R154" t="s">
        <v>1102</v>
      </c>
      <c r="S154" s="11">
        <v>45462</v>
      </c>
      <c r="T154" t="s">
        <v>2886</v>
      </c>
      <c r="U154" t="s">
        <v>1347</v>
      </c>
    </row>
    <row r="155" spans="2:21" x14ac:dyDescent="0.3">
      <c r="B155" t="s">
        <v>3103</v>
      </c>
      <c r="C155" t="s">
        <v>3104</v>
      </c>
      <c r="D155" t="s">
        <v>2432</v>
      </c>
      <c r="E155" t="s">
        <v>2580</v>
      </c>
      <c r="F155" t="s">
        <v>2580</v>
      </c>
      <c r="G155" s="8">
        <v>55</v>
      </c>
      <c r="H155" s="8">
        <f>+IF(BDAlquilerDepartamentos[[#This Row],[Ciudad]]="Lima",BDAlquilerDepartamentos[[#This Row],[Prec. Soles]]*0.1,BDAlquilerDepartamentos[[#This Row],[Prec. Soles]]*0.05)</f>
        <v>5.5</v>
      </c>
      <c r="I155" s="4">
        <v>1</v>
      </c>
      <c r="J155" s="4">
        <v>1</v>
      </c>
      <c r="K155" s="4" t="s">
        <v>3096</v>
      </c>
      <c r="L155" s="4" t="s">
        <v>3095</v>
      </c>
      <c r="M155" s="4">
        <v>40</v>
      </c>
      <c r="N155" s="4">
        <v>2019</v>
      </c>
      <c r="O155" s="4" t="str">
        <f>+IF(BDAlquilerDepartamentos[[#This Row],[Prec. Soles]]&gt;2500,"Caro","Economico")</f>
        <v>Economico</v>
      </c>
      <c r="P155" s="4" t="str">
        <f>+IF(AND(BDAlquilerDepartamentos[[#This Row],[N° de Dorm.]]&gt; 3,BDAlquilerDepartamentos[[#This Row],[Prec. Soles]]&lt;= 2500),"Buena Oferta", "Precio Estadar")</f>
        <v>Precio Estadar</v>
      </c>
      <c r="Q155" t="s">
        <v>1101</v>
      </c>
      <c r="R155" t="s">
        <v>1102</v>
      </c>
      <c r="S155" s="11">
        <v>45596</v>
      </c>
      <c r="T155" t="s">
        <v>2876</v>
      </c>
      <c r="U155" t="s">
        <v>1348</v>
      </c>
    </row>
    <row r="156" spans="2:21" x14ac:dyDescent="0.3">
      <c r="B156" t="s">
        <v>1195</v>
      </c>
      <c r="C156" t="s">
        <v>2468</v>
      </c>
      <c r="D156" t="s">
        <v>2428</v>
      </c>
      <c r="E156" t="s">
        <v>2580</v>
      </c>
      <c r="F156" t="s">
        <v>2580</v>
      </c>
      <c r="G156" s="8">
        <v>10360</v>
      </c>
      <c r="H156" s="8">
        <f>+IF(BDAlquilerDepartamentos[[#This Row],[Ciudad]]="Lima",BDAlquilerDepartamentos[[#This Row],[Prec. Soles]]*0.1,BDAlquilerDepartamentos[[#This Row],[Prec. Soles]]*0.05)</f>
        <v>1036</v>
      </c>
      <c r="I156" s="4">
        <v>3</v>
      </c>
      <c r="J156" s="4">
        <v>3</v>
      </c>
      <c r="K156" s="4" t="s">
        <v>3096</v>
      </c>
      <c r="L156" s="4" t="s">
        <v>3095</v>
      </c>
      <c r="M156" s="4">
        <v>240</v>
      </c>
      <c r="N156" s="4">
        <v>2019</v>
      </c>
      <c r="O156" s="4" t="str">
        <f>+IF(BDAlquilerDepartamentos[[#This Row],[Prec. Soles]]&gt;2500,"Caro","Economico")</f>
        <v>Caro</v>
      </c>
      <c r="P156" s="4" t="str">
        <f>+IF(AND(BDAlquilerDepartamentos[[#This Row],[N° de Dorm.]]&gt; 3,BDAlquilerDepartamentos[[#This Row],[Prec. Soles]]&lt;= 2500),"Buena Oferta", "Precio Estadar")</f>
        <v>Precio Estadar</v>
      </c>
      <c r="Q156" t="s">
        <v>1101</v>
      </c>
      <c r="R156" t="s">
        <v>1102</v>
      </c>
      <c r="S156" s="11">
        <v>45054</v>
      </c>
      <c r="T156" t="s">
        <v>2844</v>
      </c>
      <c r="U156" t="s">
        <v>1349</v>
      </c>
    </row>
    <row r="157" spans="2:21" x14ac:dyDescent="0.3">
      <c r="B157" t="s">
        <v>1350</v>
      </c>
      <c r="C157" t="s">
        <v>2530</v>
      </c>
      <c r="D157" t="s">
        <v>2580</v>
      </c>
      <c r="E157" t="s">
        <v>2580</v>
      </c>
      <c r="F157" t="s">
        <v>2580</v>
      </c>
      <c r="G157" s="8">
        <v>2400</v>
      </c>
      <c r="H157" s="8">
        <f>+IF(BDAlquilerDepartamentos[[#This Row],[Ciudad]]="Lima",BDAlquilerDepartamentos[[#This Row],[Prec. Soles]]*0.1,BDAlquilerDepartamentos[[#This Row],[Prec. Soles]]*0.05)</f>
        <v>240</v>
      </c>
      <c r="I157" s="4">
        <v>4</v>
      </c>
      <c r="J157" s="4">
        <v>3</v>
      </c>
      <c r="K157" s="4" t="s">
        <v>3096</v>
      </c>
      <c r="L157" s="4" t="s">
        <v>3096</v>
      </c>
      <c r="M157" s="4">
        <v>130</v>
      </c>
      <c r="N157" s="4">
        <v>2018</v>
      </c>
      <c r="O157" s="4" t="str">
        <f>+IF(BDAlquilerDepartamentos[[#This Row],[Prec. Soles]]&gt;2500,"Caro","Economico")</f>
        <v>Economico</v>
      </c>
      <c r="P157" s="4" t="str">
        <f>+IF(AND(BDAlquilerDepartamentos[[#This Row],[N° de Dorm.]]&gt; 3,BDAlquilerDepartamentos[[#This Row],[Prec. Soles]]&lt;= 2500),"Buena Oferta", "Precio Estadar")</f>
        <v>Buena Oferta</v>
      </c>
      <c r="Q157" t="s">
        <v>1101</v>
      </c>
      <c r="R157" t="s">
        <v>1102</v>
      </c>
      <c r="S157" s="11">
        <v>45486</v>
      </c>
      <c r="T157" t="s">
        <v>2851</v>
      </c>
      <c r="U157" t="s">
        <v>1351</v>
      </c>
    </row>
    <row r="158" spans="2:21" x14ac:dyDescent="0.3">
      <c r="B158" t="s">
        <v>1110</v>
      </c>
      <c r="C158" t="s">
        <v>2421</v>
      </c>
      <c r="D158" t="s">
        <v>2444</v>
      </c>
      <c r="E158" t="s">
        <v>2580</v>
      </c>
      <c r="F158" t="s">
        <v>2580</v>
      </c>
      <c r="G158" s="8">
        <v>5550</v>
      </c>
      <c r="H158" s="8">
        <f>+IF(BDAlquilerDepartamentos[[#This Row],[Ciudad]]="Lima",BDAlquilerDepartamentos[[#This Row],[Prec. Soles]]*0.1,BDAlquilerDepartamentos[[#This Row],[Prec. Soles]]*0.05)</f>
        <v>555</v>
      </c>
      <c r="I158" s="4">
        <v>3</v>
      </c>
      <c r="J158" s="4">
        <v>3</v>
      </c>
      <c r="K158" s="4" t="s">
        <v>3096</v>
      </c>
      <c r="L158" s="4" t="s">
        <v>3095</v>
      </c>
      <c r="M158" s="4">
        <v>140</v>
      </c>
      <c r="N158" s="4">
        <v>2014</v>
      </c>
      <c r="O158" s="4" t="str">
        <f>+IF(BDAlquilerDepartamentos[[#This Row],[Prec. Soles]]&gt;2500,"Caro","Economico")</f>
        <v>Caro</v>
      </c>
      <c r="P158" s="4" t="str">
        <f>+IF(AND(BDAlquilerDepartamentos[[#This Row],[N° de Dorm.]]&gt; 3,BDAlquilerDepartamentos[[#This Row],[Prec. Soles]]&lt;= 2500),"Buena Oferta", "Precio Estadar")</f>
        <v>Precio Estadar</v>
      </c>
      <c r="Q158" t="s">
        <v>1101</v>
      </c>
      <c r="R158" t="s">
        <v>1102</v>
      </c>
      <c r="S158" s="11">
        <v>45097</v>
      </c>
      <c r="T158" t="s">
        <v>2876</v>
      </c>
      <c r="U158" t="s">
        <v>1352</v>
      </c>
    </row>
    <row r="159" spans="2:21" x14ac:dyDescent="0.3">
      <c r="B159" t="s">
        <v>1353</v>
      </c>
      <c r="C159" t="s">
        <v>2531</v>
      </c>
      <c r="D159" t="s">
        <v>2532</v>
      </c>
      <c r="E159" t="s">
        <v>2580</v>
      </c>
      <c r="F159" t="s">
        <v>2580</v>
      </c>
      <c r="G159" s="8">
        <v>4000</v>
      </c>
      <c r="H159" s="8">
        <f>+IF(BDAlquilerDepartamentos[[#This Row],[Ciudad]]="Lima",BDAlquilerDepartamentos[[#This Row],[Prec. Soles]]*0.1,BDAlquilerDepartamentos[[#This Row],[Prec. Soles]]*0.05)</f>
        <v>400</v>
      </c>
      <c r="I159" s="4">
        <v>7</v>
      </c>
      <c r="J159" s="4">
        <v>2</v>
      </c>
      <c r="K159" s="4" t="s">
        <v>3096</v>
      </c>
      <c r="L159" s="4" t="s">
        <v>3096</v>
      </c>
      <c r="M159" s="4">
        <v>212</v>
      </c>
      <c r="N159" s="4">
        <v>1999</v>
      </c>
      <c r="O159" s="4" t="str">
        <f>+IF(BDAlquilerDepartamentos[[#This Row],[Prec. Soles]]&gt;2500,"Caro","Economico")</f>
        <v>Caro</v>
      </c>
      <c r="P159" s="4" t="str">
        <f>+IF(AND(BDAlquilerDepartamentos[[#This Row],[N° de Dorm.]]&gt; 3,BDAlquilerDepartamentos[[#This Row],[Prec. Soles]]&lt;= 2500),"Buena Oferta", "Precio Estadar")</f>
        <v>Precio Estadar</v>
      </c>
      <c r="Q159" t="s">
        <v>1113</v>
      </c>
      <c r="R159" t="s">
        <v>1102</v>
      </c>
      <c r="S159" s="11">
        <v>45549</v>
      </c>
      <c r="T159" t="s">
        <v>2876</v>
      </c>
      <c r="U159" t="s">
        <v>1354</v>
      </c>
    </row>
    <row r="160" spans="2:21" x14ac:dyDescent="0.3">
      <c r="B160" t="s">
        <v>1154</v>
      </c>
      <c r="C160" t="s">
        <v>2448</v>
      </c>
      <c r="D160" t="s">
        <v>2804</v>
      </c>
      <c r="E160" t="s">
        <v>2580</v>
      </c>
      <c r="F160" t="s">
        <v>2580</v>
      </c>
      <c r="G160" s="8">
        <v>3000</v>
      </c>
      <c r="H160" s="8">
        <f>+IF(BDAlquilerDepartamentos[[#This Row],[Ciudad]]="Lima",BDAlquilerDepartamentos[[#This Row],[Prec. Soles]]*0.1,BDAlquilerDepartamentos[[#This Row],[Prec. Soles]]*0.05)</f>
        <v>300</v>
      </c>
      <c r="I160" s="4">
        <v>3</v>
      </c>
      <c r="J160" s="4">
        <v>2</v>
      </c>
      <c r="K160" s="4" t="s">
        <v>3095</v>
      </c>
      <c r="L160" s="4" t="s">
        <v>3095</v>
      </c>
      <c r="M160" s="4">
        <v>78</v>
      </c>
      <c r="N160" s="4">
        <v>2022</v>
      </c>
      <c r="O160" s="4" t="str">
        <f>+IF(BDAlquilerDepartamentos[[#This Row],[Prec. Soles]]&gt;2500,"Caro","Economico")</f>
        <v>Caro</v>
      </c>
      <c r="P160" s="4" t="str">
        <f>+IF(AND(BDAlquilerDepartamentos[[#This Row],[N° de Dorm.]]&gt; 3,BDAlquilerDepartamentos[[#This Row],[Prec. Soles]]&lt;= 2500),"Buena Oferta", "Precio Estadar")</f>
        <v>Precio Estadar</v>
      </c>
      <c r="Q160" t="s">
        <v>1101</v>
      </c>
      <c r="R160" t="s">
        <v>1102</v>
      </c>
      <c r="S160" s="11">
        <v>45142</v>
      </c>
      <c r="T160" t="s">
        <v>2821</v>
      </c>
      <c r="U160" t="s">
        <v>1355</v>
      </c>
    </row>
    <row r="161" spans="2:21" x14ac:dyDescent="0.3">
      <c r="B161" t="s">
        <v>1100</v>
      </c>
      <c r="C161" t="s">
        <v>2415</v>
      </c>
      <c r="D161" t="s">
        <v>2436</v>
      </c>
      <c r="E161" t="s">
        <v>2580</v>
      </c>
      <c r="F161" t="s">
        <v>2580</v>
      </c>
      <c r="G161" s="8">
        <v>4810</v>
      </c>
      <c r="H161" s="8">
        <f>+IF(BDAlquilerDepartamentos[[#This Row],[Ciudad]]="Lima",BDAlquilerDepartamentos[[#This Row],[Prec. Soles]]*0.1,BDAlquilerDepartamentos[[#This Row],[Prec. Soles]]*0.05)</f>
        <v>481</v>
      </c>
      <c r="I161" s="4">
        <v>3</v>
      </c>
      <c r="J161" s="4">
        <v>3</v>
      </c>
      <c r="K161" s="4" t="s">
        <v>3096</v>
      </c>
      <c r="L161" s="4" t="s">
        <v>3095</v>
      </c>
      <c r="M161" s="4">
        <v>130</v>
      </c>
      <c r="N161" s="4">
        <v>2020</v>
      </c>
      <c r="O161" s="4" t="str">
        <f>+IF(BDAlquilerDepartamentos[[#This Row],[Prec. Soles]]&gt;2500,"Caro","Economico")</f>
        <v>Caro</v>
      </c>
      <c r="P161" s="4" t="str">
        <f>+IF(AND(BDAlquilerDepartamentos[[#This Row],[N° de Dorm.]]&gt; 3,BDAlquilerDepartamentos[[#This Row],[Prec. Soles]]&lt;= 2500),"Buena Oferta", "Precio Estadar")</f>
        <v>Precio Estadar</v>
      </c>
      <c r="Q161" t="s">
        <v>1101</v>
      </c>
      <c r="R161" t="s">
        <v>1102</v>
      </c>
      <c r="S161" s="11">
        <v>45641</v>
      </c>
      <c r="T161" t="s">
        <v>2887</v>
      </c>
      <c r="U161" t="s">
        <v>1356</v>
      </c>
    </row>
    <row r="162" spans="2:21" x14ac:dyDescent="0.3">
      <c r="B162" t="s">
        <v>1357</v>
      </c>
      <c r="C162" t="s">
        <v>2533</v>
      </c>
      <c r="D162" t="s">
        <v>2463</v>
      </c>
      <c r="E162" t="s">
        <v>2580</v>
      </c>
      <c r="F162" t="s">
        <v>2580</v>
      </c>
      <c r="G162" s="8">
        <v>8</v>
      </c>
      <c r="H162" s="8">
        <f>+IF(BDAlquilerDepartamentos[[#This Row],[Ciudad]]="Lima",BDAlquilerDepartamentos[[#This Row],[Prec. Soles]]*0.1,BDAlquilerDepartamentos[[#This Row],[Prec. Soles]]*0.05)</f>
        <v>0.8</v>
      </c>
      <c r="I162" s="4">
        <v>1</v>
      </c>
      <c r="J162" s="4">
        <v>1</v>
      </c>
      <c r="K162" s="4" t="s">
        <v>3096</v>
      </c>
      <c r="L162" s="4" t="s">
        <v>3095</v>
      </c>
      <c r="M162" s="4">
        <v>20</v>
      </c>
      <c r="N162" s="4">
        <v>2023</v>
      </c>
      <c r="O162" s="4" t="str">
        <f>+IF(BDAlquilerDepartamentos[[#This Row],[Prec. Soles]]&gt;2500,"Caro","Economico")</f>
        <v>Economico</v>
      </c>
      <c r="P162" s="4" t="str">
        <f>+IF(AND(BDAlquilerDepartamentos[[#This Row],[N° de Dorm.]]&gt; 3,BDAlquilerDepartamentos[[#This Row],[Prec. Soles]]&lt;= 2500),"Buena Oferta", "Precio Estadar")</f>
        <v>Precio Estadar</v>
      </c>
      <c r="Q162" t="s">
        <v>1115</v>
      </c>
      <c r="R162" t="s">
        <v>1102</v>
      </c>
      <c r="S162" s="11">
        <v>45048</v>
      </c>
      <c r="T162" t="s">
        <v>2876</v>
      </c>
      <c r="U162" t="s">
        <v>1358</v>
      </c>
    </row>
    <row r="163" spans="2:21" x14ac:dyDescent="0.3">
      <c r="B163" t="s">
        <v>1357</v>
      </c>
      <c r="C163" t="s">
        <v>2533</v>
      </c>
      <c r="D163" t="s">
        <v>2463</v>
      </c>
      <c r="E163" t="s">
        <v>2580</v>
      </c>
      <c r="F163" t="s">
        <v>2580</v>
      </c>
      <c r="G163" s="8">
        <v>5</v>
      </c>
      <c r="H163" s="8">
        <f>+IF(BDAlquilerDepartamentos[[#This Row],[Ciudad]]="Lima",BDAlquilerDepartamentos[[#This Row],[Prec. Soles]]*0.1,BDAlquilerDepartamentos[[#This Row],[Prec. Soles]]*0.05)</f>
        <v>0.5</v>
      </c>
      <c r="I163" s="4">
        <v>1</v>
      </c>
      <c r="J163" s="4">
        <v>1</v>
      </c>
      <c r="K163" s="4" t="s">
        <v>3095</v>
      </c>
      <c r="L163" s="4" t="s">
        <v>3095</v>
      </c>
      <c r="M163" s="4">
        <v>8</v>
      </c>
      <c r="N163" s="4">
        <v>2023</v>
      </c>
      <c r="O163" s="4" t="str">
        <f>+IF(BDAlquilerDepartamentos[[#This Row],[Prec. Soles]]&gt;2500,"Caro","Economico")</f>
        <v>Economico</v>
      </c>
      <c r="P163" s="4" t="str">
        <f>+IF(AND(BDAlquilerDepartamentos[[#This Row],[N° de Dorm.]]&gt; 3,BDAlquilerDepartamentos[[#This Row],[Prec. Soles]]&lt;= 2500),"Buena Oferta", "Precio Estadar")</f>
        <v>Precio Estadar</v>
      </c>
      <c r="Q163" t="s">
        <v>1115</v>
      </c>
      <c r="R163" t="s">
        <v>1102</v>
      </c>
      <c r="S163" s="11">
        <v>45282</v>
      </c>
      <c r="T163" t="s">
        <v>2876</v>
      </c>
      <c r="U163" t="s">
        <v>1359</v>
      </c>
    </row>
    <row r="164" spans="2:21" x14ac:dyDescent="0.3">
      <c r="B164" t="s">
        <v>1357</v>
      </c>
      <c r="C164" t="s">
        <v>2533</v>
      </c>
      <c r="D164" t="s">
        <v>2463</v>
      </c>
      <c r="E164" t="s">
        <v>2580</v>
      </c>
      <c r="F164" t="s">
        <v>2580</v>
      </c>
      <c r="G164" s="8">
        <v>6</v>
      </c>
      <c r="H164" s="8">
        <f>+IF(BDAlquilerDepartamentos[[#This Row],[Ciudad]]="Lima",BDAlquilerDepartamentos[[#This Row],[Prec. Soles]]*0.1,BDAlquilerDepartamentos[[#This Row],[Prec. Soles]]*0.05)</f>
        <v>0.60000000000000009</v>
      </c>
      <c r="I164" s="4">
        <v>1</v>
      </c>
      <c r="J164" s="4">
        <v>1</v>
      </c>
      <c r="K164" s="4" t="s">
        <v>3096</v>
      </c>
      <c r="L164" s="4" t="s">
        <v>3095</v>
      </c>
      <c r="M164" s="4">
        <v>18</v>
      </c>
      <c r="N164" s="4">
        <v>2023</v>
      </c>
      <c r="O164" s="4" t="str">
        <f>+IF(BDAlquilerDepartamentos[[#This Row],[Prec. Soles]]&gt;2500,"Caro","Economico")</f>
        <v>Economico</v>
      </c>
      <c r="P164" s="4" t="str">
        <f>+IF(AND(BDAlquilerDepartamentos[[#This Row],[N° de Dorm.]]&gt; 3,BDAlquilerDepartamentos[[#This Row],[Prec. Soles]]&lt;= 2500),"Buena Oferta", "Precio Estadar")</f>
        <v>Precio Estadar</v>
      </c>
      <c r="Q164" t="s">
        <v>1115</v>
      </c>
      <c r="R164" t="s">
        <v>1102</v>
      </c>
      <c r="S164" s="11">
        <v>45485</v>
      </c>
      <c r="T164" t="s">
        <v>2876</v>
      </c>
      <c r="U164" t="s">
        <v>1360</v>
      </c>
    </row>
    <row r="165" spans="2:21" x14ac:dyDescent="0.3">
      <c r="B165" t="s">
        <v>1361</v>
      </c>
      <c r="C165" t="s">
        <v>2498</v>
      </c>
      <c r="D165" t="s">
        <v>2499</v>
      </c>
      <c r="E165" t="s">
        <v>2580</v>
      </c>
      <c r="F165" t="s">
        <v>2580</v>
      </c>
      <c r="G165" s="8">
        <v>3885</v>
      </c>
      <c r="H165" s="8">
        <f>+IF(BDAlquilerDepartamentos[[#This Row],[Ciudad]]="Lima",BDAlquilerDepartamentos[[#This Row],[Prec. Soles]]*0.1,BDAlquilerDepartamentos[[#This Row],[Prec. Soles]]*0.05)</f>
        <v>388.5</v>
      </c>
      <c r="I165" s="4">
        <v>4</v>
      </c>
      <c r="J165" s="4">
        <v>3</v>
      </c>
      <c r="K165" s="4" t="s">
        <v>3095</v>
      </c>
      <c r="L165" s="4" t="s">
        <v>3096</v>
      </c>
      <c r="M165" s="4">
        <v>124</v>
      </c>
      <c r="N165" s="4">
        <v>2013</v>
      </c>
      <c r="O165" s="4" t="str">
        <f>+IF(BDAlquilerDepartamentos[[#This Row],[Prec. Soles]]&gt;2500,"Caro","Economico")</f>
        <v>Caro</v>
      </c>
      <c r="P165" s="4" t="str">
        <f>+IF(AND(BDAlquilerDepartamentos[[#This Row],[N° de Dorm.]]&gt; 3,BDAlquilerDepartamentos[[#This Row],[Prec. Soles]]&lt;= 2500),"Buena Oferta", "Precio Estadar")</f>
        <v>Precio Estadar</v>
      </c>
      <c r="Q165" t="s">
        <v>1101</v>
      </c>
      <c r="R165" t="s">
        <v>1102</v>
      </c>
      <c r="S165" s="11">
        <v>45019</v>
      </c>
      <c r="T165" t="s">
        <v>2876</v>
      </c>
      <c r="U165" t="s">
        <v>1362</v>
      </c>
    </row>
    <row r="166" spans="2:21" x14ac:dyDescent="0.3">
      <c r="B166" t="s">
        <v>1363</v>
      </c>
      <c r="C166" t="s">
        <v>2534</v>
      </c>
      <c r="D166" t="s">
        <v>2799</v>
      </c>
      <c r="E166" t="s">
        <v>2580</v>
      </c>
      <c r="F166" t="s">
        <v>2580</v>
      </c>
      <c r="G166" s="8">
        <v>1000</v>
      </c>
      <c r="H166" s="8">
        <f>+IF(BDAlquilerDepartamentos[[#This Row],[Ciudad]]="Lima",BDAlquilerDepartamentos[[#This Row],[Prec. Soles]]*0.1,BDAlquilerDepartamentos[[#This Row],[Prec. Soles]]*0.05)</f>
        <v>100</v>
      </c>
      <c r="I166" s="4">
        <v>3</v>
      </c>
      <c r="J166" s="4">
        <v>2</v>
      </c>
      <c r="K166" s="4" t="s">
        <v>3096</v>
      </c>
      <c r="L166" s="4" t="s">
        <v>3095</v>
      </c>
      <c r="M166" s="4">
        <v>60</v>
      </c>
      <c r="N166" s="4">
        <v>2019</v>
      </c>
      <c r="O166" s="4" t="str">
        <f>+IF(BDAlquilerDepartamentos[[#This Row],[Prec. Soles]]&gt;2500,"Caro","Economico")</f>
        <v>Economico</v>
      </c>
      <c r="P166" s="4" t="str">
        <f>+IF(AND(BDAlquilerDepartamentos[[#This Row],[N° de Dorm.]]&gt; 3,BDAlquilerDepartamentos[[#This Row],[Prec. Soles]]&lt;= 2500),"Buena Oferta", "Precio Estadar")</f>
        <v>Precio Estadar</v>
      </c>
      <c r="Q166" t="s">
        <v>1101</v>
      </c>
      <c r="R166" t="s">
        <v>1102</v>
      </c>
      <c r="S166" s="11">
        <v>45580</v>
      </c>
      <c r="T166" t="s">
        <v>2876</v>
      </c>
      <c r="U166" t="s">
        <v>1364</v>
      </c>
    </row>
    <row r="167" spans="2:21" x14ac:dyDescent="0.3">
      <c r="B167" t="s">
        <v>1357</v>
      </c>
      <c r="C167" t="s">
        <v>2533</v>
      </c>
      <c r="D167" t="s">
        <v>2463</v>
      </c>
      <c r="E167" t="s">
        <v>2580</v>
      </c>
      <c r="F167" t="s">
        <v>2580</v>
      </c>
      <c r="G167" s="8">
        <v>55</v>
      </c>
      <c r="H167" s="8">
        <f>+IF(BDAlquilerDepartamentos[[#This Row],[Ciudad]]="Lima",BDAlquilerDepartamentos[[#This Row],[Prec. Soles]]*0.1,BDAlquilerDepartamentos[[#This Row],[Prec. Soles]]*0.05)</f>
        <v>5.5</v>
      </c>
      <c r="I167" s="4">
        <v>1</v>
      </c>
      <c r="J167" s="4">
        <v>1</v>
      </c>
      <c r="K167" s="4" t="s">
        <v>3096</v>
      </c>
      <c r="L167" s="4" t="s">
        <v>3096</v>
      </c>
      <c r="M167" s="4">
        <v>15</v>
      </c>
      <c r="N167" s="4">
        <v>2023</v>
      </c>
      <c r="O167" s="4" t="str">
        <f>+IF(BDAlquilerDepartamentos[[#This Row],[Prec. Soles]]&gt;2500,"Caro","Economico")</f>
        <v>Economico</v>
      </c>
      <c r="P167" s="4" t="str">
        <f>+IF(AND(BDAlquilerDepartamentos[[#This Row],[N° de Dorm.]]&gt; 3,BDAlquilerDepartamentos[[#This Row],[Prec. Soles]]&lt;= 2500),"Buena Oferta", "Precio Estadar")</f>
        <v>Precio Estadar</v>
      </c>
      <c r="Q167" t="s">
        <v>1115</v>
      </c>
      <c r="R167" t="s">
        <v>1102</v>
      </c>
      <c r="S167" s="11">
        <v>45196</v>
      </c>
      <c r="T167" t="s">
        <v>2876</v>
      </c>
      <c r="U167" t="s">
        <v>1365</v>
      </c>
    </row>
    <row r="168" spans="2:21" x14ac:dyDescent="0.3">
      <c r="B168" t="s">
        <v>1220</v>
      </c>
      <c r="C168" t="s">
        <v>2479</v>
      </c>
      <c r="D168" t="s">
        <v>2480</v>
      </c>
      <c r="E168" t="s">
        <v>2580</v>
      </c>
      <c r="F168" t="s">
        <v>2580</v>
      </c>
      <c r="G168" s="8">
        <v>7</v>
      </c>
      <c r="H168" s="8">
        <f>+IF(BDAlquilerDepartamentos[[#This Row],[Ciudad]]="Lima",BDAlquilerDepartamentos[[#This Row],[Prec. Soles]]*0.1,BDAlquilerDepartamentos[[#This Row],[Prec. Soles]]*0.05)</f>
        <v>0.70000000000000007</v>
      </c>
      <c r="I168" s="4">
        <v>3</v>
      </c>
      <c r="J168" s="4">
        <v>1</v>
      </c>
      <c r="K168" s="4" t="s">
        <v>3096</v>
      </c>
      <c r="L168" s="4" t="s">
        <v>3096</v>
      </c>
      <c r="M168" s="4">
        <v>58</v>
      </c>
      <c r="N168" s="4">
        <v>2021</v>
      </c>
      <c r="O168" s="4" t="str">
        <f>+IF(BDAlquilerDepartamentos[[#This Row],[Prec. Soles]]&gt;2500,"Caro","Economico")</f>
        <v>Economico</v>
      </c>
      <c r="P168" s="4" t="str">
        <f>+IF(AND(BDAlquilerDepartamentos[[#This Row],[N° de Dorm.]]&gt; 3,BDAlquilerDepartamentos[[#This Row],[Prec. Soles]]&lt;= 2500),"Buena Oferta", "Precio Estadar")</f>
        <v>Precio Estadar</v>
      </c>
      <c r="Q168" t="s">
        <v>1101</v>
      </c>
      <c r="R168" t="s">
        <v>1102</v>
      </c>
      <c r="S168" s="11">
        <v>45180</v>
      </c>
      <c r="T168" t="s">
        <v>2876</v>
      </c>
      <c r="U168" t="s">
        <v>1366</v>
      </c>
    </row>
    <row r="169" spans="2:21" x14ac:dyDescent="0.3">
      <c r="B169" t="s">
        <v>1357</v>
      </c>
      <c r="C169" t="s">
        <v>2533</v>
      </c>
      <c r="D169" t="s">
        <v>2463</v>
      </c>
      <c r="E169" t="s">
        <v>2580</v>
      </c>
      <c r="F169" t="s">
        <v>2580</v>
      </c>
      <c r="G169" s="8">
        <v>8</v>
      </c>
      <c r="H169" s="8">
        <f>+IF(BDAlquilerDepartamentos[[#This Row],[Ciudad]]="Lima",BDAlquilerDepartamentos[[#This Row],[Prec. Soles]]*0.1,BDAlquilerDepartamentos[[#This Row],[Prec. Soles]]*0.05)</f>
        <v>0.8</v>
      </c>
      <c r="I169" s="4">
        <v>1</v>
      </c>
      <c r="J169" s="4">
        <v>1</v>
      </c>
      <c r="K169" s="4" t="s">
        <v>3096</v>
      </c>
      <c r="L169" s="4" t="s">
        <v>3095</v>
      </c>
      <c r="M169" s="4">
        <v>24</v>
      </c>
      <c r="N169" s="4">
        <v>2023</v>
      </c>
      <c r="O169" s="4" t="str">
        <f>+IF(BDAlquilerDepartamentos[[#This Row],[Prec. Soles]]&gt;2500,"Caro","Economico")</f>
        <v>Economico</v>
      </c>
      <c r="P169" s="4" t="str">
        <f>+IF(AND(BDAlquilerDepartamentos[[#This Row],[N° de Dorm.]]&gt; 3,BDAlquilerDepartamentos[[#This Row],[Prec. Soles]]&lt;= 2500),"Buena Oferta", "Precio Estadar")</f>
        <v>Precio Estadar</v>
      </c>
      <c r="Q169" t="s">
        <v>1115</v>
      </c>
      <c r="R169" t="s">
        <v>1102</v>
      </c>
      <c r="S169" s="11">
        <v>45174</v>
      </c>
      <c r="T169" t="s">
        <v>2876</v>
      </c>
      <c r="U169" t="s">
        <v>1367</v>
      </c>
    </row>
    <row r="170" spans="2:21" x14ac:dyDescent="0.3">
      <c r="B170" t="s">
        <v>1335</v>
      </c>
      <c r="C170" t="s">
        <v>2491</v>
      </c>
      <c r="D170" t="s">
        <v>2580</v>
      </c>
      <c r="E170" t="s">
        <v>2580</v>
      </c>
      <c r="F170" t="s">
        <v>2580</v>
      </c>
      <c r="G170" s="8">
        <v>75</v>
      </c>
      <c r="H170" s="8">
        <f>+IF(BDAlquilerDepartamentos[[#This Row],[Ciudad]]="Lima",BDAlquilerDepartamentos[[#This Row],[Prec. Soles]]*0.1,BDAlquilerDepartamentos[[#This Row],[Prec. Soles]]*0.05)</f>
        <v>7.5</v>
      </c>
      <c r="I170" s="4">
        <v>3</v>
      </c>
      <c r="J170" s="4">
        <v>2</v>
      </c>
      <c r="K170" s="4" t="s">
        <v>3096</v>
      </c>
      <c r="L170" s="4" t="s">
        <v>3095</v>
      </c>
      <c r="M170" s="4">
        <v>70</v>
      </c>
      <c r="N170" s="4">
        <v>2022</v>
      </c>
      <c r="O170" s="4" t="str">
        <f>+IF(BDAlquilerDepartamentos[[#This Row],[Prec. Soles]]&gt;2500,"Caro","Economico")</f>
        <v>Economico</v>
      </c>
      <c r="P170" s="4" t="str">
        <f>+IF(AND(BDAlquilerDepartamentos[[#This Row],[N° de Dorm.]]&gt; 3,BDAlquilerDepartamentos[[#This Row],[Prec. Soles]]&lt;= 2500),"Buena Oferta", "Precio Estadar")</f>
        <v>Precio Estadar</v>
      </c>
      <c r="Q170" t="s">
        <v>1101</v>
      </c>
      <c r="R170" t="s">
        <v>1102</v>
      </c>
      <c r="S170" s="11">
        <v>45438</v>
      </c>
      <c r="T170" t="s">
        <v>2876</v>
      </c>
      <c r="U170" t="s">
        <v>1368</v>
      </c>
    </row>
    <row r="171" spans="2:21" x14ac:dyDescent="0.3">
      <c r="B171" t="s">
        <v>1335</v>
      </c>
      <c r="C171" t="s">
        <v>2491</v>
      </c>
      <c r="D171" t="s">
        <v>2580</v>
      </c>
      <c r="E171" t="s">
        <v>2580</v>
      </c>
      <c r="F171" t="s">
        <v>2580</v>
      </c>
      <c r="G171" s="8">
        <v>6</v>
      </c>
      <c r="H171" s="8">
        <f>+IF(BDAlquilerDepartamentos[[#This Row],[Ciudad]]="Lima",BDAlquilerDepartamentos[[#This Row],[Prec. Soles]]*0.1,BDAlquilerDepartamentos[[#This Row],[Prec. Soles]]*0.05)</f>
        <v>0.60000000000000009</v>
      </c>
      <c r="I171" s="4">
        <v>2</v>
      </c>
      <c r="J171" s="4">
        <v>1</v>
      </c>
      <c r="K171" s="4" t="s">
        <v>3095</v>
      </c>
      <c r="L171" s="4" t="s">
        <v>3096</v>
      </c>
      <c r="M171" s="4">
        <v>65</v>
      </c>
      <c r="N171" s="4">
        <v>2022</v>
      </c>
      <c r="O171" s="4" t="str">
        <f>+IF(BDAlquilerDepartamentos[[#This Row],[Prec. Soles]]&gt;2500,"Caro","Economico")</f>
        <v>Economico</v>
      </c>
      <c r="P171" s="4" t="str">
        <f>+IF(AND(BDAlquilerDepartamentos[[#This Row],[N° de Dorm.]]&gt; 3,BDAlquilerDepartamentos[[#This Row],[Prec. Soles]]&lt;= 2500),"Buena Oferta", "Precio Estadar")</f>
        <v>Precio Estadar</v>
      </c>
      <c r="Q171" t="s">
        <v>1101</v>
      </c>
      <c r="R171" t="s">
        <v>1102</v>
      </c>
      <c r="S171" s="11">
        <v>45483</v>
      </c>
      <c r="T171" t="s">
        <v>2876</v>
      </c>
      <c r="U171" t="s">
        <v>1369</v>
      </c>
    </row>
    <row r="172" spans="2:21" x14ac:dyDescent="0.3">
      <c r="B172" t="s">
        <v>1370</v>
      </c>
      <c r="C172" t="s">
        <v>2419</v>
      </c>
      <c r="D172" t="s">
        <v>2420</v>
      </c>
      <c r="E172" t="s">
        <v>2580</v>
      </c>
      <c r="F172" t="s">
        <v>2580</v>
      </c>
      <c r="G172" s="8">
        <v>12950</v>
      </c>
      <c r="H172" s="8">
        <f>+IF(BDAlquilerDepartamentos[[#This Row],[Ciudad]]="Lima",BDAlquilerDepartamentos[[#This Row],[Prec. Soles]]*0.1,BDAlquilerDepartamentos[[#This Row],[Prec. Soles]]*0.05)</f>
        <v>1295</v>
      </c>
      <c r="I172" s="4">
        <v>8</v>
      </c>
      <c r="J172" s="4">
        <v>4</v>
      </c>
      <c r="K172" s="4" t="s">
        <v>3095</v>
      </c>
      <c r="L172" s="4" t="s">
        <v>3096</v>
      </c>
      <c r="M172" s="4">
        <v>350</v>
      </c>
      <c r="N172" s="4">
        <v>1965</v>
      </c>
      <c r="O172" s="4" t="str">
        <f>+IF(BDAlquilerDepartamentos[[#This Row],[Prec. Soles]]&gt;2500,"Caro","Economico")</f>
        <v>Caro</v>
      </c>
      <c r="P172" s="4" t="str">
        <f>+IF(AND(BDAlquilerDepartamentos[[#This Row],[N° de Dorm.]]&gt; 3,BDAlquilerDepartamentos[[#This Row],[Prec. Soles]]&lt;= 2500),"Buena Oferta", "Precio Estadar")</f>
        <v>Precio Estadar</v>
      </c>
      <c r="Q172" t="s">
        <v>1113</v>
      </c>
      <c r="R172" t="s">
        <v>1102</v>
      </c>
      <c r="S172" s="11">
        <v>45171</v>
      </c>
      <c r="T172" t="s">
        <v>2876</v>
      </c>
      <c r="U172" t="s">
        <v>1371</v>
      </c>
    </row>
    <row r="173" spans="2:21" x14ac:dyDescent="0.3">
      <c r="B173" t="s">
        <v>1372</v>
      </c>
      <c r="C173" t="s">
        <v>2535</v>
      </c>
      <c r="D173" t="s">
        <v>2432</v>
      </c>
      <c r="E173" t="s">
        <v>2580</v>
      </c>
      <c r="F173" t="s">
        <v>2580</v>
      </c>
      <c r="G173" s="8">
        <v>8</v>
      </c>
      <c r="H173" s="8">
        <f>+IF(BDAlquilerDepartamentos[[#This Row],[Ciudad]]="Lima",BDAlquilerDepartamentos[[#This Row],[Prec. Soles]]*0.1,BDAlquilerDepartamentos[[#This Row],[Prec. Soles]]*0.05)</f>
        <v>0.8</v>
      </c>
      <c r="I173" s="4">
        <v>3</v>
      </c>
      <c r="J173" s="4">
        <v>1</v>
      </c>
      <c r="K173" s="4" t="s">
        <v>3095</v>
      </c>
      <c r="L173" s="4" t="s">
        <v>3095</v>
      </c>
      <c r="M173" s="4">
        <v>60</v>
      </c>
      <c r="N173" s="4">
        <v>2008</v>
      </c>
      <c r="O173" s="4" t="str">
        <f>+IF(BDAlquilerDepartamentos[[#This Row],[Prec. Soles]]&gt;2500,"Caro","Economico")</f>
        <v>Economico</v>
      </c>
      <c r="P173" s="4" t="str">
        <f>+IF(AND(BDAlquilerDepartamentos[[#This Row],[N° de Dorm.]]&gt; 3,BDAlquilerDepartamentos[[#This Row],[Prec. Soles]]&lt;= 2500),"Buena Oferta", "Precio Estadar")</f>
        <v>Precio Estadar</v>
      </c>
      <c r="Q173" t="s">
        <v>1101</v>
      </c>
      <c r="R173" t="s">
        <v>1102</v>
      </c>
      <c r="S173" s="11">
        <v>45565</v>
      </c>
      <c r="T173" t="s">
        <v>2876</v>
      </c>
      <c r="U173" t="s">
        <v>1373</v>
      </c>
    </row>
    <row r="174" spans="2:21" x14ac:dyDescent="0.3">
      <c r="B174" t="s">
        <v>1374</v>
      </c>
      <c r="C174" t="s">
        <v>2536</v>
      </c>
      <c r="D174" t="s">
        <v>2799</v>
      </c>
      <c r="E174" t="s">
        <v>2580</v>
      </c>
      <c r="F174" t="s">
        <v>2580</v>
      </c>
      <c r="G174" s="8">
        <v>88</v>
      </c>
      <c r="H174" s="8">
        <f>+IF(BDAlquilerDepartamentos[[#This Row],[Ciudad]]="Lima",BDAlquilerDepartamentos[[#This Row],[Prec. Soles]]*0.1,BDAlquilerDepartamentos[[#This Row],[Prec. Soles]]*0.05)</f>
        <v>8.8000000000000007</v>
      </c>
      <c r="I174" s="4">
        <v>3</v>
      </c>
      <c r="J174" s="4">
        <v>2</v>
      </c>
      <c r="K174" s="4" t="s">
        <v>3096</v>
      </c>
      <c r="L174" s="4" t="s">
        <v>3095</v>
      </c>
      <c r="M174" s="4">
        <v>40</v>
      </c>
      <c r="N174" s="4">
        <v>2013</v>
      </c>
      <c r="O174" s="4" t="str">
        <f>+IF(BDAlquilerDepartamentos[[#This Row],[Prec. Soles]]&gt;2500,"Caro","Economico")</f>
        <v>Economico</v>
      </c>
      <c r="P174" s="4" t="str">
        <f>+IF(AND(BDAlquilerDepartamentos[[#This Row],[N° de Dorm.]]&gt; 3,BDAlquilerDepartamentos[[#This Row],[Prec. Soles]]&lt;= 2500),"Buena Oferta", "Precio Estadar")</f>
        <v>Precio Estadar</v>
      </c>
      <c r="Q174" t="s">
        <v>1101</v>
      </c>
      <c r="R174" t="s">
        <v>1102</v>
      </c>
      <c r="S174" s="11">
        <v>45260</v>
      </c>
      <c r="T174" t="s">
        <v>2876</v>
      </c>
      <c r="U174" t="s">
        <v>1375</v>
      </c>
    </row>
    <row r="175" spans="2:21" x14ac:dyDescent="0.3">
      <c r="B175" t="s">
        <v>1277</v>
      </c>
      <c r="C175" t="s">
        <v>2503</v>
      </c>
      <c r="D175" t="s">
        <v>2422</v>
      </c>
      <c r="E175" t="s">
        <v>2580</v>
      </c>
      <c r="F175" t="s">
        <v>2580</v>
      </c>
      <c r="G175" s="8">
        <v>2000</v>
      </c>
      <c r="H175" s="8">
        <f>+IF(BDAlquilerDepartamentos[[#This Row],[Ciudad]]="Lima",BDAlquilerDepartamentos[[#This Row],[Prec. Soles]]*0.1,BDAlquilerDepartamentos[[#This Row],[Prec. Soles]]*0.05)</f>
        <v>200</v>
      </c>
      <c r="I175" s="4">
        <v>3</v>
      </c>
      <c r="J175" s="4">
        <v>2</v>
      </c>
      <c r="K175" s="4" t="s">
        <v>3095</v>
      </c>
      <c r="L175" s="4" t="s">
        <v>3095</v>
      </c>
      <c r="M175" s="4">
        <v>75</v>
      </c>
      <c r="N175" s="4">
        <v>2008</v>
      </c>
      <c r="O175" s="4" t="str">
        <f>+IF(BDAlquilerDepartamentos[[#This Row],[Prec. Soles]]&gt;2500,"Caro","Economico")</f>
        <v>Economico</v>
      </c>
      <c r="P175" s="4" t="str">
        <f>+IF(AND(BDAlquilerDepartamentos[[#This Row],[N° de Dorm.]]&gt; 3,BDAlquilerDepartamentos[[#This Row],[Prec. Soles]]&lt;= 2500),"Buena Oferta", "Precio Estadar")</f>
        <v>Precio Estadar</v>
      </c>
      <c r="Q175" t="s">
        <v>1101</v>
      </c>
      <c r="R175" t="s">
        <v>1102</v>
      </c>
      <c r="S175" s="11">
        <v>45389</v>
      </c>
      <c r="T175" t="s">
        <v>2876</v>
      </c>
      <c r="U175" t="s">
        <v>1376</v>
      </c>
    </row>
    <row r="176" spans="2:21" x14ac:dyDescent="0.3">
      <c r="B176" t="s">
        <v>1377</v>
      </c>
      <c r="C176" t="s">
        <v>2494</v>
      </c>
      <c r="D176" t="s">
        <v>2444</v>
      </c>
      <c r="E176" t="s">
        <v>2580</v>
      </c>
      <c r="F176" t="s">
        <v>2580</v>
      </c>
      <c r="G176" s="8">
        <v>6660</v>
      </c>
      <c r="H176" s="8">
        <f>+IF(BDAlquilerDepartamentos[[#This Row],[Ciudad]]="Lima",BDAlquilerDepartamentos[[#This Row],[Prec. Soles]]*0.1,BDAlquilerDepartamentos[[#This Row],[Prec. Soles]]*0.05)</f>
        <v>666</v>
      </c>
      <c r="I176" s="4">
        <v>3</v>
      </c>
      <c r="J176" s="4">
        <v>3</v>
      </c>
      <c r="K176" s="4" t="s">
        <v>3095</v>
      </c>
      <c r="L176" s="4" t="s">
        <v>3096</v>
      </c>
      <c r="M176" s="4">
        <v>250</v>
      </c>
      <c r="N176" s="4">
        <v>1972</v>
      </c>
      <c r="O176" s="4" t="str">
        <f>+IF(BDAlquilerDepartamentos[[#This Row],[Prec. Soles]]&gt;2500,"Caro","Economico")</f>
        <v>Caro</v>
      </c>
      <c r="P176" s="4" t="str">
        <f>+IF(AND(BDAlquilerDepartamentos[[#This Row],[N° de Dorm.]]&gt; 3,BDAlquilerDepartamentos[[#This Row],[Prec. Soles]]&lt;= 2500),"Buena Oferta", "Precio Estadar")</f>
        <v>Precio Estadar</v>
      </c>
      <c r="Q176" t="s">
        <v>1113</v>
      </c>
      <c r="R176" t="s">
        <v>1102</v>
      </c>
      <c r="S176" s="11">
        <v>45278</v>
      </c>
      <c r="T176" t="s">
        <v>2876</v>
      </c>
      <c r="U176" t="s">
        <v>1378</v>
      </c>
    </row>
    <row r="177" spans="2:21" x14ac:dyDescent="0.3">
      <c r="B177" t="s">
        <v>3113</v>
      </c>
      <c r="C177" t="s">
        <v>3114</v>
      </c>
      <c r="D177" t="s">
        <v>2436</v>
      </c>
      <c r="E177" t="s">
        <v>2580</v>
      </c>
      <c r="F177" t="s">
        <v>2580</v>
      </c>
      <c r="G177" s="8">
        <v>3700</v>
      </c>
      <c r="H177" s="8">
        <f>+IF(BDAlquilerDepartamentos[[#This Row],[Ciudad]]="Lima",BDAlquilerDepartamentos[[#This Row],[Prec. Soles]]*0.1,BDAlquilerDepartamentos[[#This Row],[Prec. Soles]]*0.05)</f>
        <v>370</v>
      </c>
      <c r="I177" s="4">
        <v>3</v>
      </c>
      <c r="J177" s="4">
        <v>2</v>
      </c>
      <c r="K177" s="4" t="s">
        <v>3095</v>
      </c>
      <c r="L177" s="4" t="s">
        <v>3096</v>
      </c>
      <c r="M177" s="4">
        <v>125</v>
      </c>
      <c r="N177" s="4">
        <v>1998</v>
      </c>
      <c r="O177" s="4" t="str">
        <f>+IF(BDAlquilerDepartamentos[[#This Row],[Prec. Soles]]&gt;2500,"Caro","Economico")</f>
        <v>Caro</v>
      </c>
      <c r="P177" s="4" t="str">
        <f>+IF(AND(BDAlquilerDepartamentos[[#This Row],[N° de Dorm.]]&gt; 3,BDAlquilerDepartamentos[[#This Row],[Prec. Soles]]&lt;= 2500),"Buena Oferta", "Precio Estadar")</f>
        <v>Precio Estadar</v>
      </c>
      <c r="Q177" t="s">
        <v>1101</v>
      </c>
      <c r="R177" t="s">
        <v>1102</v>
      </c>
      <c r="S177" s="11">
        <v>45225</v>
      </c>
      <c r="T177" t="s">
        <v>2846</v>
      </c>
      <c r="U177" t="s">
        <v>1379</v>
      </c>
    </row>
    <row r="178" spans="2:21" x14ac:dyDescent="0.3">
      <c r="B178" t="s">
        <v>1118</v>
      </c>
      <c r="C178" t="s">
        <v>2426</v>
      </c>
      <c r="D178" t="s">
        <v>2436</v>
      </c>
      <c r="E178" t="s">
        <v>2580</v>
      </c>
      <c r="F178" t="s">
        <v>2580</v>
      </c>
      <c r="G178" s="8">
        <v>2200</v>
      </c>
      <c r="H178" s="8">
        <f>+IF(BDAlquilerDepartamentos[[#This Row],[Ciudad]]="Lima",BDAlquilerDepartamentos[[#This Row],[Prec. Soles]]*0.1,BDAlquilerDepartamentos[[#This Row],[Prec. Soles]]*0.05)</f>
        <v>220</v>
      </c>
      <c r="I178" s="4">
        <v>1</v>
      </c>
      <c r="J178" s="4">
        <v>1</v>
      </c>
      <c r="K178" s="4" t="s">
        <v>3095</v>
      </c>
      <c r="L178" s="4" t="s">
        <v>3095</v>
      </c>
      <c r="M178" s="4">
        <v>55</v>
      </c>
      <c r="N178" s="4">
        <v>2008</v>
      </c>
      <c r="O178" s="4" t="str">
        <f>+IF(BDAlquilerDepartamentos[[#This Row],[Prec. Soles]]&gt;2500,"Caro","Economico")</f>
        <v>Economico</v>
      </c>
      <c r="P178" s="4" t="str">
        <f>+IF(AND(BDAlquilerDepartamentos[[#This Row],[N° de Dorm.]]&gt; 3,BDAlquilerDepartamentos[[#This Row],[Prec. Soles]]&lt;= 2500),"Buena Oferta", "Precio Estadar")</f>
        <v>Precio Estadar</v>
      </c>
      <c r="Q178" t="s">
        <v>1101</v>
      </c>
      <c r="R178" t="s">
        <v>1102</v>
      </c>
      <c r="S178" s="11">
        <v>45047</v>
      </c>
      <c r="T178" t="s">
        <v>2888</v>
      </c>
      <c r="U178" t="s">
        <v>1380</v>
      </c>
    </row>
    <row r="179" spans="2:21" x14ac:dyDescent="0.3">
      <c r="B179" t="s">
        <v>1381</v>
      </c>
      <c r="C179" t="s">
        <v>2537</v>
      </c>
      <c r="D179" t="s">
        <v>2428</v>
      </c>
      <c r="E179" t="s">
        <v>2580</v>
      </c>
      <c r="F179" t="s">
        <v>2580</v>
      </c>
      <c r="G179" s="8">
        <v>5550</v>
      </c>
      <c r="H179" s="8">
        <f>+IF(BDAlquilerDepartamentos[[#This Row],[Ciudad]]="Lima",BDAlquilerDepartamentos[[#This Row],[Prec. Soles]]*0.1,BDAlquilerDepartamentos[[#This Row],[Prec. Soles]]*0.05)</f>
        <v>555</v>
      </c>
      <c r="I179" s="4">
        <v>2</v>
      </c>
      <c r="J179" s="4">
        <v>3</v>
      </c>
      <c r="K179" s="4" t="s">
        <v>3095</v>
      </c>
      <c r="L179" s="4" t="s">
        <v>3095</v>
      </c>
      <c r="M179" s="4">
        <v>183</v>
      </c>
      <c r="N179" s="4">
        <v>2014</v>
      </c>
      <c r="O179" s="4" t="str">
        <f>+IF(BDAlquilerDepartamentos[[#This Row],[Prec. Soles]]&gt;2500,"Caro","Economico")</f>
        <v>Caro</v>
      </c>
      <c r="P179" s="4" t="str">
        <f>+IF(AND(BDAlquilerDepartamentos[[#This Row],[N° de Dorm.]]&gt; 3,BDAlquilerDepartamentos[[#This Row],[Prec. Soles]]&lt;= 2500),"Buena Oferta", "Precio Estadar")</f>
        <v>Precio Estadar</v>
      </c>
      <c r="Q179" t="s">
        <v>1101</v>
      </c>
      <c r="R179" t="s">
        <v>1102</v>
      </c>
      <c r="S179" s="11">
        <v>45070</v>
      </c>
      <c r="T179" t="s">
        <v>2843</v>
      </c>
      <c r="U179" t="s">
        <v>1382</v>
      </c>
    </row>
    <row r="180" spans="2:21" x14ac:dyDescent="0.3">
      <c r="B180" t="s">
        <v>1383</v>
      </c>
      <c r="C180" t="s">
        <v>2538</v>
      </c>
      <c r="D180" t="s">
        <v>2689</v>
      </c>
      <c r="E180" t="s">
        <v>3129</v>
      </c>
      <c r="F180" t="s">
        <v>3129</v>
      </c>
      <c r="G180" s="8">
        <v>3500</v>
      </c>
      <c r="H180" s="8">
        <f>+IF(BDAlquilerDepartamentos[[#This Row],[Ciudad]]="Lima",BDAlquilerDepartamentos[[#This Row],[Prec. Soles]]*0.1,BDAlquilerDepartamentos[[#This Row],[Prec. Soles]]*0.05)</f>
        <v>175</v>
      </c>
      <c r="I180" s="4">
        <v>3</v>
      </c>
      <c r="J180" s="4">
        <v>4</v>
      </c>
      <c r="K180" s="4" t="s">
        <v>3095</v>
      </c>
      <c r="L180" s="4" t="s">
        <v>3095</v>
      </c>
      <c r="M180" s="4">
        <v>800</v>
      </c>
      <c r="N180" s="4">
        <v>2013</v>
      </c>
      <c r="O180" s="4" t="str">
        <f>+IF(BDAlquilerDepartamentos[[#This Row],[Prec. Soles]]&gt;2500,"Caro","Economico")</f>
        <v>Caro</v>
      </c>
      <c r="P180" s="4" t="str">
        <f>+IF(AND(BDAlquilerDepartamentos[[#This Row],[N° de Dorm.]]&gt; 3,BDAlquilerDepartamentos[[#This Row],[Prec. Soles]]&lt;= 2500),"Buena Oferta", "Precio Estadar")</f>
        <v>Precio Estadar</v>
      </c>
      <c r="Q180" t="s">
        <v>1113</v>
      </c>
      <c r="R180" t="s">
        <v>1102</v>
      </c>
      <c r="S180" s="11">
        <v>45516</v>
      </c>
      <c r="T180" t="s">
        <v>2889</v>
      </c>
      <c r="U180" t="s">
        <v>1384</v>
      </c>
    </row>
    <row r="181" spans="2:21" x14ac:dyDescent="0.3">
      <c r="B181" t="s">
        <v>1385</v>
      </c>
      <c r="C181" t="s">
        <v>2442</v>
      </c>
      <c r="D181" t="s">
        <v>2422</v>
      </c>
      <c r="E181" t="s">
        <v>2580</v>
      </c>
      <c r="F181" t="s">
        <v>2580</v>
      </c>
      <c r="G181" s="8">
        <v>7030</v>
      </c>
      <c r="H181" s="8">
        <f>+IF(BDAlquilerDepartamentos[[#This Row],[Ciudad]]="Lima",BDAlquilerDepartamentos[[#This Row],[Prec. Soles]]*0.1,BDAlquilerDepartamentos[[#This Row],[Prec. Soles]]*0.05)</f>
        <v>703</v>
      </c>
      <c r="I181" s="4">
        <v>4</v>
      </c>
      <c r="J181" s="4">
        <v>3</v>
      </c>
      <c r="K181" s="4" t="s">
        <v>3095</v>
      </c>
      <c r="L181" s="4" t="s">
        <v>3096</v>
      </c>
      <c r="M181" s="4">
        <v>280</v>
      </c>
      <c r="N181" s="4">
        <v>1993</v>
      </c>
      <c r="O181" s="4" t="str">
        <f>+IF(BDAlquilerDepartamentos[[#This Row],[Prec. Soles]]&gt;2500,"Caro","Economico")</f>
        <v>Caro</v>
      </c>
      <c r="P181" s="4" t="str">
        <f>+IF(AND(BDAlquilerDepartamentos[[#This Row],[N° de Dorm.]]&gt; 3,BDAlquilerDepartamentos[[#This Row],[Prec. Soles]]&lt;= 2500),"Buena Oferta", "Precio Estadar")</f>
        <v>Precio Estadar</v>
      </c>
      <c r="Q181" t="s">
        <v>1113</v>
      </c>
      <c r="R181" t="s">
        <v>1102</v>
      </c>
      <c r="S181" s="11">
        <v>44981</v>
      </c>
      <c r="T181" t="s">
        <v>2890</v>
      </c>
      <c r="U181" t="s">
        <v>1386</v>
      </c>
    </row>
    <row r="182" spans="2:21" x14ac:dyDescent="0.3">
      <c r="B182" t="s">
        <v>1118</v>
      </c>
      <c r="C182" t="s">
        <v>2426</v>
      </c>
      <c r="D182" t="s">
        <v>2436</v>
      </c>
      <c r="E182" t="s">
        <v>2580</v>
      </c>
      <c r="F182" t="s">
        <v>2580</v>
      </c>
      <c r="G182" s="8">
        <v>2553</v>
      </c>
      <c r="H182" s="8">
        <f>+IF(BDAlquilerDepartamentos[[#This Row],[Ciudad]]="Lima",BDAlquilerDepartamentos[[#This Row],[Prec. Soles]]*0.1,BDAlquilerDepartamentos[[#This Row],[Prec. Soles]]*0.05)</f>
        <v>255.3</v>
      </c>
      <c r="I182" s="4">
        <v>2</v>
      </c>
      <c r="J182" s="4">
        <v>2</v>
      </c>
      <c r="K182" s="4" t="s">
        <v>3096</v>
      </c>
      <c r="L182" s="4" t="s">
        <v>3096</v>
      </c>
      <c r="M182" s="4">
        <v>60</v>
      </c>
      <c r="N182" s="4">
        <v>2010</v>
      </c>
      <c r="O182" s="4" t="str">
        <f>+IF(BDAlquilerDepartamentos[[#This Row],[Prec. Soles]]&gt;2500,"Caro","Economico")</f>
        <v>Caro</v>
      </c>
      <c r="P182" s="4" t="str">
        <f>+IF(AND(BDAlquilerDepartamentos[[#This Row],[N° de Dorm.]]&gt; 3,BDAlquilerDepartamentos[[#This Row],[Prec. Soles]]&lt;= 2500),"Buena Oferta", "Precio Estadar")</f>
        <v>Precio Estadar</v>
      </c>
      <c r="Q182" t="s">
        <v>1101</v>
      </c>
      <c r="R182" t="s">
        <v>1102</v>
      </c>
      <c r="S182" s="11">
        <v>45339</v>
      </c>
      <c r="T182" t="s">
        <v>2891</v>
      </c>
      <c r="U182" t="s">
        <v>1387</v>
      </c>
    </row>
    <row r="183" spans="2:21" x14ac:dyDescent="0.3">
      <c r="B183" t="s">
        <v>1118</v>
      </c>
      <c r="C183" t="s">
        <v>2426</v>
      </c>
      <c r="D183" t="s">
        <v>2436</v>
      </c>
      <c r="E183" t="s">
        <v>2580</v>
      </c>
      <c r="F183" t="s">
        <v>2580</v>
      </c>
      <c r="G183" s="8">
        <v>3700</v>
      </c>
      <c r="H183" s="8">
        <f>+IF(BDAlquilerDepartamentos[[#This Row],[Ciudad]]="Lima",BDAlquilerDepartamentos[[#This Row],[Prec. Soles]]*0.1,BDAlquilerDepartamentos[[#This Row],[Prec. Soles]]*0.05)</f>
        <v>370</v>
      </c>
      <c r="I183" s="4">
        <v>3</v>
      </c>
      <c r="J183" s="4">
        <v>4</v>
      </c>
      <c r="K183" s="4" t="s">
        <v>3096</v>
      </c>
      <c r="L183" s="4" t="s">
        <v>3095</v>
      </c>
      <c r="M183" s="4">
        <v>120</v>
      </c>
      <c r="N183" s="4">
        <v>2017</v>
      </c>
      <c r="O183" s="4" t="str">
        <f>+IF(BDAlquilerDepartamentos[[#This Row],[Prec. Soles]]&gt;2500,"Caro","Economico")</f>
        <v>Caro</v>
      </c>
      <c r="P183" s="4" t="str">
        <f>+IF(AND(BDAlquilerDepartamentos[[#This Row],[N° de Dorm.]]&gt; 3,BDAlquilerDepartamentos[[#This Row],[Prec. Soles]]&lt;= 2500),"Buena Oferta", "Precio Estadar")</f>
        <v>Precio Estadar</v>
      </c>
      <c r="Q183" t="s">
        <v>1101</v>
      </c>
      <c r="R183" t="s">
        <v>1102</v>
      </c>
      <c r="S183" s="11">
        <v>45520</v>
      </c>
      <c r="T183" t="s">
        <v>2821</v>
      </c>
      <c r="U183" t="s">
        <v>1388</v>
      </c>
    </row>
    <row r="184" spans="2:21" x14ac:dyDescent="0.3">
      <c r="B184" t="s">
        <v>1118</v>
      </c>
      <c r="C184" t="s">
        <v>2426</v>
      </c>
      <c r="D184" t="s">
        <v>2436</v>
      </c>
      <c r="E184" t="s">
        <v>2580</v>
      </c>
      <c r="F184" t="s">
        <v>2580</v>
      </c>
      <c r="G184" s="8">
        <v>3700</v>
      </c>
      <c r="H184" s="8">
        <f>+IF(BDAlquilerDepartamentos[[#This Row],[Ciudad]]="Lima",BDAlquilerDepartamentos[[#This Row],[Prec. Soles]]*0.1,BDAlquilerDepartamentos[[#This Row],[Prec. Soles]]*0.05)</f>
        <v>370</v>
      </c>
      <c r="I184" s="4">
        <v>3</v>
      </c>
      <c r="J184" s="4">
        <v>4</v>
      </c>
      <c r="K184" s="4" t="s">
        <v>3095</v>
      </c>
      <c r="L184" s="4" t="s">
        <v>3096</v>
      </c>
      <c r="M184" s="4">
        <v>120</v>
      </c>
      <c r="N184" s="4">
        <v>2017</v>
      </c>
      <c r="O184" s="4" t="str">
        <f>+IF(BDAlquilerDepartamentos[[#This Row],[Prec. Soles]]&gt;2500,"Caro","Economico")</f>
        <v>Caro</v>
      </c>
      <c r="P184" s="4" t="str">
        <f>+IF(AND(BDAlquilerDepartamentos[[#This Row],[N° de Dorm.]]&gt; 3,BDAlquilerDepartamentos[[#This Row],[Prec. Soles]]&lt;= 2500),"Buena Oferta", "Precio Estadar")</f>
        <v>Precio Estadar</v>
      </c>
      <c r="Q184" t="s">
        <v>1101</v>
      </c>
      <c r="R184" t="s">
        <v>1102</v>
      </c>
      <c r="S184" s="11">
        <v>45067</v>
      </c>
      <c r="T184" t="s">
        <v>2821</v>
      </c>
      <c r="U184" t="s">
        <v>1389</v>
      </c>
    </row>
    <row r="185" spans="2:21" x14ac:dyDescent="0.3">
      <c r="B185" t="s">
        <v>1118</v>
      </c>
      <c r="C185" t="s">
        <v>2426</v>
      </c>
      <c r="D185" t="s">
        <v>2436</v>
      </c>
      <c r="E185" t="s">
        <v>2580</v>
      </c>
      <c r="F185" t="s">
        <v>2580</v>
      </c>
      <c r="G185" s="8">
        <v>3700</v>
      </c>
      <c r="H185" s="8">
        <f>+IF(BDAlquilerDepartamentos[[#This Row],[Ciudad]]="Lima",BDAlquilerDepartamentos[[#This Row],[Prec. Soles]]*0.1,BDAlquilerDepartamentos[[#This Row],[Prec. Soles]]*0.05)</f>
        <v>370</v>
      </c>
      <c r="I185" s="4">
        <v>3</v>
      </c>
      <c r="J185" s="4">
        <v>4</v>
      </c>
      <c r="K185" s="4" t="s">
        <v>3095</v>
      </c>
      <c r="L185" s="4" t="s">
        <v>3096</v>
      </c>
      <c r="M185" s="4">
        <v>120</v>
      </c>
      <c r="N185" s="4">
        <v>2017</v>
      </c>
      <c r="O185" s="4" t="str">
        <f>+IF(BDAlquilerDepartamentos[[#This Row],[Prec. Soles]]&gt;2500,"Caro","Economico")</f>
        <v>Caro</v>
      </c>
      <c r="P185" s="4" t="str">
        <f>+IF(AND(BDAlquilerDepartamentos[[#This Row],[N° de Dorm.]]&gt; 3,BDAlquilerDepartamentos[[#This Row],[Prec. Soles]]&lt;= 2500),"Buena Oferta", "Precio Estadar")</f>
        <v>Precio Estadar</v>
      </c>
      <c r="Q185" t="s">
        <v>1101</v>
      </c>
      <c r="R185" t="s">
        <v>1102</v>
      </c>
      <c r="S185" s="11">
        <v>45311</v>
      </c>
      <c r="T185" t="s">
        <v>2821</v>
      </c>
      <c r="U185" t="s">
        <v>1390</v>
      </c>
    </row>
    <row r="186" spans="2:21" x14ac:dyDescent="0.3">
      <c r="B186" t="s">
        <v>1391</v>
      </c>
      <c r="C186" t="s">
        <v>2539</v>
      </c>
      <c r="D186" t="s">
        <v>2580</v>
      </c>
      <c r="E186" t="s">
        <v>2580</v>
      </c>
      <c r="F186" t="s">
        <v>2580</v>
      </c>
      <c r="G186" s="8">
        <v>1450</v>
      </c>
      <c r="H186" s="8">
        <f>+IF(BDAlquilerDepartamentos[[#This Row],[Ciudad]]="Lima",BDAlquilerDepartamentos[[#This Row],[Prec. Soles]]*0.1,BDAlquilerDepartamentos[[#This Row],[Prec. Soles]]*0.05)</f>
        <v>145</v>
      </c>
      <c r="I186" s="4">
        <v>2</v>
      </c>
      <c r="J186" s="4">
        <v>2</v>
      </c>
      <c r="K186" s="4" t="s">
        <v>3096</v>
      </c>
      <c r="L186" s="4" t="s">
        <v>3096</v>
      </c>
      <c r="M186" s="4">
        <v>46</v>
      </c>
      <c r="N186" s="4">
        <v>2023</v>
      </c>
      <c r="O186" s="4" t="str">
        <f>+IF(BDAlquilerDepartamentos[[#This Row],[Prec. Soles]]&gt;2500,"Caro","Economico")</f>
        <v>Economico</v>
      </c>
      <c r="P186" s="4" t="str">
        <f>+IF(AND(BDAlquilerDepartamentos[[#This Row],[N° de Dorm.]]&gt; 3,BDAlquilerDepartamentos[[#This Row],[Prec. Soles]]&lt;= 2500),"Buena Oferta", "Precio Estadar")</f>
        <v>Precio Estadar</v>
      </c>
      <c r="Q186" t="s">
        <v>1101</v>
      </c>
      <c r="R186" t="s">
        <v>1102</v>
      </c>
      <c r="S186" s="11">
        <v>45550</v>
      </c>
      <c r="T186" t="s">
        <v>3158</v>
      </c>
      <c r="U186" t="s">
        <v>1392</v>
      </c>
    </row>
    <row r="187" spans="2:21" x14ac:dyDescent="0.3">
      <c r="B187" t="s">
        <v>1393</v>
      </c>
      <c r="C187" t="s">
        <v>2540</v>
      </c>
      <c r="D187" t="s">
        <v>2428</v>
      </c>
      <c r="E187" t="s">
        <v>2580</v>
      </c>
      <c r="F187" t="s">
        <v>2580</v>
      </c>
      <c r="G187" s="8">
        <v>5550</v>
      </c>
      <c r="H187" s="8">
        <f>+IF(BDAlquilerDepartamentos[[#This Row],[Ciudad]]="Lima",BDAlquilerDepartamentos[[#This Row],[Prec. Soles]]*0.1,BDAlquilerDepartamentos[[#This Row],[Prec. Soles]]*0.05)</f>
        <v>555</v>
      </c>
      <c r="I187" s="4">
        <v>3</v>
      </c>
      <c r="J187" s="4">
        <v>3</v>
      </c>
      <c r="K187" s="4" t="s">
        <v>3095</v>
      </c>
      <c r="L187" s="4" t="s">
        <v>3095</v>
      </c>
      <c r="M187" s="4">
        <v>175</v>
      </c>
      <c r="N187" s="4">
        <v>2014</v>
      </c>
      <c r="O187" s="4" t="str">
        <f>+IF(BDAlquilerDepartamentos[[#This Row],[Prec. Soles]]&gt;2500,"Caro","Economico")</f>
        <v>Caro</v>
      </c>
      <c r="P187" s="4" t="str">
        <f>+IF(AND(BDAlquilerDepartamentos[[#This Row],[N° de Dorm.]]&gt; 3,BDAlquilerDepartamentos[[#This Row],[Prec. Soles]]&lt;= 2500),"Buena Oferta", "Precio Estadar")</f>
        <v>Precio Estadar</v>
      </c>
      <c r="Q187" t="s">
        <v>1101</v>
      </c>
      <c r="R187" t="s">
        <v>1102</v>
      </c>
      <c r="S187" s="11">
        <v>45102</v>
      </c>
      <c r="T187" t="s">
        <v>2892</v>
      </c>
      <c r="U187" t="s">
        <v>1394</v>
      </c>
    </row>
    <row r="188" spans="2:21" x14ac:dyDescent="0.3">
      <c r="B188" t="s">
        <v>1395</v>
      </c>
      <c r="C188" t="s">
        <v>2541</v>
      </c>
      <c r="D188" t="s">
        <v>2485</v>
      </c>
      <c r="E188" t="s">
        <v>2580</v>
      </c>
      <c r="F188" t="s">
        <v>2580</v>
      </c>
      <c r="G188" s="8">
        <v>4440</v>
      </c>
      <c r="H188" s="8">
        <f>+IF(BDAlquilerDepartamentos[[#This Row],[Ciudad]]="Lima",BDAlquilerDepartamentos[[#This Row],[Prec. Soles]]*0.1,BDAlquilerDepartamentos[[#This Row],[Prec. Soles]]*0.05)</f>
        <v>444</v>
      </c>
      <c r="I188" s="4">
        <v>2</v>
      </c>
      <c r="J188" s="4">
        <v>3</v>
      </c>
      <c r="K188" s="4" t="s">
        <v>3095</v>
      </c>
      <c r="L188" s="4" t="s">
        <v>3095</v>
      </c>
      <c r="M188" s="4">
        <v>124</v>
      </c>
      <c r="N188" s="4">
        <v>2007</v>
      </c>
      <c r="O188" s="4" t="str">
        <f>+IF(BDAlquilerDepartamentos[[#This Row],[Prec. Soles]]&gt;2500,"Caro","Economico")</f>
        <v>Caro</v>
      </c>
      <c r="P188" s="4" t="str">
        <f>+IF(AND(BDAlquilerDepartamentos[[#This Row],[N° de Dorm.]]&gt; 3,BDAlquilerDepartamentos[[#This Row],[Prec. Soles]]&lt;= 2500),"Buena Oferta", "Precio Estadar")</f>
        <v>Precio Estadar</v>
      </c>
      <c r="Q188" t="s">
        <v>1101</v>
      </c>
      <c r="R188" t="s">
        <v>1102</v>
      </c>
      <c r="S188" s="11">
        <v>45435</v>
      </c>
      <c r="T188" t="s">
        <v>2893</v>
      </c>
      <c r="U188" t="s">
        <v>1396</v>
      </c>
    </row>
    <row r="189" spans="2:21" x14ac:dyDescent="0.3">
      <c r="B189" t="s">
        <v>1135</v>
      </c>
      <c r="C189" t="s">
        <v>2438</v>
      </c>
      <c r="D189" t="s">
        <v>2428</v>
      </c>
      <c r="E189" t="s">
        <v>2580</v>
      </c>
      <c r="F189" t="s">
        <v>2580</v>
      </c>
      <c r="G189" s="8">
        <v>1700</v>
      </c>
      <c r="H189" s="8">
        <f>+IF(BDAlquilerDepartamentos[[#This Row],[Ciudad]]="Lima",BDAlquilerDepartamentos[[#This Row],[Prec. Soles]]*0.1,BDAlquilerDepartamentos[[#This Row],[Prec. Soles]]*0.05)</f>
        <v>170</v>
      </c>
      <c r="I189" s="4">
        <v>1</v>
      </c>
      <c r="J189" s="4">
        <v>1</v>
      </c>
      <c r="K189" s="4" t="s">
        <v>3096</v>
      </c>
      <c r="L189" s="4" t="s">
        <v>3095</v>
      </c>
      <c r="M189" s="4">
        <v>40</v>
      </c>
      <c r="N189" s="4">
        <v>2006</v>
      </c>
      <c r="O189" s="4" t="str">
        <f>+IF(BDAlquilerDepartamentos[[#This Row],[Prec. Soles]]&gt;2500,"Caro","Economico")</f>
        <v>Economico</v>
      </c>
      <c r="P189" s="4" t="str">
        <f>+IF(AND(BDAlquilerDepartamentos[[#This Row],[N° de Dorm.]]&gt; 3,BDAlquilerDepartamentos[[#This Row],[Prec. Soles]]&lt;= 2500),"Buena Oferta", "Precio Estadar")</f>
        <v>Precio Estadar</v>
      </c>
      <c r="Q189" t="s">
        <v>1101</v>
      </c>
      <c r="R189" t="s">
        <v>1102</v>
      </c>
      <c r="S189" s="11">
        <v>45119</v>
      </c>
      <c r="T189" t="s">
        <v>2894</v>
      </c>
      <c r="U189" t="s">
        <v>1397</v>
      </c>
    </row>
    <row r="190" spans="2:21" x14ac:dyDescent="0.3">
      <c r="B190" t="s">
        <v>1398</v>
      </c>
      <c r="C190" t="s">
        <v>2542</v>
      </c>
      <c r="D190" t="s">
        <v>2543</v>
      </c>
      <c r="E190" t="s">
        <v>2580</v>
      </c>
      <c r="F190" t="s">
        <v>2580</v>
      </c>
      <c r="G190" s="8">
        <v>20350</v>
      </c>
      <c r="H190" s="8">
        <f>+IF(BDAlquilerDepartamentos[[#This Row],[Ciudad]]="Lima",BDAlquilerDepartamentos[[#This Row],[Prec. Soles]]*0.1,BDAlquilerDepartamentos[[#This Row],[Prec. Soles]]*0.05)</f>
        <v>2035</v>
      </c>
      <c r="I190" s="4">
        <v>7</v>
      </c>
      <c r="J190" s="4">
        <v>5</v>
      </c>
      <c r="K190" s="4" t="s">
        <v>3096</v>
      </c>
      <c r="L190" s="4" t="s">
        <v>3095</v>
      </c>
      <c r="M190" s="4">
        <v>200</v>
      </c>
      <c r="N190" s="4">
        <v>2003</v>
      </c>
      <c r="O190" s="4" t="str">
        <f>+IF(BDAlquilerDepartamentos[[#This Row],[Prec. Soles]]&gt;2500,"Caro","Economico")</f>
        <v>Caro</v>
      </c>
      <c r="P190" s="4" t="str">
        <f>+IF(AND(BDAlquilerDepartamentos[[#This Row],[N° de Dorm.]]&gt; 3,BDAlquilerDepartamentos[[#This Row],[Prec. Soles]]&lt;= 2500),"Buena Oferta", "Precio Estadar")</f>
        <v>Precio Estadar</v>
      </c>
      <c r="Q190" t="s">
        <v>1399</v>
      </c>
      <c r="R190" t="s">
        <v>1102</v>
      </c>
      <c r="S190" s="11">
        <v>45597</v>
      </c>
      <c r="T190" t="s">
        <v>3158</v>
      </c>
      <c r="U190" t="s">
        <v>1400</v>
      </c>
    </row>
    <row r="191" spans="2:21" x14ac:dyDescent="0.3">
      <c r="B191" t="s">
        <v>1401</v>
      </c>
      <c r="C191" t="s">
        <v>2544</v>
      </c>
      <c r="D191" t="s">
        <v>2463</v>
      </c>
      <c r="E191" t="s">
        <v>2580</v>
      </c>
      <c r="F191" t="s">
        <v>2580</v>
      </c>
      <c r="G191" s="8">
        <v>1600</v>
      </c>
      <c r="H191" s="8">
        <f>+IF(BDAlquilerDepartamentos[[#This Row],[Ciudad]]="Lima",BDAlquilerDepartamentos[[#This Row],[Prec. Soles]]*0.1,BDAlquilerDepartamentos[[#This Row],[Prec. Soles]]*0.05)</f>
        <v>160</v>
      </c>
      <c r="I191" s="4">
        <v>2</v>
      </c>
      <c r="J191" s="4">
        <v>1</v>
      </c>
      <c r="K191" s="4" t="s">
        <v>3096</v>
      </c>
      <c r="L191" s="4" t="s">
        <v>3095</v>
      </c>
      <c r="M191" s="4">
        <v>90</v>
      </c>
      <c r="N191" s="4">
        <v>2020</v>
      </c>
      <c r="O191" s="4" t="str">
        <f>+IF(BDAlquilerDepartamentos[[#This Row],[Prec. Soles]]&gt;2500,"Caro","Economico")</f>
        <v>Economico</v>
      </c>
      <c r="P191" s="4" t="str">
        <f>+IF(AND(BDAlquilerDepartamentos[[#This Row],[N° de Dorm.]]&gt; 3,BDAlquilerDepartamentos[[#This Row],[Prec. Soles]]&lt;= 2500),"Buena Oferta", "Precio Estadar")</f>
        <v>Precio Estadar</v>
      </c>
      <c r="Q191" t="s">
        <v>1101</v>
      </c>
      <c r="R191" t="s">
        <v>1102</v>
      </c>
      <c r="S191" s="11">
        <v>45092</v>
      </c>
      <c r="T191" t="s">
        <v>2895</v>
      </c>
      <c r="U191" t="s">
        <v>1402</v>
      </c>
    </row>
    <row r="192" spans="2:21" x14ac:dyDescent="0.3">
      <c r="B192" t="s">
        <v>1306</v>
      </c>
      <c r="C192" t="s">
        <v>2515</v>
      </c>
      <c r="D192" t="s">
        <v>2425</v>
      </c>
      <c r="E192" t="s">
        <v>2580</v>
      </c>
      <c r="F192" t="s">
        <v>2580</v>
      </c>
      <c r="G192" s="8">
        <v>1100</v>
      </c>
      <c r="H192" s="8">
        <f>+IF(BDAlquilerDepartamentos[[#This Row],[Ciudad]]="Lima",BDAlquilerDepartamentos[[#This Row],[Prec. Soles]]*0.1,BDAlquilerDepartamentos[[#This Row],[Prec. Soles]]*0.05)</f>
        <v>110</v>
      </c>
      <c r="I192" s="4">
        <v>2</v>
      </c>
      <c r="J192" s="4">
        <v>1</v>
      </c>
      <c r="K192" s="4" t="s">
        <v>3096</v>
      </c>
      <c r="L192" s="4" t="s">
        <v>3095</v>
      </c>
      <c r="M192" s="4">
        <v>51</v>
      </c>
      <c r="N192" s="4">
        <v>2022</v>
      </c>
      <c r="O192" s="4" t="str">
        <f>+IF(BDAlquilerDepartamentos[[#This Row],[Prec. Soles]]&gt;2500,"Caro","Economico")</f>
        <v>Economico</v>
      </c>
      <c r="P192" s="4" t="str">
        <f>+IF(AND(BDAlquilerDepartamentos[[#This Row],[N° de Dorm.]]&gt; 3,BDAlquilerDepartamentos[[#This Row],[Prec. Soles]]&lt;= 2500),"Buena Oferta", "Precio Estadar")</f>
        <v>Precio Estadar</v>
      </c>
      <c r="Q192" t="s">
        <v>1101</v>
      </c>
      <c r="R192" t="s">
        <v>1102</v>
      </c>
      <c r="S192" s="11">
        <v>44998</v>
      </c>
      <c r="T192" t="s">
        <v>2843</v>
      </c>
      <c r="U192" t="s">
        <v>1403</v>
      </c>
    </row>
    <row r="193" spans="2:21" x14ac:dyDescent="0.3">
      <c r="B193" t="s">
        <v>1404</v>
      </c>
      <c r="C193" t="s">
        <v>2545</v>
      </c>
      <c r="D193" t="s">
        <v>2580</v>
      </c>
      <c r="E193" t="s">
        <v>2580</v>
      </c>
      <c r="F193" t="s">
        <v>2580</v>
      </c>
      <c r="G193" s="8">
        <v>1500</v>
      </c>
      <c r="H193" s="8">
        <f>+IF(BDAlquilerDepartamentos[[#This Row],[Ciudad]]="Lima",BDAlquilerDepartamentos[[#This Row],[Prec. Soles]]*0.1,BDAlquilerDepartamentos[[#This Row],[Prec. Soles]]*0.05)</f>
        <v>150</v>
      </c>
      <c r="I193" s="4">
        <v>2</v>
      </c>
      <c r="J193" s="4">
        <v>2</v>
      </c>
      <c r="K193" s="4" t="s">
        <v>3095</v>
      </c>
      <c r="L193" s="4" t="s">
        <v>3096</v>
      </c>
      <c r="M193" s="4">
        <v>65</v>
      </c>
      <c r="N193" s="4">
        <v>2022</v>
      </c>
      <c r="O193" s="4" t="str">
        <f>+IF(BDAlquilerDepartamentos[[#This Row],[Prec. Soles]]&gt;2500,"Caro","Economico")</f>
        <v>Economico</v>
      </c>
      <c r="P193" s="4" t="str">
        <f>+IF(AND(BDAlquilerDepartamentos[[#This Row],[N° de Dorm.]]&gt; 3,BDAlquilerDepartamentos[[#This Row],[Prec. Soles]]&lt;= 2500),"Buena Oferta", "Precio Estadar")</f>
        <v>Precio Estadar</v>
      </c>
      <c r="Q193" t="s">
        <v>1101</v>
      </c>
      <c r="R193" t="s">
        <v>1102</v>
      </c>
      <c r="S193" s="11">
        <v>45623</v>
      </c>
      <c r="T193" t="s">
        <v>2843</v>
      </c>
      <c r="U193" t="s">
        <v>1405</v>
      </c>
    </row>
    <row r="194" spans="2:21" x14ac:dyDescent="0.3">
      <c r="B194" t="s">
        <v>1406</v>
      </c>
      <c r="C194" t="s">
        <v>2546</v>
      </c>
      <c r="D194" t="s">
        <v>2422</v>
      </c>
      <c r="E194" t="s">
        <v>2580</v>
      </c>
      <c r="F194" t="s">
        <v>2580</v>
      </c>
      <c r="G194" s="8">
        <v>2775</v>
      </c>
      <c r="H194" s="8">
        <f>+IF(BDAlquilerDepartamentos[[#This Row],[Ciudad]]="Lima",BDAlquilerDepartamentos[[#This Row],[Prec. Soles]]*0.1,BDAlquilerDepartamentos[[#This Row],[Prec. Soles]]*0.05)</f>
        <v>277.5</v>
      </c>
      <c r="I194" s="4">
        <v>2</v>
      </c>
      <c r="J194" s="4">
        <v>2</v>
      </c>
      <c r="K194" s="4" t="s">
        <v>3095</v>
      </c>
      <c r="L194" s="4" t="s">
        <v>3096</v>
      </c>
      <c r="M194" s="4">
        <v>70</v>
      </c>
      <c r="N194" s="4">
        <v>2023</v>
      </c>
      <c r="O194" s="4" t="str">
        <f>+IF(BDAlquilerDepartamentos[[#This Row],[Prec. Soles]]&gt;2500,"Caro","Economico")</f>
        <v>Caro</v>
      </c>
      <c r="P194" s="4" t="str">
        <f>+IF(AND(BDAlquilerDepartamentos[[#This Row],[N° de Dorm.]]&gt; 3,BDAlquilerDepartamentos[[#This Row],[Prec. Soles]]&lt;= 2500),"Buena Oferta", "Precio Estadar")</f>
        <v>Precio Estadar</v>
      </c>
      <c r="Q194" t="s">
        <v>1101</v>
      </c>
      <c r="R194" t="s">
        <v>1102</v>
      </c>
      <c r="S194" s="11">
        <v>45468</v>
      </c>
      <c r="T194" t="s">
        <v>2896</v>
      </c>
      <c r="U194" t="s">
        <v>1407</v>
      </c>
    </row>
    <row r="195" spans="2:21" x14ac:dyDescent="0.3">
      <c r="B195" t="s">
        <v>1408</v>
      </c>
      <c r="C195" t="s">
        <v>2547</v>
      </c>
      <c r="D195" t="s">
        <v>2548</v>
      </c>
      <c r="E195" t="s">
        <v>2473</v>
      </c>
      <c r="F195" t="s">
        <v>2473</v>
      </c>
      <c r="G195" s="8">
        <v>6800</v>
      </c>
      <c r="H195" s="8">
        <f>+IF(BDAlquilerDepartamentos[[#This Row],[Ciudad]]="Lima",BDAlquilerDepartamentos[[#This Row],[Prec. Soles]]*0.1,BDAlquilerDepartamentos[[#This Row],[Prec. Soles]]*0.05)</f>
        <v>340</v>
      </c>
      <c r="I195" s="4">
        <v>4</v>
      </c>
      <c r="J195" s="4">
        <v>4</v>
      </c>
      <c r="K195" s="4" t="s">
        <v>3096</v>
      </c>
      <c r="L195" s="4" t="s">
        <v>3095</v>
      </c>
      <c r="M195" s="4">
        <v>500</v>
      </c>
      <c r="N195" s="4">
        <v>2009</v>
      </c>
      <c r="O195" s="4" t="str">
        <f>+IF(BDAlquilerDepartamentos[[#This Row],[Prec. Soles]]&gt;2500,"Caro","Economico")</f>
        <v>Caro</v>
      </c>
      <c r="P195" s="4" t="str">
        <f>+IF(AND(BDAlquilerDepartamentos[[#This Row],[N° de Dorm.]]&gt; 3,BDAlquilerDepartamentos[[#This Row],[Prec. Soles]]&lt;= 2500),"Buena Oferta", "Precio Estadar")</f>
        <v>Precio Estadar</v>
      </c>
      <c r="Q195" t="s">
        <v>1113</v>
      </c>
      <c r="R195" t="s">
        <v>1102</v>
      </c>
      <c r="S195" s="11">
        <v>45497</v>
      </c>
      <c r="T195" t="s">
        <v>2897</v>
      </c>
      <c r="U195" t="s">
        <v>1409</v>
      </c>
    </row>
    <row r="196" spans="2:21" x14ac:dyDescent="0.3">
      <c r="B196" t="s">
        <v>1406</v>
      </c>
      <c r="C196" t="s">
        <v>2546</v>
      </c>
      <c r="D196" t="s">
        <v>2422</v>
      </c>
      <c r="E196" t="s">
        <v>2580</v>
      </c>
      <c r="F196" t="s">
        <v>2580</v>
      </c>
      <c r="G196" s="8">
        <v>2775</v>
      </c>
      <c r="H196" s="8">
        <f>+IF(BDAlquilerDepartamentos[[#This Row],[Ciudad]]="Lima",BDAlquilerDepartamentos[[#This Row],[Prec. Soles]]*0.1,BDAlquilerDepartamentos[[#This Row],[Prec. Soles]]*0.05)</f>
        <v>277.5</v>
      </c>
      <c r="I196" s="4">
        <v>2</v>
      </c>
      <c r="J196" s="4">
        <v>2</v>
      </c>
      <c r="K196" s="4" t="s">
        <v>3096</v>
      </c>
      <c r="L196" s="4" t="s">
        <v>3096</v>
      </c>
      <c r="M196" s="4">
        <v>70</v>
      </c>
      <c r="N196" s="4">
        <v>2023</v>
      </c>
      <c r="O196" s="4" t="str">
        <f>+IF(BDAlquilerDepartamentos[[#This Row],[Prec. Soles]]&gt;2500,"Caro","Economico")</f>
        <v>Caro</v>
      </c>
      <c r="P196" s="4" t="str">
        <f>+IF(AND(BDAlquilerDepartamentos[[#This Row],[N° de Dorm.]]&gt; 3,BDAlquilerDepartamentos[[#This Row],[Prec. Soles]]&lt;= 2500),"Buena Oferta", "Precio Estadar")</f>
        <v>Precio Estadar</v>
      </c>
      <c r="Q196" t="s">
        <v>1101</v>
      </c>
      <c r="R196" t="s">
        <v>1102</v>
      </c>
      <c r="S196" s="11">
        <v>45492</v>
      </c>
      <c r="T196" t="s">
        <v>2896</v>
      </c>
      <c r="U196" t="s">
        <v>1410</v>
      </c>
    </row>
    <row r="197" spans="2:21" x14ac:dyDescent="0.3">
      <c r="B197" t="s">
        <v>1135</v>
      </c>
      <c r="C197" t="s">
        <v>2438</v>
      </c>
      <c r="D197" t="s">
        <v>2428</v>
      </c>
      <c r="E197" t="s">
        <v>2580</v>
      </c>
      <c r="F197" t="s">
        <v>2580</v>
      </c>
      <c r="G197" s="8">
        <v>3515</v>
      </c>
      <c r="H197" s="8">
        <f>+IF(BDAlquilerDepartamentos[[#This Row],[Ciudad]]="Lima",BDAlquilerDepartamentos[[#This Row],[Prec. Soles]]*0.1,BDAlquilerDepartamentos[[#This Row],[Prec. Soles]]*0.05)</f>
        <v>351.5</v>
      </c>
      <c r="I197" s="4">
        <v>3</v>
      </c>
      <c r="J197" s="4">
        <v>2</v>
      </c>
      <c r="K197" s="4" t="s">
        <v>3096</v>
      </c>
      <c r="L197" s="4" t="s">
        <v>3095</v>
      </c>
      <c r="M197" s="4">
        <v>100</v>
      </c>
      <c r="N197" s="4">
        <v>2006</v>
      </c>
      <c r="O197" s="4" t="str">
        <f>+IF(BDAlquilerDepartamentos[[#This Row],[Prec. Soles]]&gt;2500,"Caro","Economico")</f>
        <v>Caro</v>
      </c>
      <c r="P197" s="4" t="str">
        <f>+IF(AND(BDAlquilerDepartamentos[[#This Row],[N° de Dorm.]]&gt; 3,BDAlquilerDepartamentos[[#This Row],[Prec. Soles]]&lt;= 2500),"Buena Oferta", "Precio Estadar")</f>
        <v>Precio Estadar</v>
      </c>
      <c r="Q197" t="s">
        <v>1101</v>
      </c>
      <c r="R197" t="s">
        <v>1102</v>
      </c>
      <c r="S197" s="11">
        <v>45307</v>
      </c>
      <c r="T197" t="s">
        <v>2884</v>
      </c>
      <c r="U197" t="s">
        <v>1411</v>
      </c>
    </row>
    <row r="198" spans="2:21" x14ac:dyDescent="0.3">
      <c r="B198" t="s">
        <v>1412</v>
      </c>
      <c r="C198" t="s">
        <v>2549</v>
      </c>
      <c r="D198" t="s">
        <v>2580</v>
      </c>
      <c r="E198" t="s">
        <v>2580</v>
      </c>
      <c r="F198" t="s">
        <v>2580</v>
      </c>
      <c r="G198" s="8">
        <v>2400</v>
      </c>
      <c r="H198" s="8">
        <f>+IF(BDAlquilerDepartamentos[[#This Row],[Ciudad]]="Lima",BDAlquilerDepartamentos[[#This Row],[Prec. Soles]]*0.1,BDAlquilerDepartamentos[[#This Row],[Prec. Soles]]*0.05)</f>
        <v>240</v>
      </c>
      <c r="I198" s="4">
        <v>2</v>
      </c>
      <c r="J198" s="4">
        <v>2</v>
      </c>
      <c r="K198" s="4" t="s">
        <v>3095</v>
      </c>
      <c r="L198" s="4" t="s">
        <v>3096</v>
      </c>
      <c r="M198" s="4">
        <v>60</v>
      </c>
      <c r="N198" s="4">
        <v>2023</v>
      </c>
      <c r="O198" s="4" t="str">
        <f>+IF(BDAlquilerDepartamentos[[#This Row],[Prec. Soles]]&gt;2500,"Caro","Economico")</f>
        <v>Economico</v>
      </c>
      <c r="P198" s="4" t="str">
        <f>+IF(AND(BDAlquilerDepartamentos[[#This Row],[N° de Dorm.]]&gt; 3,BDAlquilerDepartamentos[[#This Row],[Prec. Soles]]&lt;= 2500),"Buena Oferta", "Precio Estadar")</f>
        <v>Precio Estadar</v>
      </c>
      <c r="Q198" t="s">
        <v>1101</v>
      </c>
      <c r="R198" t="s">
        <v>1102</v>
      </c>
      <c r="S198" s="11">
        <v>45460</v>
      </c>
      <c r="T198" t="s">
        <v>2866</v>
      </c>
      <c r="U198" t="s">
        <v>1413</v>
      </c>
    </row>
    <row r="199" spans="2:21" x14ac:dyDescent="0.3">
      <c r="B199" t="s">
        <v>1412</v>
      </c>
      <c r="C199" t="s">
        <v>2549</v>
      </c>
      <c r="D199" t="s">
        <v>2580</v>
      </c>
      <c r="E199" t="s">
        <v>2580</v>
      </c>
      <c r="F199" t="s">
        <v>2580</v>
      </c>
      <c r="G199" s="8">
        <v>1700</v>
      </c>
      <c r="H199" s="8">
        <f>+IF(BDAlquilerDepartamentos[[#This Row],[Ciudad]]="Lima",BDAlquilerDepartamentos[[#This Row],[Prec. Soles]]*0.1,BDAlquilerDepartamentos[[#This Row],[Prec. Soles]]*0.05)</f>
        <v>170</v>
      </c>
      <c r="I199" s="4">
        <v>1</v>
      </c>
      <c r="J199" s="4">
        <v>1</v>
      </c>
      <c r="K199" s="4" t="s">
        <v>3095</v>
      </c>
      <c r="L199" s="4" t="s">
        <v>3096</v>
      </c>
      <c r="M199" s="4">
        <v>36</v>
      </c>
      <c r="N199" s="4">
        <v>2023</v>
      </c>
      <c r="O199" s="4" t="str">
        <f>+IF(BDAlquilerDepartamentos[[#This Row],[Prec. Soles]]&gt;2500,"Caro","Economico")</f>
        <v>Economico</v>
      </c>
      <c r="P199" s="4" t="str">
        <f>+IF(AND(BDAlquilerDepartamentos[[#This Row],[N° de Dorm.]]&gt; 3,BDAlquilerDepartamentos[[#This Row],[Prec. Soles]]&lt;= 2500),"Buena Oferta", "Precio Estadar")</f>
        <v>Precio Estadar</v>
      </c>
      <c r="Q199" t="s">
        <v>1101</v>
      </c>
      <c r="R199" t="s">
        <v>1102</v>
      </c>
      <c r="S199" s="11">
        <v>45436</v>
      </c>
      <c r="T199" t="s">
        <v>2866</v>
      </c>
      <c r="U199" t="s">
        <v>1414</v>
      </c>
    </row>
    <row r="200" spans="2:21" x14ac:dyDescent="0.3">
      <c r="B200" t="s">
        <v>3113</v>
      </c>
      <c r="C200" t="s">
        <v>3114</v>
      </c>
      <c r="D200" t="s">
        <v>2436</v>
      </c>
      <c r="E200" t="s">
        <v>2580</v>
      </c>
      <c r="F200" t="s">
        <v>2580</v>
      </c>
      <c r="G200" s="8">
        <v>3213</v>
      </c>
      <c r="H200" s="8">
        <f>+IF(BDAlquilerDepartamentos[[#This Row],[Ciudad]]="Lima",BDAlquilerDepartamentos[[#This Row],[Prec. Soles]]*0.1,BDAlquilerDepartamentos[[#This Row],[Prec. Soles]]*0.05)</f>
        <v>321.3</v>
      </c>
      <c r="I200" s="4">
        <v>2</v>
      </c>
      <c r="J200" s="4">
        <v>3</v>
      </c>
      <c r="K200" s="4" t="s">
        <v>3095</v>
      </c>
      <c r="L200" s="4" t="s">
        <v>3096</v>
      </c>
      <c r="M200" s="4">
        <v>125</v>
      </c>
      <c r="N200" s="4">
        <v>1990</v>
      </c>
      <c r="O200" s="4" t="str">
        <f>+IF(BDAlquilerDepartamentos[[#This Row],[Prec. Soles]]&gt;2500,"Caro","Economico")</f>
        <v>Caro</v>
      </c>
      <c r="P200" s="4" t="str">
        <f>+IF(AND(BDAlquilerDepartamentos[[#This Row],[N° de Dorm.]]&gt; 3,BDAlquilerDepartamentos[[#This Row],[Prec. Soles]]&lt;= 2500),"Buena Oferta", "Precio Estadar")</f>
        <v>Precio Estadar</v>
      </c>
      <c r="Q200" t="s">
        <v>1101</v>
      </c>
      <c r="R200" t="s">
        <v>1102</v>
      </c>
      <c r="S200" s="11">
        <v>45535</v>
      </c>
      <c r="T200" t="s">
        <v>2898</v>
      </c>
      <c r="U200" t="s">
        <v>1415</v>
      </c>
    </row>
    <row r="201" spans="2:21" x14ac:dyDescent="0.3">
      <c r="B201" t="s">
        <v>1416</v>
      </c>
      <c r="C201" t="s">
        <v>2550</v>
      </c>
      <c r="D201" t="s">
        <v>2689</v>
      </c>
      <c r="E201" t="s">
        <v>3129</v>
      </c>
      <c r="F201" t="s">
        <v>3129</v>
      </c>
      <c r="G201" s="8">
        <v>1900</v>
      </c>
      <c r="H201" s="8">
        <f>+IF(BDAlquilerDepartamentos[[#This Row],[Ciudad]]="Lima",BDAlquilerDepartamentos[[#This Row],[Prec. Soles]]*0.1,BDAlquilerDepartamentos[[#This Row],[Prec. Soles]]*0.05)</f>
        <v>95</v>
      </c>
      <c r="I201" s="4">
        <v>3</v>
      </c>
      <c r="J201" s="4">
        <v>4</v>
      </c>
      <c r="K201" s="4" t="s">
        <v>3096</v>
      </c>
      <c r="L201" s="4" t="s">
        <v>3096</v>
      </c>
      <c r="M201" s="4">
        <v>108</v>
      </c>
      <c r="N201" s="4">
        <v>2022</v>
      </c>
      <c r="O201" s="4" t="str">
        <f>+IF(BDAlquilerDepartamentos[[#This Row],[Prec. Soles]]&gt;2500,"Caro","Economico")</f>
        <v>Economico</v>
      </c>
      <c r="P201" s="4" t="str">
        <f>+IF(AND(BDAlquilerDepartamentos[[#This Row],[N° de Dorm.]]&gt; 3,BDAlquilerDepartamentos[[#This Row],[Prec. Soles]]&lt;= 2500),"Buena Oferta", "Precio Estadar")</f>
        <v>Precio Estadar</v>
      </c>
      <c r="Q201" t="s">
        <v>1101</v>
      </c>
      <c r="R201" t="s">
        <v>1102</v>
      </c>
      <c r="S201" s="11">
        <v>45503</v>
      </c>
      <c r="T201" t="s">
        <v>2866</v>
      </c>
      <c r="U201" t="s">
        <v>1417</v>
      </c>
    </row>
    <row r="202" spans="2:21" x14ac:dyDescent="0.3">
      <c r="B202" t="s">
        <v>1418</v>
      </c>
      <c r="C202" t="s">
        <v>2551</v>
      </c>
      <c r="D202" t="s">
        <v>2501</v>
      </c>
      <c r="E202" t="s">
        <v>2580</v>
      </c>
      <c r="F202" t="s">
        <v>2580</v>
      </c>
      <c r="G202" s="8">
        <v>2300</v>
      </c>
      <c r="H202" s="8">
        <f>+IF(BDAlquilerDepartamentos[[#This Row],[Ciudad]]="Lima",BDAlquilerDepartamentos[[#This Row],[Prec. Soles]]*0.1,BDAlquilerDepartamentos[[#This Row],[Prec. Soles]]*0.05)</f>
        <v>230</v>
      </c>
      <c r="I202" s="4">
        <v>2</v>
      </c>
      <c r="J202" s="4">
        <v>2</v>
      </c>
      <c r="K202" s="4" t="s">
        <v>3096</v>
      </c>
      <c r="L202" s="4" t="s">
        <v>3096</v>
      </c>
      <c r="M202" s="4">
        <v>70</v>
      </c>
      <c r="N202" s="4">
        <v>2020</v>
      </c>
      <c r="O202" s="4" t="str">
        <f>+IF(BDAlquilerDepartamentos[[#This Row],[Prec. Soles]]&gt;2500,"Caro","Economico")</f>
        <v>Economico</v>
      </c>
      <c r="P202" s="4" t="str">
        <f>+IF(AND(BDAlquilerDepartamentos[[#This Row],[N° de Dorm.]]&gt; 3,BDAlquilerDepartamentos[[#This Row],[Prec. Soles]]&lt;= 2500),"Buena Oferta", "Precio Estadar")</f>
        <v>Precio Estadar</v>
      </c>
      <c r="Q202" t="s">
        <v>1101</v>
      </c>
      <c r="R202" t="s">
        <v>1102</v>
      </c>
      <c r="S202" s="11">
        <v>44992</v>
      </c>
      <c r="T202" t="s">
        <v>2898</v>
      </c>
      <c r="U202" t="s">
        <v>1419</v>
      </c>
    </row>
    <row r="203" spans="2:21" x14ac:dyDescent="0.3">
      <c r="B203" t="s">
        <v>3105</v>
      </c>
      <c r="C203" t="s">
        <v>3106</v>
      </c>
      <c r="D203" t="s">
        <v>2428</v>
      </c>
      <c r="E203" t="s">
        <v>2580</v>
      </c>
      <c r="F203" t="s">
        <v>2580</v>
      </c>
      <c r="G203" s="8">
        <v>3400</v>
      </c>
      <c r="H203" s="8">
        <f>+IF(BDAlquilerDepartamentos[[#This Row],[Ciudad]]="Lima",BDAlquilerDepartamentos[[#This Row],[Prec. Soles]]*0.1,BDAlquilerDepartamentos[[#This Row],[Prec. Soles]]*0.05)</f>
        <v>340</v>
      </c>
      <c r="I203" s="4">
        <v>2</v>
      </c>
      <c r="J203" s="4">
        <v>2</v>
      </c>
      <c r="K203" s="4" t="s">
        <v>3095</v>
      </c>
      <c r="L203" s="4" t="s">
        <v>3096</v>
      </c>
      <c r="M203" s="4">
        <v>86</v>
      </c>
      <c r="N203" s="4">
        <v>2018</v>
      </c>
      <c r="O203" s="4" t="str">
        <f>+IF(BDAlquilerDepartamentos[[#This Row],[Prec. Soles]]&gt;2500,"Caro","Economico")</f>
        <v>Caro</v>
      </c>
      <c r="P203" s="4" t="str">
        <f>+IF(AND(BDAlquilerDepartamentos[[#This Row],[N° de Dorm.]]&gt; 3,BDAlquilerDepartamentos[[#This Row],[Prec. Soles]]&lt;= 2500),"Buena Oferta", "Precio Estadar")</f>
        <v>Precio Estadar</v>
      </c>
      <c r="Q203" t="s">
        <v>1101</v>
      </c>
      <c r="R203" t="s">
        <v>1102</v>
      </c>
      <c r="S203" s="11">
        <v>45541</v>
      </c>
      <c r="T203" t="s">
        <v>2899</v>
      </c>
      <c r="U203" t="s">
        <v>1420</v>
      </c>
    </row>
    <row r="204" spans="2:21" x14ac:dyDescent="0.3">
      <c r="B204" t="s">
        <v>1212</v>
      </c>
      <c r="C204" t="s">
        <v>2477</v>
      </c>
      <c r="D204" t="s">
        <v>2478</v>
      </c>
      <c r="E204" t="s">
        <v>2580</v>
      </c>
      <c r="F204" t="s">
        <v>2580</v>
      </c>
      <c r="G204" s="8">
        <v>2200</v>
      </c>
      <c r="H204" s="8">
        <f>+IF(BDAlquilerDepartamentos[[#This Row],[Ciudad]]="Lima",BDAlquilerDepartamentos[[#This Row],[Prec. Soles]]*0.1,BDAlquilerDepartamentos[[#This Row],[Prec. Soles]]*0.05)</f>
        <v>220</v>
      </c>
      <c r="I204" s="4">
        <v>3</v>
      </c>
      <c r="J204" s="4">
        <v>2</v>
      </c>
      <c r="K204" s="4" t="s">
        <v>3096</v>
      </c>
      <c r="L204" s="4" t="s">
        <v>3095</v>
      </c>
      <c r="M204" s="4">
        <v>85</v>
      </c>
      <c r="N204" s="4">
        <v>2000</v>
      </c>
      <c r="O204" s="4" t="str">
        <f>+IF(BDAlquilerDepartamentos[[#This Row],[Prec. Soles]]&gt;2500,"Caro","Economico")</f>
        <v>Economico</v>
      </c>
      <c r="P204" s="4" t="str">
        <f>+IF(AND(BDAlquilerDepartamentos[[#This Row],[N° de Dorm.]]&gt; 3,BDAlquilerDepartamentos[[#This Row],[Prec. Soles]]&lt;= 2500),"Buena Oferta", "Precio Estadar")</f>
        <v>Precio Estadar</v>
      </c>
      <c r="Q204" t="s">
        <v>1101</v>
      </c>
      <c r="R204" t="s">
        <v>1102</v>
      </c>
      <c r="S204" s="11">
        <v>45620</v>
      </c>
      <c r="T204" t="s">
        <v>2839</v>
      </c>
      <c r="U204" t="s">
        <v>1421</v>
      </c>
    </row>
    <row r="205" spans="2:21" x14ac:dyDescent="0.3">
      <c r="B205" t="s">
        <v>1220</v>
      </c>
      <c r="C205" t="s">
        <v>2479</v>
      </c>
      <c r="D205" t="s">
        <v>2452</v>
      </c>
      <c r="E205" t="s">
        <v>2580</v>
      </c>
      <c r="F205" t="s">
        <v>2580</v>
      </c>
      <c r="G205" s="8">
        <v>3663</v>
      </c>
      <c r="H205" s="8">
        <f>+IF(BDAlquilerDepartamentos[[#This Row],[Ciudad]]="Lima",BDAlquilerDepartamentos[[#This Row],[Prec. Soles]]*0.1,BDAlquilerDepartamentos[[#This Row],[Prec. Soles]]*0.05)</f>
        <v>366.3</v>
      </c>
      <c r="I205" s="4">
        <v>3</v>
      </c>
      <c r="J205" s="4">
        <v>3</v>
      </c>
      <c r="K205" s="4" t="s">
        <v>3096</v>
      </c>
      <c r="L205" s="4" t="s">
        <v>3095</v>
      </c>
      <c r="M205" s="4">
        <v>106</v>
      </c>
      <c r="N205" s="4">
        <v>2022</v>
      </c>
      <c r="O205" s="4" t="str">
        <f>+IF(BDAlquilerDepartamentos[[#This Row],[Prec. Soles]]&gt;2500,"Caro","Economico")</f>
        <v>Caro</v>
      </c>
      <c r="P205" s="4" t="str">
        <f>+IF(AND(BDAlquilerDepartamentos[[#This Row],[N° de Dorm.]]&gt; 3,BDAlquilerDepartamentos[[#This Row],[Prec. Soles]]&lt;= 2500),"Buena Oferta", "Precio Estadar")</f>
        <v>Precio Estadar</v>
      </c>
      <c r="Q205" t="s">
        <v>1101</v>
      </c>
      <c r="R205" t="s">
        <v>1102</v>
      </c>
      <c r="S205" s="11">
        <v>45257</v>
      </c>
      <c r="T205" t="s">
        <v>2839</v>
      </c>
      <c r="U205" t="s">
        <v>1422</v>
      </c>
    </row>
    <row r="206" spans="2:21" x14ac:dyDescent="0.3">
      <c r="B206" t="s">
        <v>1423</v>
      </c>
      <c r="C206" t="s">
        <v>2552</v>
      </c>
      <c r="D206" t="s">
        <v>2553</v>
      </c>
      <c r="E206" t="s">
        <v>2580</v>
      </c>
      <c r="F206" t="s">
        <v>2580</v>
      </c>
      <c r="G206" s="8">
        <v>2775</v>
      </c>
      <c r="H206" s="8">
        <f>+IF(BDAlquilerDepartamentos[[#This Row],[Ciudad]]="Lima",BDAlquilerDepartamentos[[#This Row],[Prec. Soles]]*0.1,BDAlquilerDepartamentos[[#This Row],[Prec. Soles]]*0.05)</f>
        <v>277.5</v>
      </c>
      <c r="I206" s="4">
        <v>3</v>
      </c>
      <c r="J206" s="4">
        <v>2</v>
      </c>
      <c r="K206" s="4" t="s">
        <v>3095</v>
      </c>
      <c r="L206" s="4" t="s">
        <v>3095</v>
      </c>
      <c r="M206" s="4">
        <v>80</v>
      </c>
      <c r="N206" s="4">
        <v>2012</v>
      </c>
      <c r="O206" s="4" t="str">
        <f>+IF(BDAlquilerDepartamentos[[#This Row],[Prec. Soles]]&gt;2500,"Caro","Economico")</f>
        <v>Caro</v>
      </c>
      <c r="P206" s="4" t="str">
        <f>+IF(AND(BDAlquilerDepartamentos[[#This Row],[N° de Dorm.]]&gt; 3,BDAlquilerDepartamentos[[#This Row],[Prec. Soles]]&lt;= 2500),"Buena Oferta", "Precio Estadar")</f>
        <v>Precio Estadar</v>
      </c>
      <c r="Q206" t="s">
        <v>1101</v>
      </c>
      <c r="R206" t="s">
        <v>1102</v>
      </c>
      <c r="S206" s="11">
        <v>44955</v>
      </c>
      <c r="T206" t="s">
        <v>2896</v>
      </c>
      <c r="U206" t="s">
        <v>1424</v>
      </c>
    </row>
    <row r="207" spans="2:21" x14ac:dyDescent="0.3">
      <c r="B207" t="s">
        <v>1425</v>
      </c>
      <c r="C207" t="s">
        <v>2554</v>
      </c>
      <c r="D207" t="s">
        <v>2463</v>
      </c>
      <c r="E207" t="s">
        <v>2580</v>
      </c>
      <c r="F207" t="s">
        <v>2580</v>
      </c>
      <c r="G207" s="8">
        <v>1400</v>
      </c>
      <c r="H207" s="8">
        <f>+IF(BDAlquilerDepartamentos[[#This Row],[Ciudad]]="Lima",BDAlquilerDepartamentos[[#This Row],[Prec. Soles]]*0.1,BDAlquilerDepartamentos[[#This Row],[Prec. Soles]]*0.05)</f>
        <v>140</v>
      </c>
      <c r="I207" s="4">
        <v>2</v>
      </c>
      <c r="J207" s="4">
        <v>1</v>
      </c>
      <c r="K207" s="4" t="s">
        <v>3096</v>
      </c>
      <c r="L207" s="4" t="s">
        <v>3096</v>
      </c>
      <c r="M207" s="4">
        <v>70</v>
      </c>
      <c r="N207" s="4">
        <v>2013</v>
      </c>
      <c r="O207" s="4" t="str">
        <f>+IF(BDAlquilerDepartamentos[[#This Row],[Prec. Soles]]&gt;2500,"Caro","Economico")</f>
        <v>Economico</v>
      </c>
      <c r="P207" s="4" t="str">
        <f>+IF(AND(BDAlquilerDepartamentos[[#This Row],[N° de Dorm.]]&gt; 3,BDAlquilerDepartamentos[[#This Row],[Prec. Soles]]&lt;= 2500),"Buena Oferta", "Precio Estadar")</f>
        <v>Precio Estadar</v>
      </c>
      <c r="Q207" t="s">
        <v>1101</v>
      </c>
      <c r="R207" t="s">
        <v>1102</v>
      </c>
      <c r="S207" s="11">
        <v>45441</v>
      </c>
      <c r="T207" t="s">
        <v>2900</v>
      </c>
      <c r="U207" t="s">
        <v>1426</v>
      </c>
    </row>
    <row r="208" spans="2:21" x14ac:dyDescent="0.3">
      <c r="B208" t="s">
        <v>1100</v>
      </c>
      <c r="C208" t="s">
        <v>2415</v>
      </c>
      <c r="D208" t="s">
        <v>2436</v>
      </c>
      <c r="E208" t="s">
        <v>2580</v>
      </c>
      <c r="F208" t="s">
        <v>2580</v>
      </c>
      <c r="G208" s="8">
        <v>4070</v>
      </c>
      <c r="H208" s="8">
        <f>+IF(BDAlquilerDepartamentos[[#This Row],[Ciudad]]="Lima",BDAlquilerDepartamentos[[#This Row],[Prec. Soles]]*0.1,BDAlquilerDepartamentos[[#This Row],[Prec. Soles]]*0.05)</f>
        <v>407</v>
      </c>
      <c r="I208" s="4">
        <v>1</v>
      </c>
      <c r="J208" s="4">
        <v>1</v>
      </c>
      <c r="K208" s="4" t="s">
        <v>3096</v>
      </c>
      <c r="L208" s="4" t="s">
        <v>3096</v>
      </c>
      <c r="M208" s="4">
        <v>120</v>
      </c>
      <c r="N208" s="4">
        <v>2018</v>
      </c>
      <c r="O208" s="4" t="str">
        <f>+IF(BDAlquilerDepartamentos[[#This Row],[Prec. Soles]]&gt;2500,"Caro","Economico")</f>
        <v>Caro</v>
      </c>
      <c r="P208" s="4" t="str">
        <f>+IF(AND(BDAlquilerDepartamentos[[#This Row],[N° de Dorm.]]&gt; 3,BDAlquilerDepartamentos[[#This Row],[Prec. Soles]]&lt;= 2500),"Buena Oferta", "Precio Estadar")</f>
        <v>Precio Estadar</v>
      </c>
      <c r="Q208" t="s">
        <v>1101</v>
      </c>
      <c r="R208" t="s">
        <v>1102</v>
      </c>
      <c r="S208" s="11">
        <v>45314</v>
      </c>
      <c r="T208" t="s">
        <v>2819</v>
      </c>
      <c r="U208" t="s">
        <v>1427</v>
      </c>
    </row>
    <row r="209" spans="2:21" x14ac:dyDescent="0.3">
      <c r="B209" t="s">
        <v>1428</v>
      </c>
      <c r="C209" t="s">
        <v>2555</v>
      </c>
      <c r="D209" t="s">
        <v>2805</v>
      </c>
      <c r="E209" t="s">
        <v>2580</v>
      </c>
      <c r="F209" t="s">
        <v>2580</v>
      </c>
      <c r="G209" s="8">
        <v>3000</v>
      </c>
      <c r="H209" s="8">
        <f>+IF(BDAlquilerDepartamentos[[#This Row],[Ciudad]]="Lima",BDAlquilerDepartamentos[[#This Row],[Prec. Soles]]*0.1,BDAlquilerDepartamentos[[#This Row],[Prec. Soles]]*0.05)</f>
        <v>300</v>
      </c>
      <c r="I209" s="4">
        <v>4</v>
      </c>
      <c r="J209" s="4">
        <v>5</v>
      </c>
      <c r="K209" s="4" t="s">
        <v>3095</v>
      </c>
      <c r="L209" s="4" t="s">
        <v>3096</v>
      </c>
      <c r="M209" s="17">
        <v>1400</v>
      </c>
      <c r="N209" s="4">
        <v>2020</v>
      </c>
      <c r="O209" s="4" t="str">
        <f>+IF(BDAlquilerDepartamentos[[#This Row],[Prec. Soles]]&gt;2500,"Caro","Economico")</f>
        <v>Caro</v>
      </c>
      <c r="P209" s="4" t="str">
        <f>+IF(AND(BDAlquilerDepartamentos[[#This Row],[N° de Dorm.]]&gt; 3,BDAlquilerDepartamentos[[#This Row],[Prec. Soles]]&lt;= 2500),"Buena Oferta", "Precio Estadar")</f>
        <v>Precio Estadar</v>
      </c>
      <c r="Q209" t="s">
        <v>1113</v>
      </c>
      <c r="R209" t="s">
        <v>1102</v>
      </c>
      <c r="S209" s="11">
        <v>45616</v>
      </c>
      <c r="T209" t="s">
        <v>2827</v>
      </c>
      <c r="U209" t="s">
        <v>1429</v>
      </c>
    </row>
    <row r="210" spans="2:21" x14ac:dyDescent="0.3">
      <c r="B210" t="s">
        <v>1100</v>
      </c>
      <c r="C210" t="s">
        <v>2415</v>
      </c>
      <c r="D210" t="s">
        <v>2436</v>
      </c>
      <c r="E210" t="s">
        <v>2580</v>
      </c>
      <c r="F210" t="s">
        <v>2580</v>
      </c>
      <c r="G210" s="8">
        <v>5365</v>
      </c>
      <c r="H210" s="8">
        <f>+IF(BDAlquilerDepartamentos[[#This Row],[Ciudad]]="Lima",BDAlquilerDepartamentos[[#This Row],[Prec. Soles]]*0.1,BDAlquilerDepartamentos[[#This Row],[Prec. Soles]]*0.05)</f>
        <v>536.5</v>
      </c>
      <c r="I210" s="4">
        <v>2</v>
      </c>
      <c r="J210" s="4">
        <v>3</v>
      </c>
      <c r="K210" s="4" t="s">
        <v>3096</v>
      </c>
      <c r="L210" s="4" t="s">
        <v>3096</v>
      </c>
      <c r="M210" s="4">
        <v>121</v>
      </c>
      <c r="N210" s="4">
        <v>2001</v>
      </c>
      <c r="O210" s="4" t="str">
        <f>+IF(BDAlquilerDepartamentos[[#This Row],[Prec. Soles]]&gt;2500,"Caro","Economico")</f>
        <v>Caro</v>
      </c>
      <c r="P210" s="4" t="str">
        <f>+IF(AND(BDAlquilerDepartamentos[[#This Row],[N° de Dorm.]]&gt; 3,BDAlquilerDepartamentos[[#This Row],[Prec. Soles]]&lt;= 2500),"Buena Oferta", "Precio Estadar")</f>
        <v>Precio Estadar</v>
      </c>
      <c r="Q210" t="s">
        <v>1101</v>
      </c>
      <c r="R210" t="s">
        <v>1102</v>
      </c>
      <c r="S210" s="11">
        <v>44958</v>
      </c>
      <c r="T210" t="s">
        <v>2862</v>
      </c>
      <c r="U210" t="s">
        <v>1430</v>
      </c>
    </row>
    <row r="211" spans="2:21" x14ac:dyDescent="0.3">
      <c r="B211" t="s">
        <v>1406</v>
      </c>
      <c r="C211" t="s">
        <v>2546</v>
      </c>
      <c r="D211" t="s">
        <v>2422</v>
      </c>
      <c r="E211" t="s">
        <v>2580</v>
      </c>
      <c r="F211" t="s">
        <v>2580</v>
      </c>
      <c r="G211" s="8">
        <v>2590</v>
      </c>
      <c r="H211" s="8">
        <f>+IF(BDAlquilerDepartamentos[[#This Row],[Ciudad]]="Lima",BDAlquilerDepartamentos[[#This Row],[Prec. Soles]]*0.1,BDAlquilerDepartamentos[[#This Row],[Prec. Soles]]*0.05)</f>
        <v>259</v>
      </c>
      <c r="I211" s="4">
        <v>1</v>
      </c>
      <c r="J211" s="4">
        <v>2</v>
      </c>
      <c r="K211" s="4" t="s">
        <v>3096</v>
      </c>
      <c r="L211" s="4" t="s">
        <v>3096</v>
      </c>
      <c r="M211" s="4">
        <v>45</v>
      </c>
      <c r="N211" s="4">
        <v>2023</v>
      </c>
      <c r="O211" s="4" t="str">
        <f>+IF(BDAlquilerDepartamentos[[#This Row],[Prec. Soles]]&gt;2500,"Caro","Economico")</f>
        <v>Caro</v>
      </c>
      <c r="P211" s="4" t="str">
        <f>+IF(AND(BDAlquilerDepartamentos[[#This Row],[N° de Dorm.]]&gt; 3,BDAlquilerDepartamentos[[#This Row],[Prec. Soles]]&lt;= 2500),"Buena Oferta", "Precio Estadar")</f>
        <v>Precio Estadar</v>
      </c>
      <c r="Q211" t="s">
        <v>1101</v>
      </c>
      <c r="R211" t="s">
        <v>1102</v>
      </c>
      <c r="S211" s="11">
        <v>44947</v>
      </c>
      <c r="T211" t="s">
        <v>2901</v>
      </c>
      <c r="U211" t="s">
        <v>1431</v>
      </c>
    </row>
    <row r="212" spans="2:21" x14ac:dyDescent="0.3">
      <c r="B212" t="s">
        <v>1432</v>
      </c>
      <c r="C212" t="s">
        <v>2556</v>
      </c>
      <c r="D212" t="s">
        <v>2420</v>
      </c>
      <c r="E212" t="s">
        <v>2580</v>
      </c>
      <c r="F212" t="s">
        <v>2580</v>
      </c>
      <c r="G212" s="8">
        <v>1800</v>
      </c>
      <c r="H212" s="8">
        <f>+IF(BDAlquilerDepartamentos[[#This Row],[Ciudad]]="Lima",BDAlquilerDepartamentos[[#This Row],[Prec. Soles]]*0.1,BDAlquilerDepartamentos[[#This Row],[Prec. Soles]]*0.05)</f>
        <v>180</v>
      </c>
      <c r="I212" s="4">
        <v>2</v>
      </c>
      <c r="J212" s="4">
        <v>1</v>
      </c>
      <c r="K212" s="4" t="s">
        <v>3096</v>
      </c>
      <c r="L212" s="4" t="s">
        <v>3095</v>
      </c>
      <c r="M212" s="4">
        <v>65</v>
      </c>
      <c r="N212" s="4">
        <v>2020</v>
      </c>
      <c r="O212" s="4" t="str">
        <f>+IF(BDAlquilerDepartamentos[[#This Row],[Prec. Soles]]&gt;2500,"Caro","Economico")</f>
        <v>Economico</v>
      </c>
      <c r="P212" s="4" t="str">
        <f>+IF(AND(BDAlquilerDepartamentos[[#This Row],[N° de Dorm.]]&gt; 3,BDAlquilerDepartamentos[[#This Row],[Prec. Soles]]&lt;= 2500),"Buena Oferta", "Precio Estadar")</f>
        <v>Precio Estadar</v>
      </c>
      <c r="Q212" t="s">
        <v>1101</v>
      </c>
      <c r="R212" t="s">
        <v>1102</v>
      </c>
      <c r="S212" s="11">
        <v>45227</v>
      </c>
      <c r="T212" t="s">
        <v>2902</v>
      </c>
      <c r="U212" t="s">
        <v>1433</v>
      </c>
    </row>
    <row r="213" spans="2:21" x14ac:dyDescent="0.3">
      <c r="B213" t="s">
        <v>1406</v>
      </c>
      <c r="C213" t="s">
        <v>2546</v>
      </c>
      <c r="D213" t="s">
        <v>2422</v>
      </c>
      <c r="E213" t="s">
        <v>2580</v>
      </c>
      <c r="F213" t="s">
        <v>2580</v>
      </c>
      <c r="G213" s="8">
        <v>3300</v>
      </c>
      <c r="H213" s="8">
        <f>+IF(BDAlquilerDepartamentos[[#This Row],[Ciudad]]="Lima",BDAlquilerDepartamentos[[#This Row],[Prec. Soles]]*0.1,BDAlquilerDepartamentos[[#This Row],[Prec. Soles]]*0.05)</f>
        <v>330</v>
      </c>
      <c r="I213" s="4">
        <v>2</v>
      </c>
      <c r="J213" s="4">
        <v>2</v>
      </c>
      <c r="K213" s="4" t="s">
        <v>3096</v>
      </c>
      <c r="L213" s="4" t="s">
        <v>3096</v>
      </c>
      <c r="M213" s="4">
        <v>60</v>
      </c>
      <c r="N213" s="4">
        <v>2023</v>
      </c>
      <c r="O213" s="4" t="str">
        <f>+IF(BDAlquilerDepartamentos[[#This Row],[Prec. Soles]]&gt;2500,"Caro","Economico")</f>
        <v>Caro</v>
      </c>
      <c r="P213" s="4" t="str">
        <f>+IF(AND(BDAlquilerDepartamentos[[#This Row],[N° de Dorm.]]&gt; 3,BDAlquilerDepartamentos[[#This Row],[Prec. Soles]]&lt;= 2500),"Buena Oferta", "Precio Estadar")</f>
        <v>Precio Estadar</v>
      </c>
      <c r="Q213" t="s">
        <v>1101</v>
      </c>
      <c r="R213" t="s">
        <v>1102</v>
      </c>
      <c r="S213" s="11">
        <v>45323</v>
      </c>
      <c r="T213" t="s">
        <v>2901</v>
      </c>
      <c r="U213" t="s">
        <v>1434</v>
      </c>
    </row>
    <row r="214" spans="2:21" x14ac:dyDescent="0.3">
      <c r="B214" t="s">
        <v>1435</v>
      </c>
      <c r="C214" t="s">
        <v>2557</v>
      </c>
      <c r="D214" t="s">
        <v>2580</v>
      </c>
      <c r="E214" t="s">
        <v>2580</v>
      </c>
      <c r="F214" t="s">
        <v>2580</v>
      </c>
      <c r="G214" s="8">
        <v>3700</v>
      </c>
      <c r="H214" s="8">
        <f>+IF(BDAlquilerDepartamentos[[#This Row],[Ciudad]]="Lima",BDAlquilerDepartamentos[[#This Row],[Prec. Soles]]*0.1,BDAlquilerDepartamentos[[#This Row],[Prec. Soles]]*0.05)</f>
        <v>370</v>
      </c>
      <c r="I214" s="4">
        <v>2</v>
      </c>
      <c r="J214" s="4">
        <v>3</v>
      </c>
      <c r="K214" s="4" t="s">
        <v>3095</v>
      </c>
      <c r="L214" s="4" t="s">
        <v>3096</v>
      </c>
      <c r="M214" s="4">
        <v>126</v>
      </c>
      <c r="N214" s="4">
        <v>2016</v>
      </c>
      <c r="O214" s="4" t="str">
        <f>+IF(BDAlquilerDepartamentos[[#This Row],[Prec. Soles]]&gt;2500,"Caro","Economico")</f>
        <v>Caro</v>
      </c>
      <c r="P214" s="4" t="str">
        <f>+IF(AND(BDAlquilerDepartamentos[[#This Row],[N° de Dorm.]]&gt; 3,BDAlquilerDepartamentos[[#This Row],[Prec. Soles]]&lt;= 2500),"Buena Oferta", "Precio Estadar")</f>
        <v>Precio Estadar</v>
      </c>
      <c r="Q214" t="s">
        <v>1101</v>
      </c>
      <c r="R214" t="s">
        <v>1102</v>
      </c>
      <c r="S214" s="11">
        <v>45605</v>
      </c>
      <c r="T214" t="s">
        <v>2862</v>
      </c>
      <c r="U214" t="s">
        <v>1436</v>
      </c>
    </row>
    <row r="215" spans="2:21" x14ac:dyDescent="0.3">
      <c r="B215" t="s">
        <v>1432</v>
      </c>
      <c r="C215" t="s">
        <v>2556</v>
      </c>
      <c r="D215" t="s">
        <v>2420</v>
      </c>
      <c r="E215" t="s">
        <v>2580</v>
      </c>
      <c r="F215" t="s">
        <v>2580</v>
      </c>
      <c r="G215" s="8">
        <v>1900</v>
      </c>
      <c r="H215" s="8">
        <f>+IF(BDAlquilerDepartamentos[[#This Row],[Ciudad]]="Lima",BDAlquilerDepartamentos[[#This Row],[Prec. Soles]]*0.1,BDAlquilerDepartamentos[[#This Row],[Prec. Soles]]*0.05)</f>
        <v>190</v>
      </c>
      <c r="I215" s="4">
        <v>2</v>
      </c>
      <c r="J215" s="4">
        <v>1</v>
      </c>
      <c r="K215" s="4" t="s">
        <v>3096</v>
      </c>
      <c r="L215" s="4" t="s">
        <v>3095</v>
      </c>
      <c r="M215" s="4">
        <v>65</v>
      </c>
      <c r="N215" s="4">
        <v>2020</v>
      </c>
      <c r="O215" s="4" t="str">
        <f>+IF(BDAlquilerDepartamentos[[#This Row],[Prec. Soles]]&gt;2500,"Caro","Economico")</f>
        <v>Economico</v>
      </c>
      <c r="P215" s="4" t="str">
        <f>+IF(AND(BDAlquilerDepartamentos[[#This Row],[N° de Dorm.]]&gt; 3,BDAlquilerDepartamentos[[#This Row],[Prec. Soles]]&lt;= 2500),"Buena Oferta", "Precio Estadar")</f>
        <v>Precio Estadar</v>
      </c>
      <c r="Q215" t="s">
        <v>1101</v>
      </c>
      <c r="R215" t="s">
        <v>1102</v>
      </c>
      <c r="S215" s="11">
        <v>45395</v>
      </c>
      <c r="T215" t="s">
        <v>2902</v>
      </c>
      <c r="U215" t="s">
        <v>1437</v>
      </c>
    </row>
    <row r="216" spans="2:21" x14ac:dyDescent="0.3">
      <c r="B216" t="s">
        <v>1298</v>
      </c>
      <c r="C216" t="s">
        <v>2511</v>
      </c>
      <c r="D216" t="s">
        <v>2444</v>
      </c>
      <c r="E216" t="s">
        <v>2580</v>
      </c>
      <c r="F216" t="s">
        <v>2580</v>
      </c>
      <c r="G216" s="8">
        <v>2405</v>
      </c>
      <c r="H216" s="8">
        <f>+IF(BDAlquilerDepartamentos[[#This Row],[Ciudad]]="Lima",BDAlquilerDepartamentos[[#This Row],[Prec. Soles]]*0.1,BDAlquilerDepartamentos[[#This Row],[Prec. Soles]]*0.05)</f>
        <v>240.5</v>
      </c>
      <c r="I216" s="4">
        <v>2</v>
      </c>
      <c r="J216" s="4">
        <v>2</v>
      </c>
      <c r="K216" s="4" t="s">
        <v>3096</v>
      </c>
      <c r="L216" s="4" t="s">
        <v>3096</v>
      </c>
      <c r="M216" s="4">
        <v>60</v>
      </c>
      <c r="N216" s="4">
        <v>2007</v>
      </c>
      <c r="O216" s="4" t="str">
        <f>+IF(BDAlquilerDepartamentos[[#This Row],[Prec. Soles]]&gt;2500,"Caro","Economico")</f>
        <v>Economico</v>
      </c>
      <c r="P216" s="4" t="str">
        <f>+IF(AND(BDAlquilerDepartamentos[[#This Row],[N° de Dorm.]]&gt; 3,BDAlquilerDepartamentos[[#This Row],[Prec. Soles]]&lt;= 2500),"Buena Oferta", "Precio Estadar")</f>
        <v>Precio Estadar</v>
      </c>
      <c r="Q216" t="s">
        <v>1101</v>
      </c>
      <c r="R216" t="s">
        <v>1102</v>
      </c>
      <c r="S216" s="11">
        <v>45652</v>
      </c>
      <c r="T216" t="s">
        <v>2903</v>
      </c>
      <c r="U216" t="s">
        <v>1438</v>
      </c>
    </row>
    <row r="217" spans="2:21" x14ac:dyDescent="0.3">
      <c r="B217" t="s">
        <v>1439</v>
      </c>
      <c r="C217" t="s">
        <v>2558</v>
      </c>
      <c r="D217" t="s">
        <v>2452</v>
      </c>
      <c r="E217" t="s">
        <v>2580</v>
      </c>
      <c r="F217" t="s">
        <v>2580</v>
      </c>
      <c r="G217" s="8">
        <v>4440</v>
      </c>
      <c r="H217" s="8">
        <f>+IF(BDAlquilerDepartamentos[[#This Row],[Ciudad]]="Lima",BDAlquilerDepartamentos[[#This Row],[Prec. Soles]]*0.1,BDAlquilerDepartamentos[[#This Row],[Prec. Soles]]*0.05)</f>
        <v>444</v>
      </c>
      <c r="I217" s="4">
        <v>4</v>
      </c>
      <c r="J217" s="4">
        <v>2</v>
      </c>
      <c r="K217" s="4" t="s">
        <v>3096</v>
      </c>
      <c r="L217" s="4" t="s">
        <v>3095</v>
      </c>
      <c r="M217" s="4">
        <v>80</v>
      </c>
      <c r="N217" s="4">
        <v>1963</v>
      </c>
      <c r="O217" s="4" t="str">
        <f>+IF(BDAlquilerDepartamentos[[#This Row],[Prec. Soles]]&gt;2500,"Caro","Economico")</f>
        <v>Caro</v>
      </c>
      <c r="P217" s="4" t="str">
        <f>+IF(AND(BDAlquilerDepartamentos[[#This Row],[N° de Dorm.]]&gt; 3,BDAlquilerDepartamentos[[#This Row],[Prec. Soles]]&lt;= 2500),"Buena Oferta", "Precio Estadar")</f>
        <v>Precio Estadar</v>
      </c>
      <c r="Q217" t="s">
        <v>1113</v>
      </c>
      <c r="R217" t="s">
        <v>1102</v>
      </c>
      <c r="S217" s="11">
        <v>45456</v>
      </c>
      <c r="T217" t="s">
        <v>2821</v>
      </c>
      <c r="U217" t="s">
        <v>1440</v>
      </c>
    </row>
    <row r="218" spans="2:21" x14ac:dyDescent="0.3">
      <c r="B218" t="s">
        <v>1381</v>
      </c>
      <c r="C218" t="s">
        <v>2537</v>
      </c>
      <c r="D218" t="s">
        <v>2428</v>
      </c>
      <c r="E218" t="s">
        <v>2580</v>
      </c>
      <c r="F218" t="s">
        <v>2580</v>
      </c>
      <c r="G218" s="8">
        <v>4255</v>
      </c>
      <c r="H218" s="8">
        <f>+IF(BDAlquilerDepartamentos[[#This Row],[Ciudad]]="Lima",BDAlquilerDepartamentos[[#This Row],[Prec. Soles]]*0.1,BDAlquilerDepartamentos[[#This Row],[Prec. Soles]]*0.05)</f>
        <v>425.5</v>
      </c>
      <c r="I218" s="4">
        <v>2</v>
      </c>
      <c r="J218" s="4">
        <v>2</v>
      </c>
      <c r="K218" s="4" t="s">
        <v>3095</v>
      </c>
      <c r="L218" s="4" t="s">
        <v>3095</v>
      </c>
      <c r="M218" s="4">
        <v>130</v>
      </c>
      <c r="N218" s="4">
        <v>2010</v>
      </c>
      <c r="O218" s="4" t="str">
        <f>+IF(BDAlquilerDepartamentos[[#This Row],[Prec. Soles]]&gt;2500,"Caro","Economico")</f>
        <v>Caro</v>
      </c>
      <c r="P218" s="4" t="str">
        <f>+IF(AND(BDAlquilerDepartamentos[[#This Row],[N° de Dorm.]]&gt; 3,BDAlquilerDepartamentos[[#This Row],[Prec. Soles]]&lt;= 2500),"Buena Oferta", "Precio Estadar")</f>
        <v>Precio Estadar</v>
      </c>
      <c r="Q218" t="s">
        <v>1101</v>
      </c>
      <c r="R218" t="s">
        <v>1102</v>
      </c>
      <c r="S218" s="11">
        <v>45302</v>
      </c>
      <c r="T218" t="s">
        <v>2862</v>
      </c>
      <c r="U218" t="s">
        <v>1441</v>
      </c>
    </row>
    <row r="219" spans="2:21" x14ac:dyDescent="0.3">
      <c r="B219" t="s">
        <v>1152</v>
      </c>
      <c r="C219" t="s">
        <v>2446</v>
      </c>
      <c r="D219" t="s">
        <v>2580</v>
      </c>
      <c r="E219" t="s">
        <v>2580</v>
      </c>
      <c r="F219" t="s">
        <v>2580</v>
      </c>
      <c r="G219" s="8">
        <v>4810</v>
      </c>
      <c r="H219" s="8">
        <f>+IF(BDAlquilerDepartamentos[[#This Row],[Ciudad]]="Lima",BDAlquilerDepartamentos[[#This Row],[Prec. Soles]]*0.1,BDAlquilerDepartamentos[[#This Row],[Prec. Soles]]*0.05)</f>
        <v>481</v>
      </c>
      <c r="I219" s="4">
        <v>3</v>
      </c>
      <c r="J219" s="4">
        <v>2</v>
      </c>
      <c r="K219" s="4" t="s">
        <v>3096</v>
      </c>
      <c r="L219" s="4" t="s">
        <v>3095</v>
      </c>
      <c r="M219" s="4">
        <v>160</v>
      </c>
      <c r="N219" s="4">
        <v>2015</v>
      </c>
      <c r="O219" s="4" t="str">
        <f>+IF(BDAlquilerDepartamentos[[#This Row],[Prec. Soles]]&gt;2500,"Caro","Economico")</f>
        <v>Caro</v>
      </c>
      <c r="P219" s="4" t="str">
        <f>+IF(AND(BDAlquilerDepartamentos[[#This Row],[N° de Dorm.]]&gt; 3,BDAlquilerDepartamentos[[#This Row],[Prec. Soles]]&lt;= 2500),"Buena Oferta", "Precio Estadar")</f>
        <v>Precio Estadar</v>
      </c>
      <c r="Q219" t="s">
        <v>1101</v>
      </c>
      <c r="R219" t="s">
        <v>1102</v>
      </c>
      <c r="S219" s="11">
        <v>45298</v>
      </c>
      <c r="T219" t="s">
        <v>2904</v>
      </c>
      <c r="U219" t="s">
        <v>1442</v>
      </c>
    </row>
    <row r="220" spans="2:21" x14ac:dyDescent="0.3">
      <c r="B220" t="s">
        <v>1443</v>
      </c>
      <c r="C220" t="s">
        <v>2559</v>
      </c>
      <c r="D220" t="s">
        <v>2463</v>
      </c>
      <c r="E220" t="s">
        <v>2580</v>
      </c>
      <c r="F220" t="s">
        <v>2580</v>
      </c>
      <c r="G220" s="8">
        <v>1750</v>
      </c>
      <c r="H220" s="8">
        <f>+IF(BDAlquilerDepartamentos[[#This Row],[Ciudad]]="Lima",BDAlquilerDepartamentos[[#This Row],[Prec. Soles]]*0.1,BDAlquilerDepartamentos[[#This Row],[Prec. Soles]]*0.05)</f>
        <v>175</v>
      </c>
      <c r="I220" s="4">
        <v>3</v>
      </c>
      <c r="J220" s="4">
        <v>2</v>
      </c>
      <c r="K220" s="4" t="s">
        <v>3096</v>
      </c>
      <c r="L220" s="4" t="s">
        <v>3096</v>
      </c>
      <c r="M220" s="4">
        <v>80</v>
      </c>
      <c r="N220" s="4">
        <v>2014</v>
      </c>
      <c r="O220" s="4" t="str">
        <f>+IF(BDAlquilerDepartamentos[[#This Row],[Prec. Soles]]&gt;2500,"Caro","Economico")</f>
        <v>Economico</v>
      </c>
      <c r="P220" s="4" t="str">
        <f>+IF(AND(BDAlquilerDepartamentos[[#This Row],[N° de Dorm.]]&gt; 3,BDAlquilerDepartamentos[[#This Row],[Prec. Soles]]&lt;= 2500),"Buena Oferta", "Precio Estadar")</f>
        <v>Precio Estadar</v>
      </c>
      <c r="Q220" t="s">
        <v>1101</v>
      </c>
      <c r="R220" t="s">
        <v>1102</v>
      </c>
      <c r="S220" s="11">
        <v>44928</v>
      </c>
      <c r="T220" t="s">
        <v>2895</v>
      </c>
      <c r="U220" t="s">
        <v>1444</v>
      </c>
    </row>
    <row r="221" spans="2:21" x14ac:dyDescent="0.3">
      <c r="B221" t="s">
        <v>1445</v>
      </c>
      <c r="C221" t="s">
        <v>2560</v>
      </c>
      <c r="D221" t="s">
        <v>2485</v>
      </c>
      <c r="E221" t="s">
        <v>2580</v>
      </c>
      <c r="F221" t="s">
        <v>2580</v>
      </c>
      <c r="G221" s="8">
        <v>1776</v>
      </c>
      <c r="H221" s="8">
        <f>+IF(BDAlquilerDepartamentos[[#This Row],[Ciudad]]="Lima",BDAlquilerDepartamentos[[#This Row],[Prec. Soles]]*0.1,BDAlquilerDepartamentos[[#This Row],[Prec. Soles]]*0.05)</f>
        <v>177.60000000000002</v>
      </c>
      <c r="I221" s="4">
        <v>1</v>
      </c>
      <c r="J221" s="4">
        <v>1</v>
      </c>
      <c r="K221" s="4" t="s">
        <v>3095</v>
      </c>
      <c r="L221" s="4" t="s">
        <v>3095</v>
      </c>
      <c r="M221" s="4">
        <v>45</v>
      </c>
      <c r="N221" s="4">
        <v>2010</v>
      </c>
      <c r="O221" s="4" t="str">
        <f>+IF(BDAlquilerDepartamentos[[#This Row],[Prec. Soles]]&gt;2500,"Caro","Economico")</f>
        <v>Economico</v>
      </c>
      <c r="P221" s="4" t="str">
        <f>+IF(AND(BDAlquilerDepartamentos[[#This Row],[N° de Dorm.]]&gt; 3,BDAlquilerDepartamentos[[#This Row],[Prec. Soles]]&lt;= 2500),"Buena Oferta", "Precio Estadar")</f>
        <v>Precio Estadar</v>
      </c>
      <c r="Q221" t="s">
        <v>1101</v>
      </c>
      <c r="R221" t="s">
        <v>1102</v>
      </c>
      <c r="S221" s="11">
        <v>45120</v>
      </c>
      <c r="T221" t="s">
        <v>2905</v>
      </c>
      <c r="U221" t="s">
        <v>1446</v>
      </c>
    </row>
    <row r="222" spans="2:21" x14ac:dyDescent="0.3">
      <c r="B222" t="s">
        <v>1447</v>
      </c>
      <c r="C222" t="s">
        <v>2561</v>
      </c>
      <c r="D222" t="s">
        <v>2428</v>
      </c>
      <c r="E222" t="s">
        <v>2580</v>
      </c>
      <c r="F222" t="s">
        <v>2580</v>
      </c>
      <c r="G222" s="8">
        <v>2960</v>
      </c>
      <c r="H222" s="8">
        <f>+IF(BDAlquilerDepartamentos[[#This Row],[Ciudad]]="Lima",BDAlquilerDepartamentos[[#This Row],[Prec. Soles]]*0.1,BDAlquilerDepartamentos[[#This Row],[Prec. Soles]]*0.05)</f>
        <v>296</v>
      </c>
      <c r="I222" s="4">
        <v>2</v>
      </c>
      <c r="J222" s="4">
        <v>2</v>
      </c>
      <c r="K222" s="4" t="s">
        <v>3095</v>
      </c>
      <c r="L222" s="4" t="s">
        <v>3095</v>
      </c>
      <c r="M222" s="4">
        <v>120</v>
      </c>
      <c r="N222" s="4">
        <v>2008</v>
      </c>
      <c r="O222" s="4" t="str">
        <f>+IF(BDAlquilerDepartamentos[[#This Row],[Prec. Soles]]&gt;2500,"Caro","Economico")</f>
        <v>Caro</v>
      </c>
      <c r="P222" s="4" t="str">
        <f>+IF(AND(BDAlquilerDepartamentos[[#This Row],[N° de Dorm.]]&gt; 3,BDAlquilerDepartamentos[[#This Row],[Prec. Soles]]&lt;= 2500),"Buena Oferta", "Precio Estadar")</f>
        <v>Precio Estadar</v>
      </c>
      <c r="Q222" t="s">
        <v>1101</v>
      </c>
      <c r="R222" t="s">
        <v>1102</v>
      </c>
      <c r="S222" s="11">
        <v>45296</v>
      </c>
      <c r="T222" t="s">
        <v>2906</v>
      </c>
      <c r="U222" t="s">
        <v>1448</v>
      </c>
    </row>
    <row r="223" spans="2:21" x14ac:dyDescent="0.3">
      <c r="B223" t="s">
        <v>1447</v>
      </c>
      <c r="C223" t="s">
        <v>2561</v>
      </c>
      <c r="D223" t="s">
        <v>2428</v>
      </c>
      <c r="E223" t="s">
        <v>2580</v>
      </c>
      <c r="F223" t="s">
        <v>2580</v>
      </c>
      <c r="G223" s="8">
        <v>6290</v>
      </c>
      <c r="H223" s="8">
        <f>+IF(BDAlquilerDepartamentos[[#This Row],[Ciudad]]="Lima",BDAlquilerDepartamentos[[#This Row],[Prec. Soles]]*0.1,BDAlquilerDepartamentos[[#This Row],[Prec. Soles]]*0.05)</f>
        <v>629</v>
      </c>
      <c r="I223" s="4">
        <v>3</v>
      </c>
      <c r="J223" s="4">
        <v>3</v>
      </c>
      <c r="K223" s="4" t="s">
        <v>3095</v>
      </c>
      <c r="L223" s="4" t="s">
        <v>3095</v>
      </c>
      <c r="M223" s="4">
        <v>160</v>
      </c>
      <c r="N223" s="4">
        <v>2014</v>
      </c>
      <c r="O223" s="4" t="str">
        <f>+IF(BDAlquilerDepartamentos[[#This Row],[Prec. Soles]]&gt;2500,"Caro","Economico")</f>
        <v>Caro</v>
      </c>
      <c r="P223" s="4" t="str">
        <f>+IF(AND(BDAlquilerDepartamentos[[#This Row],[N° de Dorm.]]&gt; 3,BDAlquilerDepartamentos[[#This Row],[Prec. Soles]]&lt;= 2500),"Buena Oferta", "Precio Estadar")</f>
        <v>Precio Estadar</v>
      </c>
      <c r="Q223" t="s">
        <v>1101</v>
      </c>
      <c r="R223" t="s">
        <v>1102</v>
      </c>
      <c r="S223" s="11">
        <v>44958</v>
      </c>
      <c r="T223" t="s">
        <v>2882</v>
      </c>
      <c r="U223" t="s">
        <v>1449</v>
      </c>
    </row>
    <row r="224" spans="2:21" x14ac:dyDescent="0.3">
      <c r="B224" t="s">
        <v>1143</v>
      </c>
      <c r="C224" t="s">
        <v>2441</v>
      </c>
      <c r="D224" t="s">
        <v>2428</v>
      </c>
      <c r="E224" t="s">
        <v>2580</v>
      </c>
      <c r="F224" t="s">
        <v>2580</v>
      </c>
      <c r="G224" s="8">
        <v>2035</v>
      </c>
      <c r="H224" s="8">
        <f>+IF(BDAlquilerDepartamentos[[#This Row],[Ciudad]]="Lima",BDAlquilerDepartamentos[[#This Row],[Prec. Soles]]*0.1,BDAlquilerDepartamentos[[#This Row],[Prec. Soles]]*0.05)</f>
        <v>203.5</v>
      </c>
      <c r="I224" s="4">
        <v>1</v>
      </c>
      <c r="J224" s="4">
        <v>1</v>
      </c>
      <c r="K224" s="4" t="s">
        <v>3096</v>
      </c>
      <c r="L224" s="4" t="s">
        <v>3095</v>
      </c>
      <c r="M224" s="4">
        <v>46</v>
      </c>
      <c r="N224" s="4">
        <v>2012</v>
      </c>
      <c r="O224" s="4" t="str">
        <f>+IF(BDAlquilerDepartamentos[[#This Row],[Prec. Soles]]&gt;2500,"Caro","Economico")</f>
        <v>Economico</v>
      </c>
      <c r="P224" s="4" t="str">
        <f>+IF(AND(BDAlquilerDepartamentos[[#This Row],[N° de Dorm.]]&gt; 3,BDAlquilerDepartamentos[[#This Row],[Prec. Soles]]&lt;= 2500),"Buena Oferta", "Precio Estadar")</f>
        <v>Precio Estadar</v>
      </c>
      <c r="Q224" t="s">
        <v>1101</v>
      </c>
      <c r="R224" t="s">
        <v>1102</v>
      </c>
      <c r="S224" s="11">
        <v>45356</v>
      </c>
      <c r="T224" t="s">
        <v>2906</v>
      </c>
      <c r="U224" t="s">
        <v>1450</v>
      </c>
    </row>
    <row r="225" spans="2:21" x14ac:dyDescent="0.3">
      <c r="B225" t="s">
        <v>1191</v>
      </c>
      <c r="C225" t="s">
        <v>2466</v>
      </c>
      <c r="D225" t="s">
        <v>2436</v>
      </c>
      <c r="E225" t="s">
        <v>2580</v>
      </c>
      <c r="F225" t="s">
        <v>2580</v>
      </c>
      <c r="G225" s="8">
        <v>3330</v>
      </c>
      <c r="H225" s="8">
        <f>+IF(BDAlquilerDepartamentos[[#This Row],[Ciudad]]="Lima",BDAlquilerDepartamentos[[#This Row],[Prec. Soles]]*0.1,BDAlquilerDepartamentos[[#This Row],[Prec. Soles]]*0.05)</f>
        <v>333</v>
      </c>
      <c r="I225" s="4">
        <v>2</v>
      </c>
      <c r="J225" s="4">
        <v>2</v>
      </c>
      <c r="K225" s="4" t="s">
        <v>3095</v>
      </c>
      <c r="L225" s="4" t="s">
        <v>3096</v>
      </c>
      <c r="M225" s="4">
        <v>100</v>
      </c>
      <c r="N225" s="4">
        <v>2012</v>
      </c>
      <c r="O225" s="4" t="str">
        <f>+IF(BDAlquilerDepartamentos[[#This Row],[Prec. Soles]]&gt;2500,"Caro","Economico")</f>
        <v>Caro</v>
      </c>
      <c r="P225" s="4" t="str">
        <f>+IF(AND(BDAlquilerDepartamentos[[#This Row],[N° de Dorm.]]&gt; 3,BDAlquilerDepartamentos[[#This Row],[Prec. Soles]]&lt;= 2500),"Buena Oferta", "Precio Estadar")</f>
        <v>Precio Estadar</v>
      </c>
      <c r="Q225" t="s">
        <v>1101</v>
      </c>
      <c r="R225" t="s">
        <v>1102</v>
      </c>
      <c r="S225" s="11">
        <v>45116</v>
      </c>
      <c r="T225" t="s">
        <v>2819</v>
      </c>
      <c r="U225" t="s">
        <v>1451</v>
      </c>
    </row>
    <row r="226" spans="2:21" x14ac:dyDescent="0.3">
      <c r="B226" t="s">
        <v>3120</v>
      </c>
      <c r="C226" t="s">
        <v>2436</v>
      </c>
      <c r="D226" t="s">
        <v>2580</v>
      </c>
      <c r="E226" t="s">
        <v>2580</v>
      </c>
      <c r="F226" t="s">
        <v>2580</v>
      </c>
      <c r="G226" s="8">
        <v>3900</v>
      </c>
      <c r="H226" s="8">
        <f>+IF(BDAlquilerDepartamentos[[#This Row],[Ciudad]]="Lima",BDAlquilerDepartamentos[[#This Row],[Prec. Soles]]*0.1,BDAlquilerDepartamentos[[#This Row],[Prec. Soles]]*0.05)</f>
        <v>390</v>
      </c>
      <c r="I226" s="4">
        <v>5</v>
      </c>
      <c r="J226" s="4">
        <v>3</v>
      </c>
      <c r="K226" s="4" t="s">
        <v>3095</v>
      </c>
      <c r="L226" s="4" t="s">
        <v>3096</v>
      </c>
      <c r="M226" s="4">
        <v>500</v>
      </c>
      <c r="N226" s="4">
        <v>2011</v>
      </c>
      <c r="O226" s="4" t="str">
        <f>+IF(BDAlquilerDepartamentos[[#This Row],[Prec. Soles]]&gt;2500,"Caro","Economico")</f>
        <v>Caro</v>
      </c>
      <c r="P226" s="4" t="str">
        <f>+IF(AND(BDAlquilerDepartamentos[[#This Row],[N° de Dorm.]]&gt; 3,BDAlquilerDepartamentos[[#This Row],[Prec. Soles]]&lt;= 2500),"Buena Oferta", "Precio Estadar")</f>
        <v>Precio Estadar</v>
      </c>
      <c r="Q226" t="s">
        <v>1113</v>
      </c>
      <c r="R226" t="s">
        <v>1102</v>
      </c>
      <c r="S226" s="11">
        <v>45041</v>
      </c>
      <c r="T226" t="s">
        <v>2824</v>
      </c>
      <c r="U226" t="s">
        <v>1452</v>
      </c>
    </row>
    <row r="227" spans="2:21" x14ac:dyDescent="0.3">
      <c r="B227" t="s">
        <v>1110</v>
      </c>
      <c r="C227" t="s">
        <v>2421</v>
      </c>
      <c r="D227" t="s">
        <v>2444</v>
      </c>
      <c r="E227" t="s">
        <v>2580</v>
      </c>
      <c r="F227" t="s">
        <v>2580</v>
      </c>
      <c r="G227" s="8">
        <v>5365</v>
      </c>
      <c r="H227" s="8">
        <f>+IF(BDAlquilerDepartamentos[[#This Row],[Ciudad]]="Lima",BDAlquilerDepartamentos[[#This Row],[Prec. Soles]]*0.1,BDAlquilerDepartamentos[[#This Row],[Prec. Soles]]*0.05)</f>
        <v>536.5</v>
      </c>
      <c r="I227" s="4">
        <v>3</v>
      </c>
      <c r="J227" s="4">
        <v>2</v>
      </c>
      <c r="K227" s="4" t="s">
        <v>3096</v>
      </c>
      <c r="L227" s="4" t="s">
        <v>3096</v>
      </c>
      <c r="M227" s="4">
        <v>192</v>
      </c>
      <c r="N227" s="4">
        <v>2013</v>
      </c>
      <c r="O227" s="4" t="str">
        <f>+IF(BDAlquilerDepartamentos[[#This Row],[Prec. Soles]]&gt;2500,"Caro","Economico")</f>
        <v>Caro</v>
      </c>
      <c r="P227" s="4" t="str">
        <f>+IF(AND(BDAlquilerDepartamentos[[#This Row],[N° de Dorm.]]&gt; 3,BDAlquilerDepartamentos[[#This Row],[Prec. Soles]]&lt;= 2500),"Buena Oferta", "Precio Estadar")</f>
        <v>Precio Estadar</v>
      </c>
      <c r="Q227" t="s">
        <v>1101</v>
      </c>
      <c r="R227" t="s">
        <v>1102</v>
      </c>
      <c r="S227" s="11">
        <v>45132</v>
      </c>
      <c r="T227" t="s">
        <v>2907</v>
      </c>
      <c r="U227" t="s">
        <v>1453</v>
      </c>
    </row>
    <row r="228" spans="2:21" x14ac:dyDescent="0.3">
      <c r="B228" t="s">
        <v>1191</v>
      </c>
      <c r="C228" t="s">
        <v>2466</v>
      </c>
      <c r="D228" t="s">
        <v>2436</v>
      </c>
      <c r="E228" t="s">
        <v>2580</v>
      </c>
      <c r="F228" t="s">
        <v>2580</v>
      </c>
      <c r="G228" s="8">
        <v>2000</v>
      </c>
      <c r="H228" s="8">
        <f>+IF(BDAlquilerDepartamentos[[#This Row],[Ciudad]]="Lima",BDAlquilerDepartamentos[[#This Row],[Prec. Soles]]*0.1,BDAlquilerDepartamentos[[#This Row],[Prec. Soles]]*0.05)</f>
        <v>200</v>
      </c>
      <c r="I228" s="4">
        <v>1</v>
      </c>
      <c r="J228" s="4">
        <v>1</v>
      </c>
      <c r="K228" s="4" t="s">
        <v>3096</v>
      </c>
      <c r="L228" s="4" t="s">
        <v>3096</v>
      </c>
      <c r="M228" s="4">
        <v>52</v>
      </c>
      <c r="N228" s="4">
        <v>1971</v>
      </c>
      <c r="O228" s="4" t="str">
        <f>+IF(BDAlquilerDepartamentos[[#This Row],[Prec. Soles]]&gt;2500,"Caro","Economico")</f>
        <v>Economico</v>
      </c>
      <c r="P228" s="4" t="str">
        <f>+IF(AND(BDAlquilerDepartamentos[[#This Row],[N° de Dorm.]]&gt; 3,BDAlquilerDepartamentos[[#This Row],[Prec. Soles]]&lt;= 2500),"Buena Oferta", "Precio Estadar")</f>
        <v>Precio Estadar</v>
      </c>
      <c r="Q228" t="s">
        <v>1101</v>
      </c>
      <c r="R228" t="s">
        <v>1102</v>
      </c>
      <c r="S228" s="11">
        <v>45495</v>
      </c>
      <c r="T228" t="s">
        <v>2840</v>
      </c>
      <c r="U228" t="s">
        <v>1454</v>
      </c>
    </row>
    <row r="229" spans="2:21" x14ac:dyDescent="0.3">
      <c r="B229" t="s">
        <v>1122</v>
      </c>
      <c r="C229" t="s">
        <v>2429</v>
      </c>
      <c r="D229" t="s">
        <v>2580</v>
      </c>
      <c r="E229" t="s">
        <v>2580</v>
      </c>
      <c r="F229" t="s">
        <v>2580</v>
      </c>
      <c r="G229" s="8">
        <v>1900</v>
      </c>
      <c r="H229" s="8">
        <f>+IF(BDAlquilerDepartamentos[[#This Row],[Ciudad]]="Lima",BDAlquilerDepartamentos[[#This Row],[Prec. Soles]]*0.1,BDAlquilerDepartamentos[[#This Row],[Prec. Soles]]*0.05)</f>
        <v>190</v>
      </c>
      <c r="I229" s="4">
        <v>2</v>
      </c>
      <c r="J229" s="4">
        <v>1</v>
      </c>
      <c r="K229" s="4" t="s">
        <v>3096</v>
      </c>
      <c r="L229" s="4" t="s">
        <v>3095</v>
      </c>
      <c r="M229" s="4">
        <v>62</v>
      </c>
      <c r="N229" s="4">
        <v>2015</v>
      </c>
      <c r="O229" s="4" t="str">
        <f>+IF(BDAlquilerDepartamentos[[#This Row],[Prec. Soles]]&gt;2500,"Caro","Economico")</f>
        <v>Economico</v>
      </c>
      <c r="P229" s="4" t="str">
        <f>+IF(AND(BDAlquilerDepartamentos[[#This Row],[N° de Dorm.]]&gt; 3,BDAlquilerDepartamentos[[#This Row],[Prec. Soles]]&lt;= 2500),"Buena Oferta", "Precio Estadar")</f>
        <v>Precio Estadar</v>
      </c>
      <c r="Q229" t="s">
        <v>1101</v>
      </c>
      <c r="R229" t="s">
        <v>1102</v>
      </c>
      <c r="S229" s="11">
        <v>45559</v>
      </c>
      <c r="T229" t="s">
        <v>2908</v>
      </c>
      <c r="U229" t="s">
        <v>1455</v>
      </c>
    </row>
    <row r="230" spans="2:21" x14ac:dyDescent="0.3">
      <c r="B230" t="s">
        <v>1216</v>
      </c>
      <c r="C230" t="s">
        <v>2462</v>
      </c>
      <c r="D230" t="s">
        <v>2463</v>
      </c>
      <c r="E230" t="s">
        <v>2580</v>
      </c>
      <c r="F230" t="s">
        <v>2580</v>
      </c>
      <c r="G230" s="8">
        <v>1350</v>
      </c>
      <c r="H230" s="8">
        <f>+IF(BDAlquilerDepartamentos[[#This Row],[Ciudad]]="Lima",BDAlquilerDepartamentos[[#This Row],[Prec. Soles]]*0.1,BDAlquilerDepartamentos[[#This Row],[Prec. Soles]]*0.05)</f>
        <v>135</v>
      </c>
      <c r="I230" s="4">
        <v>2</v>
      </c>
      <c r="J230" s="4">
        <v>1</v>
      </c>
      <c r="K230" s="4" t="s">
        <v>3095</v>
      </c>
      <c r="L230" s="4" t="s">
        <v>3095</v>
      </c>
      <c r="M230" s="4">
        <v>86</v>
      </c>
      <c r="N230" s="4">
        <v>2010</v>
      </c>
      <c r="O230" s="4" t="str">
        <f>+IF(BDAlquilerDepartamentos[[#This Row],[Prec. Soles]]&gt;2500,"Caro","Economico")</f>
        <v>Economico</v>
      </c>
      <c r="P230" s="4" t="str">
        <f>+IF(AND(BDAlquilerDepartamentos[[#This Row],[N° de Dorm.]]&gt; 3,BDAlquilerDepartamentos[[#This Row],[Prec. Soles]]&lt;= 2500),"Buena Oferta", "Precio Estadar")</f>
        <v>Precio Estadar</v>
      </c>
      <c r="Q230" t="s">
        <v>1101</v>
      </c>
      <c r="R230" t="s">
        <v>1102</v>
      </c>
      <c r="S230" s="11">
        <v>45268</v>
      </c>
      <c r="T230" t="s">
        <v>2848</v>
      </c>
      <c r="U230" t="s">
        <v>1456</v>
      </c>
    </row>
    <row r="231" spans="2:21" x14ac:dyDescent="0.3">
      <c r="B231" t="s">
        <v>1457</v>
      </c>
      <c r="C231" t="s">
        <v>2562</v>
      </c>
      <c r="D231" t="s">
        <v>2527</v>
      </c>
      <c r="E231" t="s">
        <v>2580</v>
      </c>
      <c r="F231" t="s">
        <v>2580</v>
      </c>
      <c r="G231" s="8">
        <v>1150</v>
      </c>
      <c r="H231" s="8">
        <f>+IF(BDAlquilerDepartamentos[[#This Row],[Ciudad]]="Lima",BDAlquilerDepartamentos[[#This Row],[Prec. Soles]]*0.1,BDAlquilerDepartamentos[[#This Row],[Prec. Soles]]*0.05)</f>
        <v>115</v>
      </c>
      <c r="I231" s="4">
        <v>2</v>
      </c>
      <c r="J231" s="4">
        <v>1</v>
      </c>
      <c r="K231" s="4" t="s">
        <v>3096</v>
      </c>
      <c r="L231" s="4" t="s">
        <v>3096</v>
      </c>
      <c r="M231" s="4">
        <v>85</v>
      </c>
      <c r="N231" s="4">
        <v>2019</v>
      </c>
      <c r="O231" s="4" t="str">
        <f>+IF(BDAlquilerDepartamentos[[#This Row],[Prec. Soles]]&gt;2500,"Caro","Economico")</f>
        <v>Economico</v>
      </c>
      <c r="P231" s="4" t="str">
        <f>+IF(AND(BDAlquilerDepartamentos[[#This Row],[N° de Dorm.]]&gt; 3,BDAlquilerDepartamentos[[#This Row],[Prec. Soles]]&lt;= 2500),"Buena Oferta", "Precio Estadar")</f>
        <v>Precio Estadar</v>
      </c>
      <c r="Q231" t="s">
        <v>1101</v>
      </c>
      <c r="R231" t="s">
        <v>1102</v>
      </c>
      <c r="S231" s="11">
        <v>45190</v>
      </c>
      <c r="T231" t="s">
        <v>2821</v>
      </c>
      <c r="U231" t="s">
        <v>1458</v>
      </c>
    </row>
    <row r="232" spans="2:21" x14ac:dyDescent="0.3">
      <c r="B232" t="s">
        <v>1459</v>
      </c>
      <c r="C232" t="s">
        <v>2563</v>
      </c>
      <c r="D232" t="s">
        <v>2473</v>
      </c>
      <c r="E232" t="s">
        <v>2473</v>
      </c>
      <c r="F232" t="s">
        <v>2473</v>
      </c>
      <c r="G232" s="8">
        <v>1500</v>
      </c>
      <c r="H232" s="8">
        <f>+IF(BDAlquilerDepartamentos[[#This Row],[Ciudad]]="Lima",BDAlquilerDepartamentos[[#This Row],[Prec. Soles]]*0.1,BDAlquilerDepartamentos[[#This Row],[Prec. Soles]]*0.05)</f>
        <v>75</v>
      </c>
      <c r="I232" s="4">
        <v>2</v>
      </c>
      <c r="J232" s="4">
        <v>2</v>
      </c>
      <c r="K232" s="4" t="s">
        <v>3095</v>
      </c>
      <c r="L232" s="4" t="s">
        <v>3095</v>
      </c>
      <c r="M232" s="4">
        <v>60</v>
      </c>
      <c r="N232" s="4">
        <v>2015</v>
      </c>
      <c r="O232" s="4" t="str">
        <f>+IF(BDAlquilerDepartamentos[[#This Row],[Prec. Soles]]&gt;2500,"Caro","Economico")</f>
        <v>Economico</v>
      </c>
      <c r="P232" s="4" t="str">
        <f>+IF(AND(BDAlquilerDepartamentos[[#This Row],[N° de Dorm.]]&gt; 3,BDAlquilerDepartamentos[[#This Row],[Prec. Soles]]&lt;= 2500),"Buena Oferta", "Precio Estadar")</f>
        <v>Precio Estadar</v>
      </c>
      <c r="Q232" t="s">
        <v>1101</v>
      </c>
      <c r="R232" t="s">
        <v>1102</v>
      </c>
      <c r="S232" s="11">
        <v>45163</v>
      </c>
      <c r="T232" t="s">
        <v>2909</v>
      </c>
      <c r="U232" t="s">
        <v>1460</v>
      </c>
    </row>
    <row r="233" spans="2:21" x14ac:dyDescent="0.3">
      <c r="B233" t="s">
        <v>1461</v>
      </c>
      <c r="C233" t="s">
        <v>2564</v>
      </c>
      <c r="D233" t="s">
        <v>2485</v>
      </c>
      <c r="E233" t="s">
        <v>2580</v>
      </c>
      <c r="F233" t="s">
        <v>2580</v>
      </c>
      <c r="G233" s="8">
        <v>10528</v>
      </c>
      <c r="H233" s="8">
        <f>+IF(BDAlquilerDepartamentos[[#This Row],[Ciudad]]="Lima",BDAlquilerDepartamentos[[#This Row],[Prec. Soles]]*0.1,BDAlquilerDepartamentos[[#This Row],[Prec. Soles]]*0.05)</f>
        <v>1052.8</v>
      </c>
      <c r="I233" s="4">
        <v>8</v>
      </c>
      <c r="J233" s="4">
        <v>4</v>
      </c>
      <c r="K233" s="4" t="s">
        <v>3096</v>
      </c>
      <c r="L233" s="4" t="s">
        <v>3095</v>
      </c>
      <c r="M233" s="4">
        <v>369</v>
      </c>
      <c r="N233" s="4">
        <v>1997</v>
      </c>
      <c r="O233" s="4" t="str">
        <f>+IF(BDAlquilerDepartamentos[[#This Row],[Prec. Soles]]&gt;2500,"Caro","Economico")</f>
        <v>Caro</v>
      </c>
      <c r="P233" s="4" t="str">
        <f>+IF(AND(BDAlquilerDepartamentos[[#This Row],[N° de Dorm.]]&gt; 3,BDAlquilerDepartamentos[[#This Row],[Prec. Soles]]&lt;= 2500),"Buena Oferta", "Precio Estadar")</f>
        <v>Precio Estadar</v>
      </c>
      <c r="Q233" t="s">
        <v>1113</v>
      </c>
      <c r="R233" t="s">
        <v>1102</v>
      </c>
      <c r="S233" s="11">
        <v>45364</v>
      </c>
      <c r="T233" t="s">
        <v>2861</v>
      </c>
      <c r="U233" t="s">
        <v>1462</v>
      </c>
    </row>
    <row r="234" spans="2:21" x14ac:dyDescent="0.3">
      <c r="B234" t="s">
        <v>1463</v>
      </c>
      <c r="C234" t="s">
        <v>2565</v>
      </c>
      <c r="D234" t="s">
        <v>2566</v>
      </c>
      <c r="E234" t="s">
        <v>2580</v>
      </c>
      <c r="F234" t="s">
        <v>2580</v>
      </c>
      <c r="G234" s="8">
        <v>2500</v>
      </c>
      <c r="H234" s="8">
        <f>+IF(BDAlquilerDepartamentos[[#This Row],[Ciudad]]="Lima",BDAlquilerDepartamentos[[#This Row],[Prec. Soles]]*0.1,BDAlquilerDepartamentos[[#This Row],[Prec. Soles]]*0.05)</f>
        <v>250</v>
      </c>
      <c r="I234" s="4">
        <v>3</v>
      </c>
      <c r="J234" s="4">
        <v>1</v>
      </c>
      <c r="K234" s="4" t="s">
        <v>3095</v>
      </c>
      <c r="L234" s="4" t="s">
        <v>3096</v>
      </c>
      <c r="M234" s="4">
        <v>120</v>
      </c>
      <c r="N234" s="4">
        <v>2012</v>
      </c>
      <c r="O234" s="4" t="str">
        <f>+IF(BDAlquilerDepartamentos[[#This Row],[Prec. Soles]]&gt;2500,"Caro","Economico")</f>
        <v>Economico</v>
      </c>
      <c r="P234" s="4" t="str">
        <f>+IF(AND(BDAlquilerDepartamentos[[#This Row],[N° de Dorm.]]&gt; 3,BDAlquilerDepartamentos[[#This Row],[Prec. Soles]]&lt;= 2500),"Buena Oferta", "Precio Estadar")</f>
        <v>Precio Estadar</v>
      </c>
      <c r="Q234" t="s">
        <v>1101</v>
      </c>
      <c r="R234" t="s">
        <v>1102</v>
      </c>
      <c r="S234" s="11">
        <v>45260</v>
      </c>
      <c r="T234" t="s">
        <v>2845</v>
      </c>
      <c r="U234" t="s">
        <v>1464</v>
      </c>
    </row>
    <row r="235" spans="2:21" x14ac:dyDescent="0.3">
      <c r="B235" t="s">
        <v>1169</v>
      </c>
      <c r="C235" t="s">
        <v>2455</v>
      </c>
      <c r="D235" t="s">
        <v>2436</v>
      </c>
      <c r="E235" t="s">
        <v>2580</v>
      </c>
      <c r="F235" t="s">
        <v>2580</v>
      </c>
      <c r="G235" s="8">
        <v>2331</v>
      </c>
      <c r="H235" s="8">
        <f>+IF(BDAlquilerDepartamentos[[#This Row],[Ciudad]]="Lima",BDAlquilerDepartamentos[[#This Row],[Prec. Soles]]*0.1,BDAlquilerDepartamentos[[#This Row],[Prec. Soles]]*0.05)</f>
        <v>233.10000000000002</v>
      </c>
      <c r="I235" s="4">
        <v>1</v>
      </c>
      <c r="J235" s="4">
        <v>1</v>
      </c>
      <c r="K235" s="4" t="s">
        <v>3095</v>
      </c>
      <c r="L235" s="4" t="s">
        <v>3096</v>
      </c>
      <c r="M235" s="4">
        <v>60</v>
      </c>
      <c r="N235" s="4">
        <v>2000</v>
      </c>
      <c r="O235" s="4" t="str">
        <f>+IF(BDAlquilerDepartamentos[[#This Row],[Prec. Soles]]&gt;2500,"Caro","Economico")</f>
        <v>Economico</v>
      </c>
      <c r="P235" s="4" t="str">
        <f>+IF(AND(BDAlquilerDepartamentos[[#This Row],[N° de Dorm.]]&gt; 3,BDAlquilerDepartamentos[[#This Row],[Prec. Soles]]&lt;= 2500),"Buena Oferta", "Precio Estadar")</f>
        <v>Precio Estadar</v>
      </c>
      <c r="Q235" t="s">
        <v>1101</v>
      </c>
      <c r="R235" t="s">
        <v>1102</v>
      </c>
      <c r="S235" s="11">
        <v>44946</v>
      </c>
      <c r="T235" t="s">
        <v>2910</v>
      </c>
      <c r="U235" t="s">
        <v>1465</v>
      </c>
    </row>
    <row r="236" spans="2:21" x14ac:dyDescent="0.3">
      <c r="B236" t="s">
        <v>1466</v>
      </c>
      <c r="C236" t="s">
        <v>2567</v>
      </c>
      <c r="D236" t="s">
        <v>2430</v>
      </c>
      <c r="E236" t="s">
        <v>2580</v>
      </c>
      <c r="F236" t="s">
        <v>2580</v>
      </c>
      <c r="G236" s="8">
        <v>1750</v>
      </c>
      <c r="H236" s="8">
        <f>+IF(BDAlquilerDepartamentos[[#This Row],[Ciudad]]="Lima",BDAlquilerDepartamentos[[#This Row],[Prec. Soles]]*0.1,BDAlquilerDepartamentos[[#This Row],[Prec. Soles]]*0.05)</f>
        <v>175</v>
      </c>
      <c r="I236" s="4">
        <v>3</v>
      </c>
      <c r="J236" s="4">
        <v>2</v>
      </c>
      <c r="K236" s="4" t="s">
        <v>3096</v>
      </c>
      <c r="L236" s="4" t="s">
        <v>3095</v>
      </c>
      <c r="M236" s="4">
        <v>100</v>
      </c>
      <c r="N236" s="4">
        <v>2006</v>
      </c>
      <c r="O236" s="4" t="str">
        <f>+IF(BDAlquilerDepartamentos[[#This Row],[Prec. Soles]]&gt;2500,"Caro","Economico")</f>
        <v>Economico</v>
      </c>
      <c r="P236" s="4" t="str">
        <f>+IF(AND(BDAlquilerDepartamentos[[#This Row],[N° de Dorm.]]&gt; 3,BDAlquilerDepartamentos[[#This Row],[Prec. Soles]]&lt;= 2500),"Buena Oferta", "Precio Estadar")</f>
        <v>Precio Estadar</v>
      </c>
      <c r="Q236" t="s">
        <v>1101</v>
      </c>
      <c r="R236" t="s">
        <v>1102</v>
      </c>
      <c r="S236" s="11">
        <v>45290</v>
      </c>
      <c r="T236" t="s">
        <v>2911</v>
      </c>
      <c r="U236" t="s">
        <v>1467</v>
      </c>
    </row>
    <row r="237" spans="2:21" x14ac:dyDescent="0.3">
      <c r="B237" t="s">
        <v>1468</v>
      </c>
      <c r="C237" t="s">
        <v>2568</v>
      </c>
      <c r="D237" t="s">
        <v>2580</v>
      </c>
      <c r="E237" t="s">
        <v>2580</v>
      </c>
      <c r="F237" t="s">
        <v>2580</v>
      </c>
      <c r="G237" s="8">
        <v>3700</v>
      </c>
      <c r="H237" s="8">
        <f>+IF(BDAlquilerDepartamentos[[#This Row],[Ciudad]]="Lima",BDAlquilerDepartamentos[[#This Row],[Prec. Soles]]*0.1,BDAlquilerDepartamentos[[#This Row],[Prec. Soles]]*0.05)</f>
        <v>370</v>
      </c>
      <c r="I237" s="4">
        <v>3</v>
      </c>
      <c r="J237" s="4">
        <v>4</v>
      </c>
      <c r="K237" s="4" t="s">
        <v>3095</v>
      </c>
      <c r="L237" s="4" t="s">
        <v>3095</v>
      </c>
      <c r="M237" s="4">
        <v>175</v>
      </c>
      <c r="N237" s="4">
        <v>2013</v>
      </c>
      <c r="O237" s="4" t="str">
        <f>+IF(BDAlquilerDepartamentos[[#This Row],[Prec. Soles]]&gt;2500,"Caro","Economico")</f>
        <v>Caro</v>
      </c>
      <c r="P237" s="4" t="str">
        <f>+IF(AND(BDAlquilerDepartamentos[[#This Row],[N° de Dorm.]]&gt; 3,BDAlquilerDepartamentos[[#This Row],[Prec. Soles]]&lt;= 2500),"Buena Oferta", "Precio Estadar")</f>
        <v>Precio Estadar</v>
      </c>
      <c r="Q237" t="s">
        <v>1101</v>
      </c>
      <c r="R237" t="s">
        <v>1102</v>
      </c>
      <c r="S237" s="11">
        <v>45113</v>
      </c>
      <c r="T237" t="s">
        <v>2862</v>
      </c>
      <c r="U237" t="s">
        <v>1469</v>
      </c>
    </row>
    <row r="238" spans="2:21" x14ac:dyDescent="0.3">
      <c r="B238" t="s">
        <v>1118</v>
      </c>
      <c r="C238" t="s">
        <v>2426</v>
      </c>
      <c r="D238" t="s">
        <v>2436</v>
      </c>
      <c r="E238" t="s">
        <v>2580</v>
      </c>
      <c r="F238" t="s">
        <v>2580</v>
      </c>
      <c r="G238" s="8">
        <v>9213</v>
      </c>
      <c r="H238" s="8">
        <f>+IF(BDAlquilerDepartamentos[[#This Row],[Ciudad]]="Lima",BDAlquilerDepartamentos[[#This Row],[Prec. Soles]]*0.1,BDAlquilerDepartamentos[[#This Row],[Prec. Soles]]*0.05)</f>
        <v>921.30000000000007</v>
      </c>
      <c r="I238" s="4">
        <v>3</v>
      </c>
      <c r="J238" s="4">
        <v>3</v>
      </c>
      <c r="K238" s="4" t="s">
        <v>3095</v>
      </c>
      <c r="L238" s="4" t="s">
        <v>3096</v>
      </c>
      <c r="M238" s="4">
        <v>240</v>
      </c>
      <c r="N238" s="4">
        <v>2009</v>
      </c>
      <c r="O238" s="4" t="str">
        <f>+IF(BDAlquilerDepartamentos[[#This Row],[Prec. Soles]]&gt;2500,"Caro","Economico")</f>
        <v>Caro</v>
      </c>
      <c r="P238" s="4" t="str">
        <f>+IF(AND(BDAlquilerDepartamentos[[#This Row],[N° de Dorm.]]&gt; 3,BDAlquilerDepartamentos[[#This Row],[Prec. Soles]]&lt;= 2500),"Buena Oferta", "Precio Estadar")</f>
        <v>Precio Estadar</v>
      </c>
      <c r="Q238" t="s">
        <v>1101</v>
      </c>
      <c r="R238" t="s">
        <v>1102</v>
      </c>
      <c r="S238" s="11">
        <v>45512</v>
      </c>
      <c r="T238" t="s">
        <v>2861</v>
      </c>
      <c r="U238" t="s">
        <v>1470</v>
      </c>
    </row>
    <row r="239" spans="2:21" x14ac:dyDescent="0.3">
      <c r="B239" t="s">
        <v>1381</v>
      </c>
      <c r="C239" t="s">
        <v>2537</v>
      </c>
      <c r="D239" t="s">
        <v>2428</v>
      </c>
      <c r="E239" t="s">
        <v>2580</v>
      </c>
      <c r="F239" t="s">
        <v>2580</v>
      </c>
      <c r="G239" s="8">
        <v>2700</v>
      </c>
      <c r="H239" s="8">
        <f>+IF(BDAlquilerDepartamentos[[#This Row],[Ciudad]]="Lima",BDAlquilerDepartamentos[[#This Row],[Prec. Soles]]*0.1,BDAlquilerDepartamentos[[#This Row],[Prec. Soles]]*0.05)</f>
        <v>270</v>
      </c>
      <c r="I239" s="4">
        <v>2</v>
      </c>
      <c r="J239" s="4">
        <v>2</v>
      </c>
      <c r="K239" s="4" t="s">
        <v>3095</v>
      </c>
      <c r="L239" s="4" t="s">
        <v>3095</v>
      </c>
      <c r="M239" s="4">
        <v>68</v>
      </c>
      <c r="N239" s="4">
        <v>2012</v>
      </c>
      <c r="O239" s="4" t="str">
        <f>+IF(BDAlquilerDepartamentos[[#This Row],[Prec. Soles]]&gt;2500,"Caro","Economico")</f>
        <v>Caro</v>
      </c>
      <c r="P239" s="4" t="str">
        <f>+IF(AND(BDAlquilerDepartamentos[[#This Row],[N° de Dorm.]]&gt; 3,BDAlquilerDepartamentos[[#This Row],[Prec. Soles]]&lt;= 2500),"Buena Oferta", "Precio Estadar")</f>
        <v>Precio Estadar</v>
      </c>
      <c r="Q239" t="s">
        <v>1101</v>
      </c>
      <c r="R239" t="s">
        <v>1102</v>
      </c>
      <c r="S239" s="11">
        <v>45200</v>
      </c>
      <c r="T239" t="s">
        <v>2912</v>
      </c>
      <c r="U239" t="s">
        <v>1471</v>
      </c>
    </row>
    <row r="240" spans="2:21" x14ac:dyDescent="0.3">
      <c r="B240" t="s">
        <v>1189</v>
      </c>
      <c r="C240" t="s">
        <v>2465</v>
      </c>
      <c r="D240" t="s">
        <v>2418</v>
      </c>
      <c r="E240" t="s">
        <v>2580</v>
      </c>
      <c r="F240" t="s">
        <v>2580</v>
      </c>
      <c r="G240" s="8">
        <v>2393.9</v>
      </c>
      <c r="H240" s="8">
        <f>+IF(BDAlquilerDepartamentos[[#This Row],[Ciudad]]="Lima",BDAlquilerDepartamentos[[#This Row],[Prec. Soles]]*0.1,BDAlquilerDepartamentos[[#This Row],[Prec. Soles]]*0.05)</f>
        <v>239.39000000000001</v>
      </c>
      <c r="I240" s="4">
        <v>1</v>
      </c>
      <c r="J240" s="4">
        <v>1</v>
      </c>
      <c r="K240" s="4" t="s">
        <v>3096</v>
      </c>
      <c r="L240" s="4" t="s">
        <v>3096</v>
      </c>
      <c r="M240" s="4">
        <v>40</v>
      </c>
      <c r="N240" s="4">
        <v>2006</v>
      </c>
      <c r="O240" s="4" t="str">
        <f>+IF(BDAlquilerDepartamentos[[#This Row],[Prec. Soles]]&gt;2500,"Caro","Economico")</f>
        <v>Economico</v>
      </c>
      <c r="P240" s="4" t="str">
        <f>+IF(AND(BDAlquilerDepartamentos[[#This Row],[N° de Dorm.]]&gt; 3,BDAlquilerDepartamentos[[#This Row],[Prec. Soles]]&lt;= 2500),"Buena Oferta", "Precio Estadar")</f>
        <v>Precio Estadar</v>
      </c>
      <c r="Q240" t="s">
        <v>1101</v>
      </c>
      <c r="R240" t="s">
        <v>1102</v>
      </c>
      <c r="S240" s="11">
        <v>45150</v>
      </c>
      <c r="T240" t="s">
        <v>2877</v>
      </c>
      <c r="U240" t="s">
        <v>1472</v>
      </c>
    </row>
    <row r="241" spans="2:21" x14ac:dyDescent="0.3">
      <c r="B241" t="s">
        <v>1120</v>
      </c>
      <c r="C241" t="s">
        <v>2427</v>
      </c>
      <c r="D241" t="s">
        <v>2428</v>
      </c>
      <c r="E241" t="s">
        <v>2580</v>
      </c>
      <c r="F241" t="s">
        <v>2580</v>
      </c>
      <c r="G241" s="8">
        <v>12950</v>
      </c>
      <c r="H241" s="8">
        <f>+IF(BDAlquilerDepartamentos[[#This Row],[Ciudad]]="Lima",BDAlquilerDepartamentos[[#This Row],[Prec. Soles]]*0.1,BDAlquilerDepartamentos[[#This Row],[Prec. Soles]]*0.05)</f>
        <v>1295</v>
      </c>
      <c r="I241" s="4">
        <v>4</v>
      </c>
      <c r="J241" s="4">
        <v>5</v>
      </c>
      <c r="K241" s="4" t="s">
        <v>3096</v>
      </c>
      <c r="L241" s="4" t="s">
        <v>3095</v>
      </c>
      <c r="M241" s="4">
        <v>504</v>
      </c>
      <c r="N241" s="4">
        <v>2015</v>
      </c>
      <c r="O241" s="4" t="str">
        <f>+IF(BDAlquilerDepartamentos[[#This Row],[Prec. Soles]]&gt;2500,"Caro","Economico")</f>
        <v>Caro</v>
      </c>
      <c r="P241" s="4" t="str">
        <f>+IF(AND(BDAlquilerDepartamentos[[#This Row],[N° de Dorm.]]&gt; 3,BDAlquilerDepartamentos[[#This Row],[Prec. Soles]]&lt;= 2500),"Buena Oferta", "Precio Estadar")</f>
        <v>Precio Estadar</v>
      </c>
      <c r="Q241" t="s">
        <v>1101</v>
      </c>
      <c r="R241" t="s">
        <v>1102</v>
      </c>
      <c r="S241" s="11">
        <v>45297</v>
      </c>
      <c r="T241" t="s">
        <v>2882</v>
      </c>
      <c r="U241" t="s">
        <v>1473</v>
      </c>
    </row>
    <row r="242" spans="2:21" x14ac:dyDescent="0.3">
      <c r="B242" t="s">
        <v>1474</v>
      </c>
      <c r="C242" t="s">
        <v>2569</v>
      </c>
      <c r="D242" t="s">
        <v>2580</v>
      </c>
      <c r="E242" t="s">
        <v>2580</v>
      </c>
      <c r="F242" t="s">
        <v>2580</v>
      </c>
      <c r="G242" s="8">
        <v>2200</v>
      </c>
      <c r="H242" s="8">
        <f>+IF(BDAlquilerDepartamentos[[#This Row],[Ciudad]]="Lima",BDAlquilerDepartamentos[[#This Row],[Prec. Soles]]*0.1,BDAlquilerDepartamentos[[#This Row],[Prec. Soles]]*0.05)</f>
        <v>220</v>
      </c>
      <c r="I242" s="4">
        <v>3</v>
      </c>
      <c r="J242" s="4">
        <v>2</v>
      </c>
      <c r="K242" s="4" t="s">
        <v>3096</v>
      </c>
      <c r="L242" s="4" t="s">
        <v>3096</v>
      </c>
      <c r="M242" s="4">
        <v>75</v>
      </c>
      <c r="N242" s="4">
        <v>2008</v>
      </c>
      <c r="O242" s="4" t="str">
        <f>+IF(BDAlquilerDepartamentos[[#This Row],[Prec. Soles]]&gt;2500,"Caro","Economico")</f>
        <v>Economico</v>
      </c>
      <c r="P242" s="4" t="str">
        <f>+IF(AND(BDAlquilerDepartamentos[[#This Row],[N° de Dorm.]]&gt; 3,BDAlquilerDepartamentos[[#This Row],[Prec. Soles]]&lt;= 2500),"Buena Oferta", "Precio Estadar")</f>
        <v>Precio Estadar</v>
      </c>
      <c r="Q242" t="s">
        <v>1101</v>
      </c>
      <c r="R242" t="s">
        <v>1102</v>
      </c>
      <c r="S242" s="11">
        <v>45181</v>
      </c>
      <c r="T242" t="s">
        <v>2913</v>
      </c>
      <c r="U242" t="s">
        <v>1475</v>
      </c>
    </row>
    <row r="243" spans="2:21" x14ac:dyDescent="0.3">
      <c r="B243" t="s">
        <v>1476</v>
      </c>
      <c r="C243" t="s">
        <v>2570</v>
      </c>
      <c r="D243" t="s">
        <v>2422</v>
      </c>
      <c r="E243" t="s">
        <v>2580</v>
      </c>
      <c r="F243" t="s">
        <v>2580</v>
      </c>
      <c r="G243" s="8">
        <v>3515</v>
      </c>
      <c r="H243" s="8">
        <f>+IF(BDAlquilerDepartamentos[[#This Row],[Ciudad]]="Lima",BDAlquilerDepartamentos[[#This Row],[Prec. Soles]]*0.1,BDAlquilerDepartamentos[[#This Row],[Prec. Soles]]*0.05)</f>
        <v>351.5</v>
      </c>
      <c r="I243" s="4">
        <v>3</v>
      </c>
      <c r="J243" s="4">
        <v>3</v>
      </c>
      <c r="K243" s="4" t="s">
        <v>3096</v>
      </c>
      <c r="L243" s="4" t="s">
        <v>3095</v>
      </c>
      <c r="M243" s="4">
        <v>126</v>
      </c>
      <c r="N243" s="4">
        <v>2014</v>
      </c>
      <c r="O243" s="4" t="str">
        <f>+IF(BDAlquilerDepartamentos[[#This Row],[Prec. Soles]]&gt;2500,"Caro","Economico")</f>
        <v>Caro</v>
      </c>
      <c r="P243" s="4" t="str">
        <f>+IF(AND(BDAlquilerDepartamentos[[#This Row],[N° de Dorm.]]&gt; 3,BDAlquilerDepartamentos[[#This Row],[Prec. Soles]]&lt;= 2500),"Buena Oferta", "Precio Estadar")</f>
        <v>Precio Estadar</v>
      </c>
      <c r="Q243" t="s">
        <v>1101</v>
      </c>
      <c r="R243" t="s">
        <v>1102</v>
      </c>
      <c r="S243" s="11">
        <v>45639</v>
      </c>
      <c r="T243" t="s">
        <v>2914</v>
      </c>
      <c r="U243" t="s">
        <v>1477</v>
      </c>
    </row>
    <row r="244" spans="2:21" x14ac:dyDescent="0.3">
      <c r="B244" t="s">
        <v>1191</v>
      </c>
      <c r="C244" t="s">
        <v>2466</v>
      </c>
      <c r="D244" t="s">
        <v>2436</v>
      </c>
      <c r="E244" t="s">
        <v>2580</v>
      </c>
      <c r="F244" t="s">
        <v>2580</v>
      </c>
      <c r="G244" s="8">
        <v>2775</v>
      </c>
      <c r="H244" s="8">
        <f>+IF(BDAlquilerDepartamentos[[#This Row],[Ciudad]]="Lima",BDAlquilerDepartamentos[[#This Row],[Prec. Soles]]*0.1,BDAlquilerDepartamentos[[#This Row],[Prec. Soles]]*0.05)</f>
        <v>277.5</v>
      </c>
      <c r="I244" s="4">
        <v>2</v>
      </c>
      <c r="J244" s="4">
        <v>2</v>
      </c>
      <c r="K244" s="4" t="s">
        <v>3095</v>
      </c>
      <c r="L244" s="4" t="s">
        <v>3095</v>
      </c>
      <c r="M244" s="4">
        <v>64</v>
      </c>
      <c r="N244" s="4">
        <v>2015</v>
      </c>
      <c r="O244" s="4" t="str">
        <f>+IF(BDAlquilerDepartamentos[[#This Row],[Prec. Soles]]&gt;2500,"Caro","Economico")</f>
        <v>Caro</v>
      </c>
      <c r="P244" s="4" t="str">
        <f>+IF(AND(BDAlquilerDepartamentos[[#This Row],[N° de Dorm.]]&gt; 3,BDAlquilerDepartamentos[[#This Row],[Prec. Soles]]&lt;= 2500),"Buena Oferta", "Precio Estadar")</f>
        <v>Precio Estadar</v>
      </c>
      <c r="Q244" t="s">
        <v>1101</v>
      </c>
      <c r="R244" t="s">
        <v>1102</v>
      </c>
      <c r="S244" s="11">
        <v>45182</v>
      </c>
      <c r="T244" t="s">
        <v>2915</v>
      </c>
      <c r="U244" t="s">
        <v>1478</v>
      </c>
    </row>
    <row r="245" spans="2:21" x14ac:dyDescent="0.3">
      <c r="B245" t="s">
        <v>1108</v>
      </c>
      <c r="C245" t="s">
        <v>2419</v>
      </c>
      <c r="D245" t="s">
        <v>2420</v>
      </c>
      <c r="E245" t="s">
        <v>2580</v>
      </c>
      <c r="F245" t="s">
        <v>2580</v>
      </c>
      <c r="G245" s="8">
        <v>1900</v>
      </c>
      <c r="H245" s="8">
        <f>+IF(BDAlquilerDepartamentos[[#This Row],[Ciudad]]="Lima",BDAlquilerDepartamentos[[#This Row],[Prec. Soles]]*0.1,BDAlquilerDepartamentos[[#This Row],[Prec. Soles]]*0.05)</f>
        <v>190</v>
      </c>
      <c r="I245" s="4">
        <v>1</v>
      </c>
      <c r="J245" s="4">
        <v>1</v>
      </c>
      <c r="K245" s="4" t="s">
        <v>3095</v>
      </c>
      <c r="L245" s="4" t="s">
        <v>3095</v>
      </c>
      <c r="M245" s="4">
        <v>64</v>
      </c>
      <c r="N245" s="4">
        <v>2008</v>
      </c>
      <c r="O245" s="4" t="str">
        <f>+IF(BDAlquilerDepartamentos[[#This Row],[Prec. Soles]]&gt;2500,"Caro","Economico")</f>
        <v>Economico</v>
      </c>
      <c r="P245" s="4" t="str">
        <f>+IF(AND(BDAlquilerDepartamentos[[#This Row],[N° de Dorm.]]&gt; 3,BDAlquilerDepartamentos[[#This Row],[Prec. Soles]]&lt;= 2500),"Buena Oferta", "Precio Estadar")</f>
        <v>Precio Estadar</v>
      </c>
      <c r="Q245" t="s">
        <v>1101</v>
      </c>
      <c r="R245" t="s">
        <v>1102</v>
      </c>
      <c r="S245" s="11">
        <v>45379</v>
      </c>
      <c r="T245" t="s">
        <v>2915</v>
      </c>
      <c r="U245" t="s">
        <v>1479</v>
      </c>
    </row>
    <row r="246" spans="2:21" x14ac:dyDescent="0.3">
      <c r="B246" t="s">
        <v>3113</v>
      </c>
      <c r="C246" t="s">
        <v>3114</v>
      </c>
      <c r="D246" t="s">
        <v>2436</v>
      </c>
      <c r="E246" t="s">
        <v>2580</v>
      </c>
      <c r="F246" t="s">
        <v>2580</v>
      </c>
      <c r="G246" s="8">
        <v>2200</v>
      </c>
      <c r="H246" s="8">
        <f>+IF(BDAlquilerDepartamentos[[#This Row],[Ciudad]]="Lima",BDAlquilerDepartamentos[[#This Row],[Prec. Soles]]*0.1,BDAlquilerDepartamentos[[#This Row],[Prec. Soles]]*0.05)</f>
        <v>220</v>
      </c>
      <c r="I246" s="4">
        <v>1</v>
      </c>
      <c r="J246" s="4">
        <v>1</v>
      </c>
      <c r="K246" s="4" t="s">
        <v>3096</v>
      </c>
      <c r="L246" s="4" t="s">
        <v>3096</v>
      </c>
      <c r="M246" s="4">
        <v>45</v>
      </c>
      <c r="N246" s="4">
        <v>2003</v>
      </c>
      <c r="O246" s="4" t="str">
        <f>+IF(BDAlquilerDepartamentos[[#This Row],[Prec. Soles]]&gt;2500,"Caro","Economico")</f>
        <v>Economico</v>
      </c>
      <c r="P246" s="4" t="str">
        <f>+IF(AND(BDAlquilerDepartamentos[[#This Row],[N° de Dorm.]]&gt; 3,BDAlquilerDepartamentos[[#This Row],[Prec. Soles]]&lt;= 2500),"Buena Oferta", "Precio Estadar")</f>
        <v>Precio Estadar</v>
      </c>
      <c r="Q246" t="s">
        <v>1101</v>
      </c>
      <c r="R246" t="s">
        <v>1102</v>
      </c>
      <c r="S246" s="11">
        <v>45512</v>
      </c>
      <c r="T246" t="s">
        <v>2915</v>
      </c>
      <c r="U246" t="s">
        <v>1480</v>
      </c>
    </row>
    <row r="247" spans="2:21" x14ac:dyDescent="0.3">
      <c r="B247" t="s">
        <v>1298</v>
      </c>
      <c r="C247" t="s">
        <v>2511</v>
      </c>
      <c r="D247" t="s">
        <v>2444</v>
      </c>
      <c r="E247" t="s">
        <v>2580</v>
      </c>
      <c r="F247" t="s">
        <v>2580</v>
      </c>
      <c r="G247" s="8">
        <v>1000</v>
      </c>
      <c r="H247" s="8">
        <f>+IF(BDAlquilerDepartamentos[[#This Row],[Ciudad]]="Lima",BDAlquilerDepartamentos[[#This Row],[Prec. Soles]]*0.1,BDAlquilerDepartamentos[[#This Row],[Prec. Soles]]*0.05)</f>
        <v>100</v>
      </c>
      <c r="I247" s="4">
        <v>1</v>
      </c>
      <c r="J247" s="4">
        <v>1</v>
      </c>
      <c r="K247" s="4" t="s">
        <v>3096</v>
      </c>
      <c r="L247" s="4" t="s">
        <v>3096</v>
      </c>
      <c r="M247" s="4">
        <v>40</v>
      </c>
      <c r="N247" s="4">
        <v>2008</v>
      </c>
      <c r="O247" s="4" t="str">
        <f>+IF(BDAlquilerDepartamentos[[#This Row],[Prec. Soles]]&gt;2500,"Caro","Economico")</f>
        <v>Economico</v>
      </c>
      <c r="P247" s="4" t="str">
        <f>+IF(AND(BDAlquilerDepartamentos[[#This Row],[N° de Dorm.]]&gt; 3,BDAlquilerDepartamentos[[#This Row],[Prec. Soles]]&lt;= 2500),"Buena Oferta", "Precio Estadar")</f>
        <v>Precio Estadar</v>
      </c>
      <c r="Q247" t="s">
        <v>1101</v>
      </c>
      <c r="R247" t="s">
        <v>1102</v>
      </c>
      <c r="S247" s="11">
        <v>45050</v>
      </c>
      <c r="T247" t="s">
        <v>2855</v>
      </c>
      <c r="U247" t="s">
        <v>1481</v>
      </c>
    </row>
    <row r="248" spans="2:21" x14ac:dyDescent="0.3">
      <c r="B248" t="s">
        <v>1393</v>
      </c>
      <c r="C248" t="s">
        <v>2540</v>
      </c>
      <c r="D248" t="s">
        <v>2428</v>
      </c>
      <c r="E248" t="s">
        <v>2580</v>
      </c>
      <c r="F248" t="s">
        <v>2580</v>
      </c>
      <c r="G248" s="8">
        <v>6660</v>
      </c>
      <c r="H248" s="8">
        <f>+IF(BDAlquilerDepartamentos[[#This Row],[Ciudad]]="Lima",BDAlquilerDepartamentos[[#This Row],[Prec. Soles]]*0.1,BDAlquilerDepartamentos[[#This Row],[Prec. Soles]]*0.05)</f>
        <v>666</v>
      </c>
      <c r="I248" s="4">
        <v>3</v>
      </c>
      <c r="J248" s="4">
        <v>2</v>
      </c>
      <c r="K248" s="4" t="s">
        <v>3095</v>
      </c>
      <c r="L248" s="4" t="s">
        <v>3095</v>
      </c>
      <c r="M248" s="4">
        <v>255</v>
      </c>
      <c r="N248" s="4">
        <v>2011</v>
      </c>
      <c r="O248" s="4" t="str">
        <f>+IF(BDAlquilerDepartamentos[[#This Row],[Prec. Soles]]&gt;2500,"Caro","Economico")</f>
        <v>Caro</v>
      </c>
      <c r="P248" s="4" t="str">
        <f>+IF(AND(BDAlquilerDepartamentos[[#This Row],[N° de Dorm.]]&gt; 3,BDAlquilerDepartamentos[[#This Row],[Prec. Soles]]&lt;= 2500),"Buena Oferta", "Precio Estadar")</f>
        <v>Precio Estadar</v>
      </c>
      <c r="Q248" t="s">
        <v>1101</v>
      </c>
      <c r="R248" t="s">
        <v>1102</v>
      </c>
      <c r="S248" s="11">
        <v>45004</v>
      </c>
      <c r="T248" t="s">
        <v>2846</v>
      </c>
      <c r="U248" t="s">
        <v>1482</v>
      </c>
    </row>
    <row r="249" spans="2:21" x14ac:dyDescent="0.3">
      <c r="B249" t="s">
        <v>1483</v>
      </c>
      <c r="C249" t="s">
        <v>2571</v>
      </c>
      <c r="D249" t="s">
        <v>2572</v>
      </c>
      <c r="E249" t="s">
        <v>2580</v>
      </c>
      <c r="F249" t="s">
        <v>2580</v>
      </c>
      <c r="G249" s="8">
        <v>1350</v>
      </c>
      <c r="H249" s="8">
        <f>+IF(BDAlquilerDepartamentos[[#This Row],[Ciudad]]="Lima",BDAlquilerDepartamentos[[#This Row],[Prec. Soles]]*0.1,BDAlquilerDepartamentos[[#This Row],[Prec. Soles]]*0.05)</f>
        <v>135</v>
      </c>
      <c r="I249" s="4">
        <v>2</v>
      </c>
      <c r="J249" s="4">
        <v>1</v>
      </c>
      <c r="K249" s="4" t="s">
        <v>3096</v>
      </c>
      <c r="L249" s="4" t="s">
        <v>3095</v>
      </c>
      <c r="M249" s="4">
        <v>60</v>
      </c>
      <c r="N249" s="4">
        <v>2014</v>
      </c>
      <c r="O249" s="4" t="str">
        <f>+IF(BDAlquilerDepartamentos[[#This Row],[Prec. Soles]]&gt;2500,"Caro","Economico")</f>
        <v>Economico</v>
      </c>
      <c r="P249" s="4" t="str">
        <f>+IF(AND(BDAlquilerDepartamentos[[#This Row],[N° de Dorm.]]&gt; 3,BDAlquilerDepartamentos[[#This Row],[Prec. Soles]]&lt;= 2500),"Buena Oferta", "Precio Estadar")</f>
        <v>Precio Estadar</v>
      </c>
      <c r="Q249" t="s">
        <v>1101</v>
      </c>
      <c r="R249" t="s">
        <v>1102</v>
      </c>
      <c r="S249" s="11">
        <v>45177</v>
      </c>
      <c r="T249" t="s">
        <v>2854</v>
      </c>
      <c r="U249" t="s">
        <v>1484</v>
      </c>
    </row>
    <row r="250" spans="2:21" x14ac:dyDescent="0.3">
      <c r="B250" t="s">
        <v>1485</v>
      </c>
      <c r="C250" t="s">
        <v>2573</v>
      </c>
      <c r="D250" t="s">
        <v>2430</v>
      </c>
      <c r="E250" t="s">
        <v>2580</v>
      </c>
      <c r="F250" t="s">
        <v>2580</v>
      </c>
      <c r="G250" s="8">
        <v>3200</v>
      </c>
      <c r="H250" s="8">
        <f>+IF(BDAlquilerDepartamentos[[#This Row],[Ciudad]]="Lima",BDAlquilerDepartamentos[[#This Row],[Prec. Soles]]*0.1,BDAlquilerDepartamentos[[#This Row],[Prec. Soles]]*0.05)</f>
        <v>320</v>
      </c>
      <c r="I250" s="4">
        <v>3</v>
      </c>
      <c r="J250" s="4">
        <v>2</v>
      </c>
      <c r="K250" s="4" t="s">
        <v>3096</v>
      </c>
      <c r="L250" s="4" t="s">
        <v>3096</v>
      </c>
      <c r="M250" s="4">
        <v>107</v>
      </c>
      <c r="N250" s="4">
        <v>2004</v>
      </c>
      <c r="O250" s="4" t="str">
        <f>+IF(BDAlquilerDepartamentos[[#This Row],[Prec. Soles]]&gt;2500,"Caro","Economico")</f>
        <v>Caro</v>
      </c>
      <c r="P250" s="4" t="str">
        <f>+IF(AND(BDAlquilerDepartamentos[[#This Row],[N° de Dorm.]]&gt; 3,BDAlquilerDepartamentos[[#This Row],[Prec. Soles]]&lt;= 2500),"Buena Oferta", "Precio Estadar")</f>
        <v>Precio Estadar</v>
      </c>
      <c r="Q250" t="s">
        <v>1113</v>
      </c>
      <c r="R250" t="s">
        <v>1102</v>
      </c>
      <c r="S250" s="11">
        <v>45560</v>
      </c>
      <c r="T250" t="s">
        <v>2916</v>
      </c>
      <c r="U250" t="s">
        <v>1486</v>
      </c>
    </row>
    <row r="251" spans="2:21" x14ac:dyDescent="0.3">
      <c r="B251" t="s">
        <v>1487</v>
      </c>
      <c r="C251" t="s">
        <v>2574</v>
      </c>
      <c r="D251" t="s">
        <v>2572</v>
      </c>
      <c r="E251" t="s">
        <v>2580</v>
      </c>
      <c r="F251" t="s">
        <v>2580</v>
      </c>
      <c r="G251" s="8">
        <v>9</v>
      </c>
      <c r="H251" s="8">
        <f>+IF(BDAlquilerDepartamentos[[#This Row],[Ciudad]]="Lima",BDAlquilerDepartamentos[[#This Row],[Prec. Soles]]*0.1,BDAlquilerDepartamentos[[#This Row],[Prec. Soles]]*0.05)</f>
        <v>0.9</v>
      </c>
      <c r="I251" s="4">
        <v>1</v>
      </c>
      <c r="J251" s="4">
        <v>1</v>
      </c>
      <c r="K251" s="4" t="s">
        <v>3096</v>
      </c>
      <c r="L251" s="4" t="s">
        <v>3096</v>
      </c>
      <c r="M251" s="4">
        <v>21</v>
      </c>
      <c r="N251" s="4">
        <v>2015</v>
      </c>
      <c r="O251" s="4" t="str">
        <f>+IF(BDAlquilerDepartamentos[[#This Row],[Prec. Soles]]&gt;2500,"Caro","Economico")</f>
        <v>Economico</v>
      </c>
      <c r="P251" s="4" t="str">
        <f>+IF(AND(BDAlquilerDepartamentos[[#This Row],[N° de Dorm.]]&gt; 3,BDAlquilerDepartamentos[[#This Row],[Prec. Soles]]&lt;= 2500),"Buena Oferta", "Precio Estadar")</f>
        <v>Precio Estadar</v>
      </c>
      <c r="Q251" t="s">
        <v>1101</v>
      </c>
      <c r="R251" t="s">
        <v>1102</v>
      </c>
      <c r="S251" s="11">
        <v>45094</v>
      </c>
      <c r="T251" t="s">
        <v>2854</v>
      </c>
      <c r="U251" t="s">
        <v>1488</v>
      </c>
    </row>
    <row r="252" spans="2:21" x14ac:dyDescent="0.3">
      <c r="B252" t="s">
        <v>1489</v>
      </c>
      <c r="C252" t="s">
        <v>2575</v>
      </c>
      <c r="D252" t="s">
        <v>2422</v>
      </c>
      <c r="E252" t="s">
        <v>2580</v>
      </c>
      <c r="F252" t="s">
        <v>2580</v>
      </c>
      <c r="G252" s="8">
        <v>3700</v>
      </c>
      <c r="H252" s="8">
        <f>+IF(BDAlquilerDepartamentos[[#This Row],[Ciudad]]="Lima",BDAlquilerDepartamentos[[#This Row],[Prec. Soles]]*0.1,BDAlquilerDepartamentos[[#This Row],[Prec. Soles]]*0.05)</f>
        <v>370</v>
      </c>
      <c r="I252" s="4">
        <v>3</v>
      </c>
      <c r="J252" s="4">
        <v>2</v>
      </c>
      <c r="K252" s="4" t="s">
        <v>3095</v>
      </c>
      <c r="L252" s="4" t="s">
        <v>3096</v>
      </c>
      <c r="M252" s="4">
        <v>145</v>
      </c>
      <c r="N252" s="4">
        <v>2009</v>
      </c>
      <c r="O252" s="4" t="str">
        <f>+IF(BDAlquilerDepartamentos[[#This Row],[Prec. Soles]]&gt;2500,"Caro","Economico")</f>
        <v>Caro</v>
      </c>
      <c r="P252" s="4" t="str">
        <f>+IF(AND(BDAlquilerDepartamentos[[#This Row],[N° de Dorm.]]&gt; 3,BDAlquilerDepartamentos[[#This Row],[Prec. Soles]]&lt;= 2500),"Buena Oferta", "Precio Estadar")</f>
        <v>Precio Estadar</v>
      </c>
      <c r="Q252" t="s">
        <v>1101</v>
      </c>
      <c r="R252" t="s">
        <v>1102</v>
      </c>
      <c r="S252" s="11">
        <v>45352</v>
      </c>
      <c r="T252" t="s">
        <v>2917</v>
      </c>
      <c r="U252" t="s">
        <v>1490</v>
      </c>
    </row>
    <row r="253" spans="2:21" x14ac:dyDescent="0.3">
      <c r="B253" t="s">
        <v>1423</v>
      </c>
      <c r="C253" t="s">
        <v>2552</v>
      </c>
      <c r="D253" t="s">
        <v>2553</v>
      </c>
      <c r="E253" t="s">
        <v>2580</v>
      </c>
      <c r="F253" t="s">
        <v>2580</v>
      </c>
      <c r="G253" s="8">
        <v>3885</v>
      </c>
      <c r="H253" s="8">
        <f>+IF(BDAlquilerDepartamentos[[#This Row],[Ciudad]]="Lima",BDAlquilerDepartamentos[[#This Row],[Prec. Soles]]*0.1,BDAlquilerDepartamentos[[#This Row],[Prec. Soles]]*0.05)</f>
        <v>388.5</v>
      </c>
      <c r="I253" s="4">
        <v>2</v>
      </c>
      <c r="J253" s="4">
        <v>2</v>
      </c>
      <c r="K253" s="4" t="s">
        <v>3095</v>
      </c>
      <c r="L253" s="4" t="s">
        <v>3095</v>
      </c>
      <c r="M253" s="4">
        <v>110</v>
      </c>
      <c r="N253" s="4">
        <v>2008</v>
      </c>
      <c r="O253" s="4" t="str">
        <f>+IF(BDAlquilerDepartamentos[[#This Row],[Prec. Soles]]&gt;2500,"Caro","Economico")</f>
        <v>Caro</v>
      </c>
      <c r="P253" s="4" t="str">
        <f>+IF(AND(BDAlquilerDepartamentos[[#This Row],[N° de Dorm.]]&gt; 3,BDAlquilerDepartamentos[[#This Row],[Prec. Soles]]&lt;= 2500),"Buena Oferta", "Precio Estadar")</f>
        <v>Precio Estadar</v>
      </c>
      <c r="Q253" t="s">
        <v>1101</v>
      </c>
      <c r="R253" t="s">
        <v>1102</v>
      </c>
      <c r="S253" s="11">
        <v>45167</v>
      </c>
      <c r="T253" t="s">
        <v>2918</v>
      </c>
      <c r="U253" t="s">
        <v>1491</v>
      </c>
    </row>
    <row r="254" spans="2:21" x14ac:dyDescent="0.3">
      <c r="B254" t="s">
        <v>1169</v>
      </c>
      <c r="C254" t="s">
        <v>2455</v>
      </c>
      <c r="D254" t="s">
        <v>2436</v>
      </c>
      <c r="E254" t="s">
        <v>2580</v>
      </c>
      <c r="F254" t="s">
        <v>2580</v>
      </c>
      <c r="G254" s="8">
        <v>2775</v>
      </c>
      <c r="H254" s="8">
        <f>+IF(BDAlquilerDepartamentos[[#This Row],[Ciudad]]="Lima",BDAlquilerDepartamentos[[#This Row],[Prec. Soles]]*0.1,BDAlquilerDepartamentos[[#This Row],[Prec. Soles]]*0.05)</f>
        <v>277.5</v>
      </c>
      <c r="I254" s="4">
        <v>2</v>
      </c>
      <c r="J254" s="4">
        <v>2</v>
      </c>
      <c r="K254" s="4" t="s">
        <v>3096</v>
      </c>
      <c r="L254" s="4" t="s">
        <v>3095</v>
      </c>
      <c r="M254" s="4">
        <v>70</v>
      </c>
      <c r="N254" s="4">
        <v>2011</v>
      </c>
      <c r="O254" s="4" t="str">
        <f>+IF(BDAlquilerDepartamentos[[#This Row],[Prec. Soles]]&gt;2500,"Caro","Economico")</f>
        <v>Caro</v>
      </c>
      <c r="P254" s="4" t="str">
        <f>+IF(AND(BDAlquilerDepartamentos[[#This Row],[N° de Dorm.]]&gt; 3,BDAlquilerDepartamentos[[#This Row],[Prec. Soles]]&lt;= 2500),"Buena Oferta", "Precio Estadar")</f>
        <v>Precio Estadar</v>
      </c>
      <c r="Q254" t="s">
        <v>1101</v>
      </c>
      <c r="R254" t="s">
        <v>1102</v>
      </c>
      <c r="S254" s="11">
        <v>44954</v>
      </c>
      <c r="T254" t="s">
        <v>2819</v>
      </c>
      <c r="U254" t="s">
        <v>1492</v>
      </c>
    </row>
    <row r="255" spans="2:21" x14ac:dyDescent="0.3">
      <c r="B255" t="s">
        <v>1493</v>
      </c>
      <c r="C255" t="s">
        <v>2576</v>
      </c>
      <c r="D255" t="s">
        <v>2485</v>
      </c>
      <c r="E255" t="s">
        <v>2580</v>
      </c>
      <c r="F255" t="s">
        <v>2580</v>
      </c>
      <c r="G255" s="8">
        <v>3145</v>
      </c>
      <c r="H255" s="8">
        <f>+IF(BDAlquilerDepartamentos[[#This Row],[Ciudad]]="Lima",BDAlquilerDepartamentos[[#This Row],[Prec. Soles]]*0.1,BDAlquilerDepartamentos[[#This Row],[Prec. Soles]]*0.05)</f>
        <v>314.5</v>
      </c>
      <c r="I255" s="4">
        <v>4</v>
      </c>
      <c r="J255" s="4">
        <v>4</v>
      </c>
      <c r="K255" s="4" t="s">
        <v>3096</v>
      </c>
      <c r="L255" s="4" t="s">
        <v>3096</v>
      </c>
      <c r="M255" s="4">
        <v>164</v>
      </c>
      <c r="N255" s="4">
        <v>2004</v>
      </c>
      <c r="O255" s="4" t="str">
        <f>+IF(BDAlquilerDepartamentos[[#This Row],[Prec. Soles]]&gt;2500,"Caro","Economico")</f>
        <v>Caro</v>
      </c>
      <c r="P255" s="4" t="str">
        <f>+IF(AND(BDAlquilerDepartamentos[[#This Row],[N° de Dorm.]]&gt; 3,BDAlquilerDepartamentos[[#This Row],[Prec. Soles]]&lt;= 2500),"Buena Oferta", "Precio Estadar")</f>
        <v>Precio Estadar</v>
      </c>
      <c r="Q255" t="s">
        <v>1101</v>
      </c>
      <c r="R255" t="s">
        <v>1102</v>
      </c>
      <c r="S255" s="11">
        <v>45336</v>
      </c>
      <c r="T255" t="s">
        <v>2861</v>
      </c>
      <c r="U255" t="s">
        <v>1494</v>
      </c>
    </row>
    <row r="256" spans="2:21" x14ac:dyDescent="0.3">
      <c r="B256" t="s">
        <v>1128</v>
      </c>
      <c r="C256" t="s">
        <v>2433</v>
      </c>
      <c r="D256" t="s">
        <v>2580</v>
      </c>
      <c r="E256" t="s">
        <v>2580</v>
      </c>
      <c r="F256" t="s">
        <v>2580</v>
      </c>
      <c r="G256" s="8">
        <v>2200</v>
      </c>
      <c r="H256" s="8">
        <f>+IF(BDAlquilerDepartamentos[[#This Row],[Ciudad]]="Lima",BDAlquilerDepartamentos[[#This Row],[Prec. Soles]]*0.1,BDAlquilerDepartamentos[[#This Row],[Prec. Soles]]*0.05)</f>
        <v>220</v>
      </c>
      <c r="I256" s="4">
        <v>2</v>
      </c>
      <c r="J256" s="4">
        <v>2</v>
      </c>
      <c r="K256" s="4" t="s">
        <v>3095</v>
      </c>
      <c r="L256" s="4" t="s">
        <v>3095</v>
      </c>
      <c r="M256" s="4">
        <v>69</v>
      </c>
      <c r="N256" s="4">
        <v>2007</v>
      </c>
      <c r="O256" s="4" t="str">
        <f>+IF(BDAlquilerDepartamentos[[#This Row],[Prec. Soles]]&gt;2500,"Caro","Economico")</f>
        <v>Economico</v>
      </c>
      <c r="P256" s="4" t="str">
        <f>+IF(AND(BDAlquilerDepartamentos[[#This Row],[N° de Dorm.]]&gt; 3,BDAlquilerDepartamentos[[#This Row],[Prec. Soles]]&lt;= 2500),"Buena Oferta", "Precio Estadar")</f>
        <v>Precio Estadar</v>
      </c>
      <c r="Q256" t="s">
        <v>1101</v>
      </c>
      <c r="R256" t="s">
        <v>1102</v>
      </c>
      <c r="S256" s="11">
        <v>45009</v>
      </c>
      <c r="T256" t="s">
        <v>2919</v>
      </c>
      <c r="U256" t="s">
        <v>1495</v>
      </c>
    </row>
    <row r="257" spans="2:21" x14ac:dyDescent="0.3">
      <c r="B257" t="s">
        <v>1496</v>
      </c>
      <c r="C257" t="s">
        <v>2577</v>
      </c>
      <c r="D257" t="s">
        <v>2580</v>
      </c>
      <c r="E257" t="s">
        <v>2580</v>
      </c>
      <c r="F257" t="s">
        <v>2580</v>
      </c>
      <c r="G257" s="8">
        <v>2960</v>
      </c>
      <c r="H257" s="8">
        <f>+IF(BDAlquilerDepartamentos[[#This Row],[Ciudad]]="Lima",BDAlquilerDepartamentos[[#This Row],[Prec. Soles]]*0.1,BDAlquilerDepartamentos[[#This Row],[Prec. Soles]]*0.05)</f>
        <v>296</v>
      </c>
      <c r="I257" s="4">
        <v>2</v>
      </c>
      <c r="J257" s="4">
        <v>2</v>
      </c>
      <c r="K257" s="4" t="s">
        <v>3095</v>
      </c>
      <c r="L257" s="4" t="s">
        <v>3095</v>
      </c>
      <c r="M257" s="4">
        <v>82</v>
      </c>
      <c r="N257" s="4">
        <v>2017</v>
      </c>
      <c r="O257" s="4" t="str">
        <f>+IF(BDAlquilerDepartamentos[[#This Row],[Prec. Soles]]&gt;2500,"Caro","Economico")</f>
        <v>Caro</v>
      </c>
      <c r="P257" s="4" t="str">
        <f>+IF(AND(BDAlquilerDepartamentos[[#This Row],[N° de Dorm.]]&gt; 3,BDAlquilerDepartamentos[[#This Row],[Prec. Soles]]&lt;= 2500),"Buena Oferta", "Precio Estadar")</f>
        <v>Precio Estadar</v>
      </c>
      <c r="Q257" t="s">
        <v>1101</v>
      </c>
      <c r="R257" t="s">
        <v>1102</v>
      </c>
      <c r="S257" s="11">
        <v>45196</v>
      </c>
      <c r="T257" t="s">
        <v>2920</v>
      </c>
      <c r="U257" t="s">
        <v>1497</v>
      </c>
    </row>
    <row r="258" spans="2:21" x14ac:dyDescent="0.3">
      <c r="B258" t="s">
        <v>3102</v>
      </c>
      <c r="C258" t="s">
        <v>2580</v>
      </c>
      <c r="D258" t="s">
        <v>2580</v>
      </c>
      <c r="E258" t="s">
        <v>2580</v>
      </c>
      <c r="F258" t="s">
        <v>2580</v>
      </c>
      <c r="G258" s="8">
        <v>4070</v>
      </c>
      <c r="H258" s="8">
        <f>+IF(BDAlquilerDepartamentos[[#This Row],[Ciudad]]="Lima",BDAlquilerDepartamentos[[#This Row],[Prec. Soles]]*0.1,BDAlquilerDepartamentos[[#This Row],[Prec. Soles]]*0.05)</f>
        <v>407</v>
      </c>
      <c r="I258" s="4">
        <v>3</v>
      </c>
      <c r="J258" s="4">
        <v>3</v>
      </c>
      <c r="K258" s="4" t="s">
        <v>3095</v>
      </c>
      <c r="L258" s="4" t="s">
        <v>3096</v>
      </c>
      <c r="M258" s="4">
        <v>155</v>
      </c>
      <c r="N258" s="4">
        <v>2009</v>
      </c>
      <c r="O258" s="4" t="str">
        <f>+IF(BDAlquilerDepartamentos[[#This Row],[Prec. Soles]]&gt;2500,"Caro","Economico")</f>
        <v>Caro</v>
      </c>
      <c r="P258" s="4" t="str">
        <f>+IF(AND(BDAlquilerDepartamentos[[#This Row],[N° de Dorm.]]&gt; 3,BDAlquilerDepartamentos[[#This Row],[Prec. Soles]]&lt;= 2500),"Buena Oferta", "Precio Estadar")</f>
        <v>Precio Estadar</v>
      </c>
      <c r="Q258" t="s">
        <v>1101</v>
      </c>
      <c r="R258" t="s">
        <v>1102</v>
      </c>
      <c r="S258" s="11">
        <v>45586</v>
      </c>
      <c r="T258" t="s">
        <v>2885</v>
      </c>
      <c r="U258" t="s">
        <v>1498</v>
      </c>
    </row>
    <row r="259" spans="2:21" x14ac:dyDescent="0.3">
      <c r="B259" t="s">
        <v>1499</v>
      </c>
      <c r="C259" t="s">
        <v>2466</v>
      </c>
      <c r="D259" t="s">
        <v>2436</v>
      </c>
      <c r="E259" t="s">
        <v>2580</v>
      </c>
      <c r="F259" t="s">
        <v>2580</v>
      </c>
      <c r="G259" s="8">
        <v>7400</v>
      </c>
      <c r="H259" s="8">
        <f>+IF(BDAlquilerDepartamentos[[#This Row],[Ciudad]]="Lima",BDAlquilerDepartamentos[[#This Row],[Prec. Soles]]*0.1,BDAlquilerDepartamentos[[#This Row],[Prec. Soles]]*0.05)</f>
        <v>740</v>
      </c>
      <c r="I259" s="4">
        <v>9</v>
      </c>
      <c r="J259" s="4">
        <v>4</v>
      </c>
      <c r="K259" s="4" t="s">
        <v>3096</v>
      </c>
      <c r="L259" s="4" t="s">
        <v>3096</v>
      </c>
      <c r="M259" s="4">
        <v>300</v>
      </c>
      <c r="N259" s="4">
        <v>2011</v>
      </c>
      <c r="O259" s="4" t="str">
        <f>+IF(BDAlquilerDepartamentos[[#This Row],[Prec. Soles]]&gt;2500,"Caro","Economico")</f>
        <v>Caro</v>
      </c>
      <c r="P259" s="4" t="str">
        <f>+IF(AND(BDAlquilerDepartamentos[[#This Row],[N° de Dorm.]]&gt; 3,BDAlquilerDepartamentos[[#This Row],[Prec. Soles]]&lt;= 2500),"Buena Oferta", "Precio Estadar")</f>
        <v>Precio Estadar</v>
      </c>
      <c r="Q259" t="s">
        <v>1113</v>
      </c>
      <c r="R259" t="s">
        <v>1102</v>
      </c>
      <c r="S259" s="11">
        <v>45593</v>
      </c>
      <c r="T259" t="s">
        <v>2920</v>
      </c>
      <c r="U259" t="s">
        <v>1500</v>
      </c>
    </row>
    <row r="260" spans="2:21" x14ac:dyDescent="0.3">
      <c r="B260" t="s">
        <v>1501</v>
      </c>
      <c r="C260" t="s">
        <v>2578</v>
      </c>
      <c r="D260" t="s">
        <v>2527</v>
      </c>
      <c r="E260" t="s">
        <v>2580</v>
      </c>
      <c r="F260" t="s">
        <v>2580</v>
      </c>
      <c r="G260" s="8">
        <v>1200</v>
      </c>
      <c r="H260" s="8">
        <f>+IF(BDAlquilerDepartamentos[[#This Row],[Ciudad]]="Lima",BDAlquilerDepartamentos[[#This Row],[Prec. Soles]]*0.1,BDAlquilerDepartamentos[[#This Row],[Prec. Soles]]*0.05)</f>
        <v>120</v>
      </c>
      <c r="I260" s="4">
        <v>2</v>
      </c>
      <c r="J260" s="4">
        <v>1</v>
      </c>
      <c r="K260" s="4" t="s">
        <v>3095</v>
      </c>
      <c r="L260" s="4" t="s">
        <v>3096</v>
      </c>
      <c r="M260" s="4">
        <v>80</v>
      </c>
      <c r="N260" s="4">
        <v>2012</v>
      </c>
      <c r="O260" s="4" t="str">
        <f>+IF(BDAlquilerDepartamentos[[#This Row],[Prec. Soles]]&gt;2500,"Caro","Economico")</f>
        <v>Economico</v>
      </c>
      <c r="P260" s="4" t="str">
        <f>+IF(AND(BDAlquilerDepartamentos[[#This Row],[N° de Dorm.]]&gt; 3,BDAlquilerDepartamentos[[#This Row],[Prec. Soles]]&lt;= 2500),"Buena Oferta", "Precio Estadar")</f>
        <v>Precio Estadar</v>
      </c>
      <c r="Q260" t="s">
        <v>1101</v>
      </c>
      <c r="R260" t="s">
        <v>1102</v>
      </c>
      <c r="S260" s="11">
        <v>45236</v>
      </c>
      <c r="T260" t="s">
        <v>2843</v>
      </c>
      <c r="U260" t="s">
        <v>1502</v>
      </c>
    </row>
    <row r="261" spans="2:21" x14ac:dyDescent="0.3">
      <c r="B261" t="s">
        <v>1503</v>
      </c>
      <c r="C261" t="s">
        <v>2579</v>
      </c>
      <c r="D261" t="s">
        <v>2444</v>
      </c>
      <c r="E261" t="s">
        <v>2580</v>
      </c>
      <c r="F261" t="s">
        <v>2580</v>
      </c>
      <c r="G261" s="8">
        <v>2960</v>
      </c>
      <c r="H261" s="8">
        <f>+IF(BDAlquilerDepartamentos[[#This Row],[Ciudad]]="Lima",BDAlquilerDepartamentos[[#This Row],[Prec. Soles]]*0.1,BDAlquilerDepartamentos[[#This Row],[Prec. Soles]]*0.05)</f>
        <v>296</v>
      </c>
      <c r="I261" s="4">
        <v>3</v>
      </c>
      <c r="J261" s="4">
        <v>4</v>
      </c>
      <c r="K261" s="4" t="s">
        <v>3096</v>
      </c>
      <c r="L261" s="4" t="s">
        <v>3096</v>
      </c>
      <c r="M261" s="4">
        <v>129</v>
      </c>
      <c r="N261" s="4">
        <v>2009</v>
      </c>
      <c r="O261" s="4" t="str">
        <f>+IF(BDAlquilerDepartamentos[[#This Row],[Prec. Soles]]&gt;2500,"Caro","Economico")</f>
        <v>Caro</v>
      </c>
      <c r="P261" s="4" t="str">
        <f>+IF(AND(BDAlquilerDepartamentos[[#This Row],[N° de Dorm.]]&gt; 3,BDAlquilerDepartamentos[[#This Row],[Prec. Soles]]&lt;= 2500),"Buena Oferta", "Precio Estadar")</f>
        <v>Precio Estadar</v>
      </c>
      <c r="Q261" t="s">
        <v>1101</v>
      </c>
      <c r="R261" t="s">
        <v>1102</v>
      </c>
      <c r="S261" s="11">
        <v>45515</v>
      </c>
      <c r="T261" t="s">
        <v>2921</v>
      </c>
      <c r="U261" t="s">
        <v>1504</v>
      </c>
    </row>
    <row r="262" spans="2:21" x14ac:dyDescent="0.3">
      <c r="B262" t="s">
        <v>3102</v>
      </c>
      <c r="C262" t="s">
        <v>2580</v>
      </c>
      <c r="D262" t="s">
        <v>2580</v>
      </c>
      <c r="E262" t="s">
        <v>2580</v>
      </c>
      <c r="F262" t="s">
        <v>2580</v>
      </c>
      <c r="G262" s="8">
        <v>1100</v>
      </c>
      <c r="H262" s="8">
        <f>+IF(BDAlquilerDepartamentos[[#This Row],[Ciudad]]="Lima",BDAlquilerDepartamentos[[#This Row],[Prec. Soles]]*0.1,BDAlquilerDepartamentos[[#This Row],[Prec. Soles]]*0.05)</f>
        <v>110</v>
      </c>
      <c r="I262" s="4">
        <v>2</v>
      </c>
      <c r="J262" s="4">
        <v>1</v>
      </c>
      <c r="K262" s="4" t="s">
        <v>3096</v>
      </c>
      <c r="L262" s="4" t="s">
        <v>3096</v>
      </c>
      <c r="M262" s="4">
        <v>50</v>
      </c>
      <c r="N262" s="4">
        <v>2017</v>
      </c>
      <c r="O262" s="4" t="str">
        <f>+IF(BDAlquilerDepartamentos[[#This Row],[Prec. Soles]]&gt;2500,"Caro","Economico")</f>
        <v>Economico</v>
      </c>
      <c r="P262" s="4" t="str">
        <f>+IF(AND(BDAlquilerDepartamentos[[#This Row],[N° de Dorm.]]&gt; 3,BDAlquilerDepartamentos[[#This Row],[Prec. Soles]]&lt;= 2500),"Buena Oferta", "Precio Estadar")</f>
        <v>Precio Estadar</v>
      </c>
      <c r="Q262" t="s">
        <v>1101</v>
      </c>
      <c r="R262" t="s">
        <v>1102</v>
      </c>
      <c r="S262" s="11">
        <v>45049</v>
      </c>
      <c r="T262" t="s">
        <v>2922</v>
      </c>
      <c r="U262" t="s">
        <v>1505</v>
      </c>
    </row>
    <row r="263" spans="2:21" x14ac:dyDescent="0.3">
      <c r="B263" t="s">
        <v>1506</v>
      </c>
      <c r="C263" t="s">
        <v>2581</v>
      </c>
      <c r="D263" t="s">
        <v>2566</v>
      </c>
      <c r="E263" t="s">
        <v>2580</v>
      </c>
      <c r="F263" t="s">
        <v>2580</v>
      </c>
      <c r="G263" s="8">
        <v>1580</v>
      </c>
      <c r="H263" s="8">
        <f>+IF(BDAlquilerDepartamentos[[#This Row],[Ciudad]]="Lima",BDAlquilerDepartamentos[[#This Row],[Prec. Soles]]*0.1,BDAlquilerDepartamentos[[#This Row],[Prec. Soles]]*0.05)</f>
        <v>158</v>
      </c>
      <c r="I263" s="4">
        <v>2</v>
      </c>
      <c r="J263" s="4">
        <v>1</v>
      </c>
      <c r="K263" s="4" t="s">
        <v>3096</v>
      </c>
      <c r="L263" s="4" t="s">
        <v>3095</v>
      </c>
      <c r="M263" s="4">
        <v>70</v>
      </c>
      <c r="N263" s="4">
        <v>2009</v>
      </c>
      <c r="O263" s="4" t="str">
        <f>+IF(BDAlquilerDepartamentos[[#This Row],[Prec. Soles]]&gt;2500,"Caro","Economico")</f>
        <v>Economico</v>
      </c>
      <c r="P263" s="4" t="str">
        <f>+IF(AND(BDAlquilerDepartamentos[[#This Row],[N° de Dorm.]]&gt; 3,BDAlquilerDepartamentos[[#This Row],[Prec. Soles]]&lt;= 2500),"Buena Oferta", "Precio Estadar")</f>
        <v>Precio Estadar</v>
      </c>
      <c r="Q263" t="s">
        <v>1101</v>
      </c>
      <c r="R263" t="s">
        <v>1102</v>
      </c>
      <c r="S263" s="11">
        <v>45467</v>
      </c>
      <c r="T263" t="s">
        <v>2914</v>
      </c>
      <c r="U263" t="s">
        <v>1507</v>
      </c>
    </row>
    <row r="264" spans="2:21" x14ac:dyDescent="0.3">
      <c r="B264" t="s">
        <v>1108</v>
      </c>
      <c r="C264" t="s">
        <v>2419</v>
      </c>
      <c r="D264" t="s">
        <v>2420</v>
      </c>
      <c r="E264" t="s">
        <v>2580</v>
      </c>
      <c r="F264" t="s">
        <v>2580</v>
      </c>
      <c r="G264" s="8">
        <v>3330</v>
      </c>
      <c r="H264" s="8">
        <f>+IF(BDAlquilerDepartamentos[[#This Row],[Ciudad]]="Lima",BDAlquilerDepartamentos[[#This Row],[Prec. Soles]]*0.1,BDAlquilerDepartamentos[[#This Row],[Prec. Soles]]*0.05)</f>
        <v>333</v>
      </c>
      <c r="I264" s="4">
        <v>2</v>
      </c>
      <c r="J264" s="4">
        <v>2</v>
      </c>
      <c r="K264" s="4" t="s">
        <v>3096</v>
      </c>
      <c r="L264" s="4" t="s">
        <v>3095</v>
      </c>
      <c r="M264" s="4">
        <v>91</v>
      </c>
      <c r="N264" s="4">
        <v>2003</v>
      </c>
      <c r="O264" s="4" t="str">
        <f>+IF(BDAlquilerDepartamentos[[#This Row],[Prec. Soles]]&gt;2500,"Caro","Economico")</f>
        <v>Caro</v>
      </c>
      <c r="P264" s="4" t="str">
        <f>+IF(AND(BDAlquilerDepartamentos[[#This Row],[N° de Dorm.]]&gt; 3,BDAlquilerDepartamentos[[#This Row],[Prec. Soles]]&lt;= 2500),"Buena Oferta", "Precio Estadar")</f>
        <v>Precio Estadar</v>
      </c>
      <c r="Q264" t="s">
        <v>1101</v>
      </c>
      <c r="R264" t="s">
        <v>1102</v>
      </c>
      <c r="S264" s="11">
        <v>45532</v>
      </c>
      <c r="T264" t="s">
        <v>2923</v>
      </c>
      <c r="U264" t="s">
        <v>1508</v>
      </c>
    </row>
    <row r="265" spans="2:21" x14ac:dyDescent="0.3">
      <c r="B265" t="s">
        <v>1106</v>
      </c>
      <c r="C265" t="s">
        <v>2417</v>
      </c>
      <c r="D265" t="s">
        <v>2436</v>
      </c>
      <c r="E265" t="s">
        <v>2580</v>
      </c>
      <c r="F265" t="s">
        <v>2580</v>
      </c>
      <c r="G265" s="8">
        <v>4070</v>
      </c>
      <c r="H265" s="8">
        <f>+IF(BDAlquilerDepartamentos[[#This Row],[Ciudad]]="Lima",BDAlquilerDepartamentos[[#This Row],[Prec. Soles]]*0.1,BDAlquilerDepartamentos[[#This Row],[Prec. Soles]]*0.05)</f>
        <v>407</v>
      </c>
      <c r="I265" s="4">
        <v>3</v>
      </c>
      <c r="J265" s="4">
        <v>2</v>
      </c>
      <c r="K265" s="4" t="s">
        <v>3095</v>
      </c>
      <c r="L265" s="4" t="s">
        <v>3095</v>
      </c>
      <c r="M265" s="4">
        <v>120</v>
      </c>
      <c r="N265" s="4">
        <v>2013</v>
      </c>
      <c r="O265" s="4" t="str">
        <f>+IF(BDAlquilerDepartamentos[[#This Row],[Prec. Soles]]&gt;2500,"Caro","Economico")</f>
        <v>Caro</v>
      </c>
      <c r="P265" s="4" t="str">
        <f>+IF(AND(BDAlquilerDepartamentos[[#This Row],[N° de Dorm.]]&gt; 3,BDAlquilerDepartamentos[[#This Row],[Prec. Soles]]&lt;= 2500),"Buena Oferta", "Precio Estadar")</f>
        <v>Precio Estadar</v>
      </c>
      <c r="Q265" t="s">
        <v>1101</v>
      </c>
      <c r="R265" t="s">
        <v>1102</v>
      </c>
      <c r="S265" s="11">
        <v>45192</v>
      </c>
      <c r="T265" t="s">
        <v>2833</v>
      </c>
      <c r="U265" t="s">
        <v>1509</v>
      </c>
    </row>
    <row r="266" spans="2:21" x14ac:dyDescent="0.3">
      <c r="B266" t="s">
        <v>1118</v>
      </c>
      <c r="C266" t="s">
        <v>2426</v>
      </c>
      <c r="D266" t="s">
        <v>2436</v>
      </c>
      <c r="E266" t="s">
        <v>2580</v>
      </c>
      <c r="F266" t="s">
        <v>2580</v>
      </c>
      <c r="G266" s="8">
        <v>2664</v>
      </c>
      <c r="H266" s="8">
        <f>+IF(BDAlquilerDepartamentos[[#This Row],[Ciudad]]="Lima",BDAlquilerDepartamentos[[#This Row],[Prec. Soles]]*0.1,BDAlquilerDepartamentos[[#This Row],[Prec. Soles]]*0.05)</f>
        <v>266.40000000000003</v>
      </c>
      <c r="I266" s="4">
        <v>1</v>
      </c>
      <c r="J266" s="4">
        <v>2</v>
      </c>
      <c r="K266" s="4" t="s">
        <v>3095</v>
      </c>
      <c r="L266" s="4" t="s">
        <v>3096</v>
      </c>
      <c r="M266" s="4">
        <v>58</v>
      </c>
      <c r="N266" s="4">
        <v>2015</v>
      </c>
      <c r="O266" s="4" t="str">
        <f>+IF(BDAlquilerDepartamentos[[#This Row],[Prec. Soles]]&gt;2500,"Caro","Economico")</f>
        <v>Caro</v>
      </c>
      <c r="P266" s="4" t="str">
        <f>+IF(AND(BDAlquilerDepartamentos[[#This Row],[N° de Dorm.]]&gt; 3,BDAlquilerDepartamentos[[#This Row],[Prec. Soles]]&lt;= 2500),"Buena Oferta", "Precio Estadar")</f>
        <v>Precio Estadar</v>
      </c>
      <c r="Q266" t="s">
        <v>1101</v>
      </c>
      <c r="R266" t="s">
        <v>1102</v>
      </c>
      <c r="S266" s="11">
        <v>45323</v>
      </c>
      <c r="T266" t="s">
        <v>2924</v>
      </c>
      <c r="U266" t="s">
        <v>1510</v>
      </c>
    </row>
    <row r="267" spans="2:21" x14ac:dyDescent="0.3">
      <c r="B267" t="s">
        <v>1511</v>
      </c>
      <c r="C267" t="s">
        <v>2582</v>
      </c>
      <c r="D267" t="s">
        <v>2473</v>
      </c>
      <c r="E267" t="s">
        <v>2474</v>
      </c>
      <c r="F267" t="s">
        <v>2474</v>
      </c>
      <c r="G267" s="8">
        <v>1600</v>
      </c>
      <c r="H267" s="8">
        <f>+IF(BDAlquilerDepartamentos[[#This Row],[Ciudad]]="Lima",BDAlquilerDepartamentos[[#This Row],[Prec. Soles]]*0.1,BDAlquilerDepartamentos[[#This Row],[Prec. Soles]]*0.05)</f>
        <v>80</v>
      </c>
      <c r="I267" s="4">
        <v>3</v>
      </c>
      <c r="J267" s="4">
        <v>2</v>
      </c>
      <c r="K267" s="4" t="s">
        <v>3095</v>
      </c>
      <c r="L267" s="4" t="s">
        <v>3096</v>
      </c>
      <c r="M267" s="4">
        <v>67</v>
      </c>
      <c r="N267" s="4">
        <v>2016</v>
      </c>
      <c r="O267" s="4" t="str">
        <f>+IF(BDAlquilerDepartamentos[[#This Row],[Prec. Soles]]&gt;2500,"Caro","Economico")</f>
        <v>Economico</v>
      </c>
      <c r="P267" s="4" t="str">
        <f>+IF(AND(BDAlquilerDepartamentos[[#This Row],[N° de Dorm.]]&gt; 3,BDAlquilerDepartamentos[[#This Row],[Prec. Soles]]&lt;= 2500),"Buena Oferta", "Precio Estadar")</f>
        <v>Precio Estadar</v>
      </c>
      <c r="Q267" t="s">
        <v>1101</v>
      </c>
      <c r="R267" t="s">
        <v>1102</v>
      </c>
      <c r="S267" s="11">
        <v>45340</v>
      </c>
      <c r="T267" t="s">
        <v>2925</v>
      </c>
      <c r="U267" t="s">
        <v>1512</v>
      </c>
    </row>
    <row r="268" spans="2:21" x14ac:dyDescent="0.3">
      <c r="B268" t="s">
        <v>1513</v>
      </c>
      <c r="C268" t="s">
        <v>2583</v>
      </c>
      <c r="D268" t="s">
        <v>2514</v>
      </c>
      <c r="E268" t="s">
        <v>2580</v>
      </c>
      <c r="F268" t="s">
        <v>2580</v>
      </c>
      <c r="G268" s="8">
        <v>3500</v>
      </c>
      <c r="H268" s="8">
        <f>+IF(BDAlquilerDepartamentos[[#This Row],[Ciudad]]="Lima",BDAlquilerDepartamentos[[#This Row],[Prec. Soles]]*0.1,BDAlquilerDepartamentos[[#This Row],[Prec. Soles]]*0.05)</f>
        <v>350</v>
      </c>
      <c r="I268" s="4">
        <v>5</v>
      </c>
      <c r="J268" s="4">
        <v>3</v>
      </c>
      <c r="K268" s="4" t="s">
        <v>3096</v>
      </c>
      <c r="L268" s="4" t="s">
        <v>3096</v>
      </c>
      <c r="M268" s="4">
        <v>122</v>
      </c>
      <c r="N268" s="4">
        <v>2016</v>
      </c>
      <c r="O268" s="4" t="str">
        <f>+IF(BDAlquilerDepartamentos[[#This Row],[Prec. Soles]]&gt;2500,"Caro","Economico")</f>
        <v>Caro</v>
      </c>
      <c r="P268" s="4" t="str">
        <f>+IF(AND(BDAlquilerDepartamentos[[#This Row],[N° de Dorm.]]&gt; 3,BDAlquilerDepartamentos[[#This Row],[Prec. Soles]]&lt;= 2500),"Buena Oferta", "Precio Estadar")</f>
        <v>Precio Estadar</v>
      </c>
      <c r="Q268" t="s">
        <v>1113</v>
      </c>
      <c r="R268" t="s">
        <v>1102</v>
      </c>
      <c r="S268" s="11">
        <v>45617</v>
      </c>
      <c r="T268" t="s">
        <v>2915</v>
      </c>
      <c r="U268" t="s">
        <v>1514</v>
      </c>
    </row>
    <row r="269" spans="2:21" x14ac:dyDescent="0.3">
      <c r="B269" t="s">
        <v>1515</v>
      </c>
      <c r="C269" t="s">
        <v>2584</v>
      </c>
      <c r="D269" t="s">
        <v>2580</v>
      </c>
      <c r="E269" t="s">
        <v>2580</v>
      </c>
      <c r="F269" t="s">
        <v>2580</v>
      </c>
      <c r="G269" s="8">
        <v>3145</v>
      </c>
      <c r="H269" s="8">
        <f>+IF(BDAlquilerDepartamentos[[#This Row],[Ciudad]]="Lima",BDAlquilerDepartamentos[[#This Row],[Prec. Soles]]*0.1,BDAlquilerDepartamentos[[#This Row],[Prec. Soles]]*0.05)</f>
        <v>314.5</v>
      </c>
      <c r="I269" s="4">
        <v>5</v>
      </c>
      <c r="J269" s="4">
        <v>4</v>
      </c>
      <c r="K269" s="4" t="s">
        <v>3095</v>
      </c>
      <c r="L269" s="4" t="s">
        <v>3096</v>
      </c>
      <c r="M269" s="4">
        <v>200</v>
      </c>
      <c r="N269" s="4">
        <v>2011</v>
      </c>
      <c r="O269" s="4" t="str">
        <f>+IF(BDAlquilerDepartamentos[[#This Row],[Prec. Soles]]&gt;2500,"Caro","Economico")</f>
        <v>Caro</v>
      </c>
      <c r="P269" s="4" t="str">
        <f>+IF(AND(BDAlquilerDepartamentos[[#This Row],[N° de Dorm.]]&gt; 3,BDAlquilerDepartamentos[[#This Row],[Prec. Soles]]&lt;= 2500),"Buena Oferta", "Precio Estadar")</f>
        <v>Precio Estadar</v>
      </c>
      <c r="Q269" t="s">
        <v>1399</v>
      </c>
      <c r="R269" t="s">
        <v>1102</v>
      </c>
      <c r="S269" s="11">
        <v>45380</v>
      </c>
      <c r="T269" t="s">
        <v>2822</v>
      </c>
      <c r="U269" t="s">
        <v>1516</v>
      </c>
    </row>
    <row r="270" spans="2:21" x14ac:dyDescent="0.3">
      <c r="B270" t="s">
        <v>1517</v>
      </c>
      <c r="C270" t="s">
        <v>2585</v>
      </c>
      <c r="D270" t="s">
        <v>2689</v>
      </c>
      <c r="E270" t="s">
        <v>2689</v>
      </c>
      <c r="F270" t="s">
        <v>2689</v>
      </c>
      <c r="G270" s="8">
        <v>3200</v>
      </c>
      <c r="H270" s="8">
        <f>+IF(BDAlquilerDepartamentos[[#This Row],[Ciudad]]="Lima",BDAlquilerDepartamentos[[#This Row],[Prec. Soles]]*0.1,BDAlquilerDepartamentos[[#This Row],[Prec. Soles]]*0.05)</f>
        <v>160</v>
      </c>
      <c r="I270" s="4">
        <v>2</v>
      </c>
      <c r="J270" s="4">
        <v>2</v>
      </c>
      <c r="K270" s="4" t="s">
        <v>3095</v>
      </c>
      <c r="L270" s="4" t="s">
        <v>3095</v>
      </c>
      <c r="M270" s="4">
        <v>135</v>
      </c>
      <c r="N270" s="4">
        <v>2010</v>
      </c>
      <c r="O270" s="4" t="str">
        <f>+IF(BDAlquilerDepartamentos[[#This Row],[Prec. Soles]]&gt;2500,"Caro","Economico")</f>
        <v>Caro</v>
      </c>
      <c r="P270" s="4" t="str">
        <f>+IF(AND(BDAlquilerDepartamentos[[#This Row],[N° de Dorm.]]&gt; 3,BDAlquilerDepartamentos[[#This Row],[Prec. Soles]]&lt;= 2500),"Buena Oferta", "Precio Estadar")</f>
        <v>Precio Estadar</v>
      </c>
      <c r="Q270" t="s">
        <v>1101</v>
      </c>
      <c r="R270" t="s">
        <v>1102</v>
      </c>
      <c r="S270" s="11">
        <v>45344</v>
      </c>
      <c r="T270" t="s">
        <v>2926</v>
      </c>
      <c r="U270" t="s">
        <v>1518</v>
      </c>
    </row>
    <row r="271" spans="2:21" x14ac:dyDescent="0.3">
      <c r="B271" t="s">
        <v>1165</v>
      </c>
      <c r="C271" t="s">
        <v>2453</v>
      </c>
      <c r="D271" t="s">
        <v>2580</v>
      </c>
      <c r="E271" t="s">
        <v>2580</v>
      </c>
      <c r="F271" t="s">
        <v>2580</v>
      </c>
      <c r="G271" s="8">
        <v>4588</v>
      </c>
      <c r="H271" s="8">
        <f>+IF(BDAlquilerDepartamentos[[#This Row],[Ciudad]]="Lima",BDAlquilerDepartamentos[[#This Row],[Prec. Soles]]*0.1,BDAlquilerDepartamentos[[#This Row],[Prec. Soles]]*0.05)</f>
        <v>458.8</v>
      </c>
      <c r="I271" s="4">
        <v>2</v>
      </c>
      <c r="J271" s="4">
        <v>3</v>
      </c>
      <c r="K271" s="4" t="s">
        <v>3096</v>
      </c>
      <c r="L271" s="4" t="s">
        <v>3095</v>
      </c>
      <c r="M271" s="4">
        <v>151</v>
      </c>
      <c r="N271" s="4">
        <v>2018</v>
      </c>
      <c r="O271" s="4" t="str">
        <f>+IF(BDAlquilerDepartamentos[[#This Row],[Prec. Soles]]&gt;2500,"Caro","Economico")</f>
        <v>Caro</v>
      </c>
      <c r="P271" s="4" t="str">
        <f>+IF(AND(BDAlquilerDepartamentos[[#This Row],[N° de Dorm.]]&gt; 3,BDAlquilerDepartamentos[[#This Row],[Prec. Soles]]&lt;= 2500),"Buena Oferta", "Precio Estadar")</f>
        <v>Precio Estadar</v>
      </c>
      <c r="Q271" t="s">
        <v>1101</v>
      </c>
      <c r="R271" t="s">
        <v>1102</v>
      </c>
      <c r="S271" s="11">
        <v>45651</v>
      </c>
      <c r="T271" t="s">
        <v>2861</v>
      </c>
      <c r="U271" t="s">
        <v>1519</v>
      </c>
    </row>
    <row r="272" spans="2:21" x14ac:dyDescent="0.3">
      <c r="B272" t="s">
        <v>1423</v>
      </c>
      <c r="C272" t="s">
        <v>2552</v>
      </c>
      <c r="D272" t="s">
        <v>2447</v>
      </c>
      <c r="E272" t="s">
        <v>2580</v>
      </c>
      <c r="F272" t="s">
        <v>2580</v>
      </c>
      <c r="G272" s="8">
        <v>4995</v>
      </c>
      <c r="H272" s="8">
        <f>+IF(BDAlquilerDepartamentos[[#This Row],[Ciudad]]="Lima",BDAlquilerDepartamentos[[#This Row],[Prec. Soles]]*0.1,BDAlquilerDepartamentos[[#This Row],[Prec. Soles]]*0.05)</f>
        <v>499.5</v>
      </c>
      <c r="I272" s="4">
        <v>2</v>
      </c>
      <c r="J272" s="4">
        <v>2</v>
      </c>
      <c r="K272" s="4" t="s">
        <v>3096</v>
      </c>
      <c r="L272" s="4" t="s">
        <v>3096</v>
      </c>
      <c r="M272" s="4">
        <v>115</v>
      </c>
      <c r="N272" s="4">
        <v>2008</v>
      </c>
      <c r="O272" s="4" t="str">
        <f>+IF(BDAlquilerDepartamentos[[#This Row],[Prec. Soles]]&gt;2500,"Caro","Economico")</f>
        <v>Caro</v>
      </c>
      <c r="P272" s="4" t="str">
        <f>+IF(AND(BDAlquilerDepartamentos[[#This Row],[N° de Dorm.]]&gt; 3,BDAlquilerDepartamentos[[#This Row],[Prec. Soles]]&lt;= 2500),"Buena Oferta", "Precio Estadar")</f>
        <v>Precio Estadar</v>
      </c>
      <c r="Q272" t="s">
        <v>1101</v>
      </c>
      <c r="R272" t="s">
        <v>1102</v>
      </c>
      <c r="S272" s="11">
        <v>45587</v>
      </c>
      <c r="T272" t="s">
        <v>3157</v>
      </c>
      <c r="U272" t="s">
        <v>1520</v>
      </c>
    </row>
    <row r="273" spans="2:21" x14ac:dyDescent="0.3">
      <c r="B273" t="s">
        <v>3113</v>
      </c>
      <c r="C273" t="s">
        <v>3114</v>
      </c>
      <c r="D273" t="s">
        <v>2436</v>
      </c>
      <c r="E273" t="s">
        <v>2580</v>
      </c>
      <c r="F273" t="s">
        <v>2580</v>
      </c>
      <c r="G273" s="8">
        <v>9620</v>
      </c>
      <c r="H273" s="8">
        <f>+IF(BDAlquilerDepartamentos[[#This Row],[Ciudad]]="Lima",BDAlquilerDepartamentos[[#This Row],[Prec. Soles]]*0.1,BDAlquilerDepartamentos[[#This Row],[Prec. Soles]]*0.05)</f>
        <v>962</v>
      </c>
      <c r="I273" s="4">
        <v>3</v>
      </c>
      <c r="J273" s="4">
        <v>2</v>
      </c>
      <c r="K273" s="4" t="s">
        <v>3095</v>
      </c>
      <c r="L273" s="4" t="s">
        <v>3095</v>
      </c>
      <c r="M273" s="4">
        <v>250</v>
      </c>
      <c r="N273" s="4">
        <v>2004</v>
      </c>
      <c r="O273" s="4" t="str">
        <f>+IF(BDAlquilerDepartamentos[[#This Row],[Prec. Soles]]&gt;2500,"Caro","Economico")</f>
        <v>Caro</v>
      </c>
      <c r="P273" s="4" t="str">
        <f>+IF(AND(BDAlquilerDepartamentos[[#This Row],[N° de Dorm.]]&gt; 3,BDAlquilerDepartamentos[[#This Row],[Prec. Soles]]&lt;= 2500),"Buena Oferta", "Precio Estadar")</f>
        <v>Precio Estadar</v>
      </c>
      <c r="Q273" t="s">
        <v>1101</v>
      </c>
      <c r="R273" t="s">
        <v>1102</v>
      </c>
      <c r="S273" s="11">
        <v>45348</v>
      </c>
      <c r="T273" t="s">
        <v>2846</v>
      </c>
      <c r="U273" t="s">
        <v>1521</v>
      </c>
    </row>
    <row r="274" spans="2:21" x14ac:dyDescent="0.3">
      <c r="B274" t="s">
        <v>1412</v>
      </c>
      <c r="C274" t="s">
        <v>2549</v>
      </c>
      <c r="D274" t="s">
        <v>2580</v>
      </c>
      <c r="E274" t="s">
        <v>2580</v>
      </c>
      <c r="F274" t="s">
        <v>2580</v>
      </c>
      <c r="G274" s="8">
        <v>2300</v>
      </c>
      <c r="H274" s="8">
        <f>+IF(BDAlquilerDepartamentos[[#This Row],[Ciudad]]="Lima",BDAlquilerDepartamentos[[#This Row],[Prec. Soles]]*0.1,BDAlquilerDepartamentos[[#This Row],[Prec. Soles]]*0.05)</f>
        <v>230</v>
      </c>
      <c r="I274" s="4">
        <v>2</v>
      </c>
      <c r="J274" s="4">
        <v>1</v>
      </c>
      <c r="K274" s="4" t="s">
        <v>3095</v>
      </c>
      <c r="L274" s="4" t="s">
        <v>3095</v>
      </c>
      <c r="M274" s="4">
        <v>65</v>
      </c>
      <c r="N274" s="4">
        <v>2013</v>
      </c>
      <c r="O274" s="4" t="str">
        <f>+IF(BDAlquilerDepartamentos[[#This Row],[Prec. Soles]]&gt;2500,"Caro","Economico")</f>
        <v>Economico</v>
      </c>
      <c r="P274" s="4" t="str">
        <f>+IF(AND(BDAlquilerDepartamentos[[#This Row],[N° de Dorm.]]&gt; 3,BDAlquilerDepartamentos[[#This Row],[Prec. Soles]]&lt;= 2500),"Buena Oferta", "Precio Estadar")</f>
        <v>Precio Estadar</v>
      </c>
      <c r="Q274" t="s">
        <v>1101</v>
      </c>
      <c r="R274" t="s">
        <v>1102</v>
      </c>
      <c r="S274" s="11">
        <v>44999</v>
      </c>
      <c r="T274" t="s">
        <v>2831</v>
      </c>
      <c r="U274" t="s">
        <v>1522</v>
      </c>
    </row>
    <row r="275" spans="2:21" x14ac:dyDescent="0.3">
      <c r="B275" t="s">
        <v>3116</v>
      </c>
      <c r="C275" t="s">
        <v>2436</v>
      </c>
      <c r="D275" t="s">
        <v>2689</v>
      </c>
      <c r="E275" t="s">
        <v>2689</v>
      </c>
      <c r="F275" t="s">
        <v>2689</v>
      </c>
      <c r="G275" s="8">
        <v>3700</v>
      </c>
      <c r="H275" s="8">
        <f>+IF(BDAlquilerDepartamentos[[#This Row],[Ciudad]]="Lima",BDAlquilerDepartamentos[[#This Row],[Prec. Soles]]*0.1,BDAlquilerDepartamentos[[#This Row],[Prec. Soles]]*0.05)</f>
        <v>185</v>
      </c>
      <c r="I275" s="4">
        <v>1</v>
      </c>
      <c r="J275" s="4">
        <v>1</v>
      </c>
      <c r="K275" s="4" t="s">
        <v>3095</v>
      </c>
      <c r="L275" s="4" t="s">
        <v>3095</v>
      </c>
      <c r="M275" s="4">
        <v>62</v>
      </c>
      <c r="N275" s="4">
        <v>2005</v>
      </c>
      <c r="O275" s="4" t="str">
        <f>+IF(BDAlquilerDepartamentos[[#This Row],[Prec. Soles]]&gt;2500,"Caro","Economico")</f>
        <v>Caro</v>
      </c>
      <c r="P275" s="4" t="str">
        <f>+IF(AND(BDAlquilerDepartamentos[[#This Row],[N° de Dorm.]]&gt; 3,BDAlquilerDepartamentos[[#This Row],[Prec. Soles]]&lt;= 2500),"Buena Oferta", "Precio Estadar")</f>
        <v>Precio Estadar</v>
      </c>
      <c r="Q275" t="s">
        <v>1101</v>
      </c>
      <c r="R275" t="s">
        <v>1102</v>
      </c>
      <c r="S275" s="11">
        <v>45180</v>
      </c>
      <c r="T275" t="s">
        <v>2927</v>
      </c>
      <c r="U275" t="s">
        <v>1523</v>
      </c>
    </row>
    <row r="276" spans="2:21" x14ac:dyDescent="0.3">
      <c r="B276" t="s">
        <v>1150</v>
      </c>
      <c r="C276" t="s">
        <v>2445</v>
      </c>
      <c r="D276" t="s">
        <v>2436</v>
      </c>
      <c r="E276" t="s">
        <v>2580</v>
      </c>
      <c r="F276" t="s">
        <v>2580</v>
      </c>
      <c r="G276" s="8">
        <v>2220</v>
      </c>
      <c r="H276" s="8">
        <f>+IF(BDAlquilerDepartamentos[[#This Row],[Ciudad]]="Lima",BDAlquilerDepartamentos[[#This Row],[Prec. Soles]]*0.1,BDAlquilerDepartamentos[[#This Row],[Prec. Soles]]*0.05)</f>
        <v>222</v>
      </c>
      <c r="I276" s="4">
        <v>1</v>
      </c>
      <c r="J276" s="4">
        <v>1</v>
      </c>
      <c r="K276" s="4" t="s">
        <v>3095</v>
      </c>
      <c r="L276" s="4" t="s">
        <v>3096</v>
      </c>
      <c r="M276" s="4">
        <v>72</v>
      </c>
      <c r="N276" s="4">
        <v>2015</v>
      </c>
      <c r="O276" s="4" t="str">
        <f>+IF(BDAlquilerDepartamentos[[#This Row],[Prec. Soles]]&gt;2500,"Caro","Economico")</f>
        <v>Economico</v>
      </c>
      <c r="P276" s="4" t="str">
        <f>+IF(AND(BDAlquilerDepartamentos[[#This Row],[N° de Dorm.]]&gt; 3,BDAlquilerDepartamentos[[#This Row],[Prec. Soles]]&lt;= 2500),"Buena Oferta", "Precio Estadar")</f>
        <v>Precio Estadar</v>
      </c>
      <c r="Q276" t="s">
        <v>1101</v>
      </c>
      <c r="R276" t="s">
        <v>1102</v>
      </c>
      <c r="S276" s="11">
        <v>45461</v>
      </c>
      <c r="T276" t="s">
        <v>2928</v>
      </c>
      <c r="U276" t="s">
        <v>1524</v>
      </c>
    </row>
    <row r="277" spans="2:21" x14ac:dyDescent="0.3">
      <c r="B277" t="s">
        <v>1100</v>
      </c>
      <c r="C277" t="s">
        <v>2415</v>
      </c>
      <c r="D277" t="s">
        <v>2436</v>
      </c>
      <c r="E277" t="s">
        <v>2580</v>
      </c>
      <c r="F277" t="s">
        <v>2580</v>
      </c>
      <c r="G277" s="8">
        <v>3330</v>
      </c>
      <c r="H277" s="8">
        <f>+IF(BDAlquilerDepartamentos[[#This Row],[Ciudad]]="Lima",BDAlquilerDepartamentos[[#This Row],[Prec. Soles]]*0.1,BDAlquilerDepartamentos[[#This Row],[Prec. Soles]]*0.05)</f>
        <v>333</v>
      </c>
      <c r="I277" s="4">
        <v>1</v>
      </c>
      <c r="J277" s="4">
        <v>1</v>
      </c>
      <c r="K277" s="4" t="s">
        <v>3095</v>
      </c>
      <c r="L277" s="4" t="s">
        <v>3096</v>
      </c>
      <c r="M277" s="4">
        <v>90</v>
      </c>
      <c r="N277" s="4">
        <v>2009</v>
      </c>
      <c r="O277" s="4" t="str">
        <f>+IF(BDAlquilerDepartamentos[[#This Row],[Prec. Soles]]&gt;2500,"Caro","Economico")</f>
        <v>Caro</v>
      </c>
      <c r="P277" s="4" t="str">
        <f>+IF(AND(BDAlquilerDepartamentos[[#This Row],[N° de Dorm.]]&gt; 3,BDAlquilerDepartamentos[[#This Row],[Prec. Soles]]&lt;= 2500),"Buena Oferta", "Precio Estadar")</f>
        <v>Precio Estadar</v>
      </c>
      <c r="Q277" t="s">
        <v>1101</v>
      </c>
      <c r="R277" t="s">
        <v>1102</v>
      </c>
      <c r="S277" s="11">
        <v>45650</v>
      </c>
      <c r="T277" t="s">
        <v>2846</v>
      </c>
      <c r="U277" t="s">
        <v>1525</v>
      </c>
    </row>
    <row r="278" spans="2:21" x14ac:dyDescent="0.3">
      <c r="B278" t="s">
        <v>1381</v>
      </c>
      <c r="C278" t="s">
        <v>2537</v>
      </c>
      <c r="D278" t="s">
        <v>2428</v>
      </c>
      <c r="E278" t="s">
        <v>2580</v>
      </c>
      <c r="F278" t="s">
        <v>2580</v>
      </c>
      <c r="G278" s="8">
        <v>2700</v>
      </c>
      <c r="H278" s="8">
        <f>+IF(BDAlquilerDepartamentos[[#This Row],[Ciudad]]="Lima",BDAlquilerDepartamentos[[#This Row],[Prec. Soles]]*0.1,BDAlquilerDepartamentos[[#This Row],[Prec. Soles]]*0.05)</f>
        <v>270</v>
      </c>
      <c r="I278" s="4">
        <v>2</v>
      </c>
      <c r="J278" s="4">
        <v>2</v>
      </c>
      <c r="K278" s="4" t="s">
        <v>3095</v>
      </c>
      <c r="L278" s="4" t="s">
        <v>3095</v>
      </c>
      <c r="M278" s="4">
        <v>62</v>
      </c>
      <c r="N278" s="4">
        <v>2003</v>
      </c>
      <c r="O278" s="4" t="str">
        <f>+IF(BDAlquilerDepartamentos[[#This Row],[Prec. Soles]]&gt;2500,"Caro","Economico")</f>
        <v>Caro</v>
      </c>
      <c r="P278" s="4" t="str">
        <f>+IF(AND(BDAlquilerDepartamentos[[#This Row],[N° de Dorm.]]&gt; 3,BDAlquilerDepartamentos[[#This Row],[Prec. Soles]]&lt;= 2500),"Buena Oferta", "Precio Estadar")</f>
        <v>Precio Estadar</v>
      </c>
      <c r="Q278" t="s">
        <v>1101</v>
      </c>
      <c r="R278" t="s">
        <v>1102</v>
      </c>
      <c r="S278" s="11">
        <v>45116</v>
      </c>
      <c r="T278" t="s">
        <v>2893</v>
      </c>
      <c r="U278" t="s">
        <v>1526</v>
      </c>
    </row>
    <row r="279" spans="2:21" x14ac:dyDescent="0.3">
      <c r="B279" t="s">
        <v>1381</v>
      </c>
      <c r="C279" t="s">
        <v>2537</v>
      </c>
      <c r="D279" t="s">
        <v>2428</v>
      </c>
      <c r="E279" t="s">
        <v>2580</v>
      </c>
      <c r="F279" t="s">
        <v>2580</v>
      </c>
      <c r="G279" s="8">
        <v>2220</v>
      </c>
      <c r="H279" s="8">
        <f>+IF(BDAlquilerDepartamentos[[#This Row],[Ciudad]]="Lima",BDAlquilerDepartamentos[[#This Row],[Prec. Soles]]*0.1,BDAlquilerDepartamentos[[#This Row],[Prec. Soles]]*0.05)</f>
        <v>222</v>
      </c>
      <c r="I279" s="4">
        <v>1</v>
      </c>
      <c r="J279" s="4">
        <v>1</v>
      </c>
      <c r="K279" s="4" t="s">
        <v>3095</v>
      </c>
      <c r="L279" s="4" t="s">
        <v>3096</v>
      </c>
      <c r="M279" s="4">
        <v>50</v>
      </c>
      <c r="N279" s="4">
        <v>2014</v>
      </c>
      <c r="O279" s="4" t="str">
        <f>+IF(BDAlquilerDepartamentos[[#This Row],[Prec. Soles]]&gt;2500,"Caro","Economico")</f>
        <v>Economico</v>
      </c>
      <c r="P279" s="4" t="str">
        <f>+IF(AND(BDAlquilerDepartamentos[[#This Row],[N° de Dorm.]]&gt; 3,BDAlquilerDepartamentos[[#This Row],[Prec. Soles]]&lt;= 2500),"Buena Oferta", "Precio Estadar")</f>
        <v>Precio Estadar</v>
      </c>
      <c r="Q279" t="s">
        <v>1101</v>
      </c>
      <c r="R279" t="s">
        <v>1102</v>
      </c>
      <c r="S279" s="11">
        <v>45521</v>
      </c>
      <c r="T279" t="s">
        <v>2920</v>
      </c>
      <c r="U279" t="s">
        <v>1527</v>
      </c>
    </row>
    <row r="280" spans="2:21" x14ac:dyDescent="0.3">
      <c r="B280" t="s">
        <v>1528</v>
      </c>
      <c r="C280" t="s">
        <v>2586</v>
      </c>
      <c r="D280" t="s">
        <v>2485</v>
      </c>
      <c r="E280" t="s">
        <v>2580</v>
      </c>
      <c r="F280" t="s">
        <v>2580</v>
      </c>
      <c r="G280" s="8">
        <v>2000</v>
      </c>
      <c r="H280" s="8">
        <f>+IF(BDAlquilerDepartamentos[[#This Row],[Ciudad]]="Lima",BDAlquilerDepartamentos[[#This Row],[Prec. Soles]]*0.1,BDAlquilerDepartamentos[[#This Row],[Prec. Soles]]*0.05)</f>
        <v>200</v>
      </c>
      <c r="I280" s="4">
        <v>3</v>
      </c>
      <c r="J280" s="4">
        <v>1</v>
      </c>
      <c r="K280" s="4" t="s">
        <v>3095</v>
      </c>
      <c r="L280" s="4" t="s">
        <v>3096</v>
      </c>
      <c r="M280" s="4">
        <v>78</v>
      </c>
      <c r="N280" s="4">
        <v>2018</v>
      </c>
      <c r="O280" s="4" t="str">
        <f>+IF(BDAlquilerDepartamentos[[#This Row],[Prec. Soles]]&gt;2500,"Caro","Economico")</f>
        <v>Economico</v>
      </c>
      <c r="P280" s="4" t="str">
        <f>+IF(AND(BDAlquilerDepartamentos[[#This Row],[N° de Dorm.]]&gt; 3,BDAlquilerDepartamentos[[#This Row],[Prec. Soles]]&lt;= 2500),"Buena Oferta", "Precio Estadar")</f>
        <v>Precio Estadar</v>
      </c>
      <c r="Q280" t="s">
        <v>1101</v>
      </c>
      <c r="R280" t="s">
        <v>1102</v>
      </c>
      <c r="S280" s="11">
        <v>45267</v>
      </c>
      <c r="T280" t="s">
        <v>2929</v>
      </c>
      <c r="U280" t="s">
        <v>1529</v>
      </c>
    </row>
    <row r="281" spans="2:21" x14ac:dyDescent="0.3">
      <c r="B281" t="s">
        <v>1255</v>
      </c>
      <c r="C281" t="s">
        <v>2492</v>
      </c>
      <c r="D281" t="s">
        <v>2422</v>
      </c>
      <c r="E281" t="s">
        <v>2580</v>
      </c>
      <c r="F281" t="s">
        <v>2580</v>
      </c>
      <c r="G281" s="8">
        <v>1650</v>
      </c>
      <c r="H281" s="8">
        <f>+IF(BDAlquilerDepartamentos[[#This Row],[Ciudad]]="Lima",BDAlquilerDepartamentos[[#This Row],[Prec. Soles]]*0.1,BDAlquilerDepartamentos[[#This Row],[Prec. Soles]]*0.05)</f>
        <v>165</v>
      </c>
      <c r="I281" s="4">
        <v>1</v>
      </c>
      <c r="J281" s="4">
        <v>1</v>
      </c>
      <c r="K281" s="4" t="s">
        <v>3096</v>
      </c>
      <c r="L281" s="4" t="s">
        <v>3095</v>
      </c>
      <c r="M281" s="4">
        <v>40</v>
      </c>
      <c r="N281" s="4">
        <v>2004</v>
      </c>
      <c r="O281" s="4" t="str">
        <f>+IF(BDAlquilerDepartamentos[[#This Row],[Prec. Soles]]&gt;2500,"Caro","Economico")</f>
        <v>Economico</v>
      </c>
      <c r="P281" s="4" t="str">
        <f>+IF(AND(BDAlquilerDepartamentos[[#This Row],[N° de Dorm.]]&gt; 3,BDAlquilerDepartamentos[[#This Row],[Prec. Soles]]&lt;= 2500),"Buena Oferta", "Precio Estadar")</f>
        <v>Precio Estadar</v>
      </c>
      <c r="Q281" t="s">
        <v>1101</v>
      </c>
      <c r="R281" t="s">
        <v>1102</v>
      </c>
      <c r="S281" s="11">
        <v>45478</v>
      </c>
      <c r="T281" t="s">
        <v>2841</v>
      </c>
      <c r="U281" t="s">
        <v>1530</v>
      </c>
    </row>
    <row r="282" spans="2:21" x14ac:dyDescent="0.3">
      <c r="B282" t="s">
        <v>1191</v>
      </c>
      <c r="C282" t="s">
        <v>2466</v>
      </c>
      <c r="D282" t="s">
        <v>2436</v>
      </c>
      <c r="E282" t="s">
        <v>2580</v>
      </c>
      <c r="F282" t="s">
        <v>2580</v>
      </c>
      <c r="G282" s="8">
        <v>2900</v>
      </c>
      <c r="H282" s="8">
        <f>+IF(BDAlquilerDepartamentos[[#This Row],[Ciudad]]="Lima",BDAlquilerDepartamentos[[#This Row],[Prec. Soles]]*0.1,BDAlquilerDepartamentos[[#This Row],[Prec. Soles]]*0.05)</f>
        <v>290</v>
      </c>
      <c r="I282" s="4">
        <v>2</v>
      </c>
      <c r="J282" s="4">
        <v>3</v>
      </c>
      <c r="K282" s="4" t="s">
        <v>3095</v>
      </c>
      <c r="L282" s="4" t="s">
        <v>3095</v>
      </c>
      <c r="M282" s="4">
        <v>93</v>
      </c>
      <c r="N282" s="4">
        <v>2018</v>
      </c>
      <c r="O282" s="4" t="str">
        <f>+IF(BDAlquilerDepartamentos[[#This Row],[Prec. Soles]]&gt;2500,"Caro","Economico")</f>
        <v>Caro</v>
      </c>
      <c r="P282" s="4" t="str">
        <f>+IF(AND(BDAlquilerDepartamentos[[#This Row],[N° de Dorm.]]&gt; 3,BDAlquilerDepartamentos[[#This Row],[Prec. Soles]]&lt;= 2500),"Buena Oferta", "Precio Estadar")</f>
        <v>Precio Estadar</v>
      </c>
      <c r="Q282" t="s">
        <v>1101</v>
      </c>
      <c r="R282" t="s">
        <v>1102</v>
      </c>
      <c r="S282" s="11">
        <v>45196</v>
      </c>
      <c r="T282" t="s">
        <v>2930</v>
      </c>
      <c r="U282" t="s">
        <v>1531</v>
      </c>
    </row>
    <row r="283" spans="2:21" x14ac:dyDescent="0.3">
      <c r="B283" t="s">
        <v>1191</v>
      </c>
      <c r="C283" t="s">
        <v>2466</v>
      </c>
      <c r="D283" t="s">
        <v>2436</v>
      </c>
      <c r="E283" t="s">
        <v>2580</v>
      </c>
      <c r="F283" t="s">
        <v>2580</v>
      </c>
      <c r="G283" s="8">
        <v>2590</v>
      </c>
      <c r="H283" s="8">
        <f>+IF(BDAlquilerDepartamentos[[#This Row],[Ciudad]]="Lima",BDAlquilerDepartamentos[[#This Row],[Prec. Soles]]*0.1,BDAlquilerDepartamentos[[#This Row],[Prec. Soles]]*0.05)</f>
        <v>259</v>
      </c>
      <c r="I283" s="4">
        <v>2</v>
      </c>
      <c r="J283" s="4">
        <v>2</v>
      </c>
      <c r="K283" s="4" t="s">
        <v>3095</v>
      </c>
      <c r="L283" s="4" t="s">
        <v>3096</v>
      </c>
      <c r="M283" s="4">
        <v>82</v>
      </c>
      <c r="N283" s="4">
        <v>2007</v>
      </c>
      <c r="O283" s="4" t="str">
        <f>+IF(BDAlquilerDepartamentos[[#This Row],[Prec. Soles]]&gt;2500,"Caro","Economico")</f>
        <v>Caro</v>
      </c>
      <c r="P283" s="4" t="str">
        <f>+IF(AND(BDAlquilerDepartamentos[[#This Row],[N° de Dorm.]]&gt; 3,BDAlquilerDepartamentos[[#This Row],[Prec. Soles]]&lt;= 2500),"Buena Oferta", "Precio Estadar")</f>
        <v>Precio Estadar</v>
      </c>
      <c r="Q283" t="s">
        <v>1101</v>
      </c>
      <c r="R283" t="s">
        <v>1102</v>
      </c>
      <c r="S283" s="11">
        <v>45317</v>
      </c>
      <c r="T283" t="s">
        <v>3086</v>
      </c>
      <c r="U283" t="s">
        <v>1532</v>
      </c>
    </row>
    <row r="284" spans="2:21" x14ac:dyDescent="0.3">
      <c r="B284" t="s">
        <v>1533</v>
      </c>
      <c r="C284" t="s">
        <v>2587</v>
      </c>
      <c r="D284" t="s">
        <v>2463</v>
      </c>
      <c r="E284" t="s">
        <v>2580</v>
      </c>
      <c r="F284" t="s">
        <v>2580</v>
      </c>
      <c r="G284" s="8">
        <v>2500</v>
      </c>
      <c r="H284" s="8">
        <f>+IF(BDAlquilerDepartamentos[[#This Row],[Ciudad]]="Lima",BDAlquilerDepartamentos[[#This Row],[Prec. Soles]]*0.1,BDAlquilerDepartamentos[[#This Row],[Prec. Soles]]*0.05)</f>
        <v>250</v>
      </c>
      <c r="I284" s="4">
        <v>3</v>
      </c>
      <c r="J284" s="4">
        <v>2</v>
      </c>
      <c r="K284" s="4" t="s">
        <v>3096</v>
      </c>
      <c r="L284" s="4" t="s">
        <v>3096</v>
      </c>
      <c r="M284" s="4">
        <v>76</v>
      </c>
      <c r="N284" s="4">
        <v>2009</v>
      </c>
      <c r="O284" s="4" t="str">
        <f>+IF(BDAlquilerDepartamentos[[#This Row],[Prec. Soles]]&gt;2500,"Caro","Economico")</f>
        <v>Economico</v>
      </c>
      <c r="P284" s="4" t="str">
        <f>+IF(AND(BDAlquilerDepartamentos[[#This Row],[N° de Dorm.]]&gt; 3,BDAlquilerDepartamentos[[#This Row],[Prec. Soles]]&lt;= 2500),"Buena Oferta", "Precio Estadar")</f>
        <v>Precio Estadar</v>
      </c>
      <c r="Q284" t="s">
        <v>1101</v>
      </c>
      <c r="R284" t="s">
        <v>1102</v>
      </c>
      <c r="S284" s="11">
        <v>45519</v>
      </c>
      <c r="T284" t="s">
        <v>2931</v>
      </c>
      <c r="U284" t="s">
        <v>1534</v>
      </c>
    </row>
    <row r="285" spans="2:21" x14ac:dyDescent="0.3">
      <c r="B285" t="s">
        <v>1393</v>
      </c>
      <c r="C285" t="s">
        <v>2540</v>
      </c>
      <c r="D285" t="s">
        <v>2428</v>
      </c>
      <c r="E285" t="s">
        <v>2580</v>
      </c>
      <c r="F285" t="s">
        <v>2580</v>
      </c>
      <c r="G285" s="8">
        <v>11100</v>
      </c>
      <c r="H285" s="8">
        <f>+IF(BDAlquilerDepartamentos[[#This Row],[Ciudad]]="Lima",BDAlquilerDepartamentos[[#This Row],[Prec. Soles]]*0.1,BDAlquilerDepartamentos[[#This Row],[Prec. Soles]]*0.05)</f>
        <v>1110</v>
      </c>
      <c r="I285" s="4">
        <v>3</v>
      </c>
      <c r="J285" s="4">
        <v>3</v>
      </c>
      <c r="K285" s="4" t="s">
        <v>3095</v>
      </c>
      <c r="L285" s="4" t="s">
        <v>3095</v>
      </c>
      <c r="M285" s="4">
        <v>330</v>
      </c>
      <c r="N285" s="4">
        <v>2012</v>
      </c>
      <c r="O285" s="4" t="str">
        <f>+IF(BDAlquilerDepartamentos[[#This Row],[Prec. Soles]]&gt;2500,"Caro","Economico")</f>
        <v>Caro</v>
      </c>
      <c r="P285" s="4" t="str">
        <f>+IF(AND(BDAlquilerDepartamentos[[#This Row],[N° de Dorm.]]&gt; 3,BDAlquilerDepartamentos[[#This Row],[Prec. Soles]]&lt;= 2500),"Buena Oferta", "Precio Estadar")</f>
        <v>Precio Estadar</v>
      </c>
      <c r="Q285" t="s">
        <v>1101</v>
      </c>
      <c r="R285" t="s">
        <v>1102</v>
      </c>
      <c r="S285" s="11">
        <v>45394</v>
      </c>
      <c r="T285" t="s">
        <v>2863</v>
      </c>
      <c r="U285" t="s">
        <v>1535</v>
      </c>
    </row>
    <row r="286" spans="2:21" x14ac:dyDescent="0.3">
      <c r="B286" t="s">
        <v>3118</v>
      </c>
      <c r="C286" t="s">
        <v>3119</v>
      </c>
      <c r="D286" t="s">
        <v>2580</v>
      </c>
      <c r="E286" t="s">
        <v>2580</v>
      </c>
      <c r="F286" t="s">
        <v>2580</v>
      </c>
      <c r="G286" s="8">
        <v>4440</v>
      </c>
      <c r="H286" s="8">
        <f>+IF(BDAlquilerDepartamentos[[#This Row],[Ciudad]]="Lima",BDAlquilerDepartamentos[[#This Row],[Prec. Soles]]*0.1,BDAlquilerDepartamentos[[#This Row],[Prec. Soles]]*0.05)</f>
        <v>444</v>
      </c>
      <c r="I286" s="4">
        <v>4</v>
      </c>
      <c r="J286" s="4">
        <v>3</v>
      </c>
      <c r="K286" s="4" t="s">
        <v>3095</v>
      </c>
      <c r="L286" s="4" t="s">
        <v>3096</v>
      </c>
      <c r="M286" s="4">
        <v>200</v>
      </c>
      <c r="N286" s="4">
        <v>2005</v>
      </c>
      <c r="O286" s="4" t="str">
        <f>+IF(BDAlquilerDepartamentos[[#This Row],[Prec. Soles]]&gt;2500,"Caro","Economico")</f>
        <v>Caro</v>
      </c>
      <c r="P286" s="4" t="str">
        <f>+IF(AND(BDAlquilerDepartamentos[[#This Row],[N° de Dorm.]]&gt; 3,BDAlquilerDepartamentos[[#This Row],[Prec. Soles]]&lt;= 2500),"Buena Oferta", "Precio Estadar")</f>
        <v>Precio Estadar</v>
      </c>
      <c r="Q286" t="s">
        <v>1101</v>
      </c>
      <c r="R286" t="s">
        <v>1102</v>
      </c>
      <c r="S286" s="11">
        <v>45599</v>
      </c>
      <c r="T286" t="s">
        <v>2862</v>
      </c>
      <c r="U286" t="s">
        <v>1536</v>
      </c>
    </row>
    <row r="287" spans="2:21" x14ac:dyDescent="0.3">
      <c r="B287" t="s">
        <v>1298</v>
      </c>
      <c r="C287" t="s">
        <v>2511</v>
      </c>
      <c r="D287" t="s">
        <v>2444</v>
      </c>
      <c r="E287" t="s">
        <v>2580</v>
      </c>
      <c r="F287" t="s">
        <v>2580</v>
      </c>
      <c r="G287" s="8">
        <v>9250</v>
      </c>
      <c r="H287" s="8">
        <f>+IF(BDAlquilerDepartamentos[[#This Row],[Ciudad]]="Lima",BDAlquilerDepartamentos[[#This Row],[Prec. Soles]]*0.1,BDAlquilerDepartamentos[[#This Row],[Prec. Soles]]*0.05)</f>
        <v>925</v>
      </c>
      <c r="I287" s="4">
        <v>4</v>
      </c>
      <c r="J287" s="4">
        <v>4</v>
      </c>
      <c r="K287" s="4" t="s">
        <v>3096</v>
      </c>
      <c r="L287" s="4" t="s">
        <v>3095</v>
      </c>
      <c r="M287" s="4">
        <v>260</v>
      </c>
      <c r="N287" s="4">
        <v>2004</v>
      </c>
      <c r="O287" s="4" t="str">
        <f>+IF(BDAlquilerDepartamentos[[#This Row],[Prec. Soles]]&gt;2500,"Caro","Economico")</f>
        <v>Caro</v>
      </c>
      <c r="P287" s="4" t="str">
        <f>+IF(AND(BDAlquilerDepartamentos[[#This Row],[N° de Dorm.]]&gt; 3,BDAlquilerDepartamentos[[#This Row],[Prec. Soles]]&lt;= 2500),"Buena Oferta", "Precio Estadar")</f>
        <v>Precio Estadar</v>
      </c>
      <c r="Q287" t="s">
        <v>1101</v>
      </c>
      <c r="R287" t="s">
        <v>1102</v>
      </c>
      <c r="S287" s="11">
        <v>44984</v>
      </c>
      <c r="T287" t="s">
        <v>2863</v>
      </c>
      <c r="U287" t="s">
        <v>1537</v>
      </c>
    </row>
    <row r="288" spans="2:21" x14ac:dyDescent="0.3">
      <c r="B288" t="s">
        <v>1447</v>
      </c>
      <c r="C288" t="s">
        <v>2561</v>
      </c>
      <c r="D288" t="s">
        <v>2428</v>
      </c>
      <c r="E288" t="s">
        <v>2580</v>
      </c>
      <c r="F288" t="s">
        <v>2580</v>
      </c>
      <c r="G288" s="8">
        <v>9620</v>
      </c>
      <c r="H288" s="8">
        <f>+IF(BDAlquilerDepartamentos[[#This Row],[Ciudad]]="Lima",BDAlquilerDepartamentos[[#This Row],[Prec. Soles]]*0.1,BDAlquilerDepartamentos[[#This Row],[Prec. Soles]]*0.05)</f>
        <v>962</v>
      </c>
      <c r="I288" s="4">
        <v>3</v>
      </c>
      <c r="J288" s="4">
        <v>3</v>
      </c>
      <c r="K288" s="4" t="s">
        <v>3096</v>
      </c>
      <c r="L288" s="4" t="s">
        <v>3096</v>
      </c>
      <c r="M288" s="4">
        <v>202</v>
      </c>
      <c r="N288" s="4">
        <v>2012</v>
      </c>
      <c r="O288" s="4" t="str">
        <f>+IF(BDAlquilerDepartamentos[[#This Row],[Prec. Soles]]&gt;2500,"Caro","Economico")</f>
        <v>Caro</v>
      </c>
      <c r="P288" s="4" t="str">
        <f>+IF(AND(BDAlquilerDepartamentos[[#This Row],[N° de Dorm.]]&gt; 3,BDAlquilerDepartamentos[[#This Row],[Prec. Soles]]&lt;= 2500),"Buena Oferta", "Precio Estadar")</f>
        <v>Precio Estadar</v>
      </c>
      <c r="Q288" t="s">
        <v>1101</v>
      </c>
      <c r="R288" t="s">
        <v>1102</v>
      </c>
      <c r="S288" s="11">
        <v>45294</v>
      </c>
      <c r="T288" t="s">
        <v>2863</v>
      </c>
      <c r="U288" t="s">
        <v>1538</v>
      </c>
    </row>
    <row r="289" spans="2:21" x14ac:dyDescent="0.3">
      <c r="B289" t="s">
        <v>1539</v>
      </c>
      <c r="C289" t="s">
        <v>2483</v>
      </c>
      <c r="D289" t="s">
        <v>2444</v>
      </c>
      <c r="E289" t="s">
        <v>2580</v>
      </c>
      <c r="F289" t="s">
        <v>2580</v>
      </c>
      <c r="G289" s="8">
        <v>2700</v>
      </c>
      <c r="H289" s="8">
        <f>+IF(BDAlquilerDepartamentos[[#This Row],[Ciudad]]="Lima",BDAlquilerDepartamentos[[#This Row],[Prec. Soles]]*0.1,BDAlquilerDepartamentos[[#This Row],[Prec. Soles]]*0.05)</f>
        <v>270</v>
      </c>
      <c r="I289" s="4">
        <v>2</v>
      </c>
      <c r="J289" s="4">
        <v>2</v>
      </c>
      <c r="K289" s="4" t="s">
        <v>3096</v>
      </c>
      <c r="L289" s="4" t="s">
        <v>3096</v>
      </c>
      <c r="M289" s="4">
        <v>170</v>
      </c>
      <c r="N289" s="4">
        <v>2003</v>
      </c>
      <c r="O289" s="4" t="str">
        <f>+IF(BDAlquilerDepartamentos[[#This Row],[Prec. Soles]]&gt;2500,"Caro","Economico")</f>
        <v>Caro</v>
      </c>
      <c r="P289" s="4" t="str">
        <f>+IF(AND(BDAlquilerDepartamentos[[#This Row],[N° de Dorm.]]&gt; 3,BDAlquilerDepartamentos[[#This Row],[Prec. Soles]]&lt;= 2500),"Buena Oferta", "Precio Estadar")</f>
        <v>Precio Estadar</v>
      </c>
      <c r="Q289" t="s">
        <v>1101</v>
      </c>
      <c r="R289" t="s">
        <v>1102</v>
      </c>
      <c r="S289" s="11">
        <v>45023</v>
      </c>
      <c r="T289" t="s">
        <v>2932</v>
      </c>
      <c r="U289" t="s">
        <v>1540</v>
      </c>
    </row>
    <row r="290" spans="2:21" x14ac:dyDescent="0.3">
      <c r="B290" t="s">
        <v>1248</v>
      </c>
      <c r="C290" t="s">
        <v>2490</v>
      </c>
      <c r="D290" t="s">
        <v>2435</v>
      </c>
      <c r="E290" t="s">
        <v>2580</v>
      </c>
      <c r="F290" t="s">
        <v>2580</v>
      </c>
      <c r="G290" s="8">
        <v>2600</v>
      </c>
      <c r="H290" s="8">
        <f>+IF(BDAlquilerDepartamentos[[#This Row],[Ciudad]]="Lima",BDAlquilerDepartamentos[[#This Row],[Prec. Soles]]*0.1,BDAlquilerDepartamentos[[#This Row],[Prec. Soles]]*0.05)</f>
        <v>260</v>
      </c>
      <c r="I290" s="4">
        <v>2</v>
      </c>
      <c r="J290" s="4">
        <v>2</v>
      </c>
      <c r="K290" s="4" t="s">
        <v>3096</v>
      </c>
      <c r="L290" s="4" t="s">
        <v>3095</v>
      </c>
      <c r="M290" s="4">
        <v>72</v>
      </c>
      <c r="N290" s="4">
        <v>2007</v>
      </c>
      <c r="O290" s="4" t="str">
        <f>+IF(BDAlquilerDepartamentos[[#This Row],[Prec. Soles]]&gt;2500,"Caro","Economico")</f>
        <v>Caro</v>
      </c>
      <c r="P290" s="4" t="str">
        <f>+IF(AND(BDAlquilerDepartamentos[[#This Row],[N° de Dorm.]]&gt; 3,BDAlquilerDepartamentos[[#This Row],[Prec. Soles]]&lt;= 2500),"Buena Oferta", "Precio Estadar")</f>
        <v>Precio Estadar</v>
      </c>
      <c r="Q290" t="s">
        <v>1101</v>
      </c>
      <c r="R290" t="s">
        <v>1102</v>
      </c>
      <c r="S290" s="11">
        <v>44969</v>
      </c>
      <c r="T290" t="s">
        <v>2863</v>
      </c>
      <c r="U290" t="s">
        <v>1541</v>
      </c>
    </row>
    <row r="291" spans="2:21" x14ac:dyDescent="0.3">
      <c r="B291" t="s">
        <v>1542</v>
      </c>
      <c r="C291" t="s">
        <v>2588</v>
      </c>
      <c r="D291" t="s">
        <v>2580</v>
      </c>
      <c r="E291" t="s">
        <v>2580</v>
      </c>
      <c r="F291" t="s">
        <v>2580</v>
      </c>
      <c r="G291" s="8">
        <v>2000</v>
      </c>
      <c r="H291" s="8">
        <f>+IF(BDAlquilerDepartamentos[[#This Row],[Ciudad]]="Lima",BDAlquilerDepartamentos[[#This Row],[Prec. Soles]]*0.1,BDAlquilerDepartamentos[[#This Row],[Prec. Soles]]*0.05)</f>
        <v>200</v>
      </c>
      <c r="I291" s="4">
        <v>3</v>
      </c>
      <c r="J291" s="4">
        <v>3</v>
      </c>
      <c r="K291" s="4" t="s">
        <v>3095</v>
      </c>
      <c r="L291" s="4" t="s">
        <v>3095</v>
      </c>
      <c r="M291" s="4">
        <v>512</v>
      </c>
      <c r="N291" s="4">
        <v>2004</v>
      </c>
      <c r="O291" s="4" t="str">
        <f>+IF(BDAlquilerDepartamentos[[#This Row],[Prec. Soles]]&gt;2500,"Caro","Economico")</f>
        <v>Economico</v>
      </c>
      <c r="P291" s="4" t="str">
        <f>+IF(AND(BDAlquilerDepartamentos[[#This Row],[N° de Dorm.]]&gt; 3,BDAlquilerDepartamentos[[#This Row],[Prec. Soles]]&lt;= 2500),"Buena Oferta", "Precio Estadar")</f>
        <v>Precio Estadar</v>
      </c>
      <c r="Q291" t="s">
        <v>1113</v>
      </c>
      <c r="R291" t="s">
        <v>1102</v>
      </c>
      <c r="S291" s="11">
        <v>45070</v>
      </c>
      <c r="T291" t="s">
        <v>2933</v>
      </c>
      <c r="U291" t="s">
        <v>1543</v>
      </c>
    </row>
    <row r="292" spans="2:21" x14ac:dyDescent="0.3">
      <c r="B292" t="s">
        <v>1447</v>
      </c>
      <c r="C292" t="s">
        <v>2561</v>
      </c>
      <c r="D292" t="s">
        <v>2428</v>
      </c>
      <c r="E292" t="s">
        <v>2580</v>
      </c>
      <c r="F292" t="s">
        <v>2580</v>
      </c>
      <c r="G292" s="8">
        <v>4810</v>
      </c>
      <c r="H292" s="8">
        <f>+IF(BDAlquilerDepartamentos[[#This Row],[Ciudad]]="Lima",BDAlquilerDepartamentos[[#This Row],[Prec. Soles]]*0.1,BDAlquilerDepartamentos[[#This Row],[Prec. Soles]]*0.05)</f>
        <v>481</v>
      </c>
      <c r="I292" s="4">
        <v>1</v>
      </c>
      <c r="J292" s="4">
        <v>2</v>
      </c>
      <c r="K292" s="4" t="s">
        <v>3096</v>
      </c>
      <c r="L292" s="4" t="s">
        <v>3095</v>
      </c>
      <c r="M292" s="4">
        <v>104</v>
      </c>
      <c r="N292" s="4">
        <v>2003</v>
      </c>
      <c r="O292" s="4" t="str">
        <f>+IF(BDAlquilerDepartamentos[[#This Row],[Prec. Soles]]&gt;2500,"Caro","Economico")</f>
        <v>Caro</v>
      </c>
      <c r="P292" s="4" t="str">
        <f>+IF(AND(BDAlquilerDepartamentos[[#This Row],[N° de Dorm.]]&gt; 3,BDAlquilerDepartamentos[[#This Row],[Prec. Soles]]&lt;= 2500),"Buena Oferta", "Precio Estadar")</f>
        <v>Precio Estadar</v>
      </c>
      <c r="Q292" t="s">
        <v>1101</v>
      </c>
      <c r="R292" t="s">
        <v>1102</v>
      </c>
      <c r="S292" s="11">
        <v>44992</v>
      </c>
      <c r="T292" t="s">
        <v>2863</v>
      </c>
      <c r="U292" t="s">
        <v>1544</v>
      </c>
    </row>
    <row r="293" spans="2:21" x14ac:dyDescent="0.3">
      <c r="B293" t="s">
        <v>1135</v>
      </c>
      <c r="C293" t="s">
        <v>2438</v>
      </c>
      <c r="D293" t="s">
        <v>2428</v>
      </c>
      <c r="E293" t="s">
        <v>2580</v>
      </c>
      <c r="F293" t="s">
        <v>2580</v>
      </c>
      <c r="G293" s="8">
        <v>2405</v>
      </c>
      <c r="H293" s="8">
        <f>+IF(BDAlquilerDepartamentos[[#This Row],[Ciudad]]="Lima",BDAlquilerDepartamentos[[#This Row],[Prec. Soles]]*0.1,BDAlquilerDepartamentos[[#This Row],[Prec. Soles]]*0.05)</f>
        <v>240.5</v>
      </c>
      <c r="I293" s="4">
        <v>1</v>
      </c>
      <c r="J293" s="4">
        <v>1</v>
      </c>
      <c r="K293" s="4" t="s">
        <v>3095</v>
      </c>
      <c r="L293" s="4" t="s">
        <v>3095</v>
      </c>
      <c r="N293" s="4">
        <v>2008</v>
      </c>
      <c r="O293" s="4" t="str">
        <f>+IF(BDAlquilerDepartamentos[[#This Row],[Prec. Soles]]&gt;2500,"Caro","Economico")</f>
        <v>Economico</v>
      </c>
      <c r="P293" s="4" t="str">
        <f>+IF(AND(BDAlquilerDepartamentos[[#This Row],[N° de Dorm.]]&gt; 3,BDAlquilerDepartamentos[[#This Row],[Prec. Soles]]&lt;= 2500),"Buena Oferta", "Precio Estadar")</f>
        <v>Precio Estadar</v>
      </c>
      <c r="Q293" t="s">
        <v>1101</v>
      </c>
      <c r="R293" t="s">
        <v>1102</v>
      </c>
      <c r="S293" s="11">
        <v>45540</v>
      </c>
      <c r="T293" t="s">
        <v>2934</v>
      </c>
      <c r="U293" t="s">
        <v>1545</v>
      </c>
    </row>
    <row r="294" spans="2:21" x14ac:dyDescent="0.3">
      <c r="B294" t="s">
        <v>1511</v>
      </c>
      <c r="C294" t="s">
        <v>2582</v>
      </c>
      <c r="D294" t="s">
        <v>2473</v>
      </c>
      <c r="E294" t="s">
        <v>2474</v>
      </c>
      <c r="F294" t="s">
        <v>2474</v>
      </c>
      <c r="G294" s="8">
        <v>1650</v>
      </c>
      <c r="H294" s="8">
        <f>+IF(BDAlquilerDepartamentos[[#This Row],[Ciudad]]="Lima",BDAlquilerDepartamentos[[#This Row],[Prec. Soles]]*0.1,BDAlquilerDepartamentos[[#This Row],[Prec. Soles]]*0.05)</f>
        <v>82.5</v>
      </c>
      <c r="I294" s="4">
        <v>3</v>
      </c>
      <c r="J294" s="4">
        <v>2</v>
      </c>
      <c r="K294" s="4" t="s">
        <v>3096</v>
      </c>
      <c r="L294" s="4" t="s">
        <v>3095</v>
      </c>
      <c r="M294" s="4">
        <v>67</v>
      </c>
      <c r="N294" s="4">
        <v>2003</v>
      </c>
      <c r="O294" s="4" t="str">
        <f>+IF(BDAlquilerDepartamentos[[#This Row],[Prec. Soles]]&gt;2500,"Caro","Economico")</f>
        <v>Economico</v>
      </c>
      <c r="P294" s="4" t="str">
        <f>+IF(AND(BDAlquilerDepartamentos[[#This Row],[N° de Dorm.]]&gt; 3,BDAlquilerDepartamentos[[#This Row],[Prec. Soles]]&lt;= 2500),"Buena Oferta", "Precio Estadar")</f>
        <v>Precio Estadar</v>
      </c>
      <c r="Q294" t="s">
        <v>1101</v>
      </c>
      <c r="R294" t="s">
        <v>1102</v>
      </c>
      <c r="S294" s="11">
        <v>45094</v>
      </c>
      <c r="T294" t="s">
        <v>2925</v>
      </c>
      <c r="U294" t="s">
        <v>1546</v>
      </c>
    </row>
    <row r="295" spans="2:21" x14ac:dyDescent="0.3">
      <c r="B295" t="s">
        <v>1547</v>
      </c>
      <c r="C295" t="s">
        <v>2589</v>
      </c>
      <c r="D295" t="s">
        <v>2435</v>
      </c>
      <c r="E295" t="s">
        <v>2580</v>
      </c>
      <c r="F295" t="s">
        <v>2580</v>
      </c>
      <c r="G295" s="8">
        <v>2700</v>
      </c>
      <c r="H295" s="8">
        <f>+IF(BDAlquilerDepartamentos[[#This Row],[Ciudad]]="Lima",BDAlquilerDepartamentos[[#This Row],[Prec. Soles]]*0.1,BDAlquilerDepartamentos[[#This Row],[Prec. Soles]]*0.05)</f>
        <v>270</v>
      </c>
      <c r="I295" s="4">
        <v>3</v>
      </c>
      <c r="J295" s="4">
        <v>2</v>
      </c>
      <c r="K295" s="4" t="s">
        <v>3095</v>
      </c>
      <c r="L295" s="4" t="s">
        <v>3096</v>
      </c>
      <c r="M295" s="4">
        <v>75</v>
      </c>
      <c r="N295" s="4">
        <v>2004</v>
      </c>
      <c r="O295" s="4" t="str">
        <f>+IF(BDAlquilerDepartamentos[[#This Row],[Prec. Soles]]&gt;2500,"Caro","Economico")</f>
        <v>Caro</v>
      </c>
      <c r="P295" s="4" t="str">
        <f>+IF(AND(BDAlquilerDepartamentos[[#This Row],[N° de Dorm.]]&gt; 3,BDAlquilerDepartamentos[[#This Row],[Prec. Soles]]&lt;= 2500),"Buena Oferta", "Precio Estadar")</f>
        <v>Precio Estadar</v>
      </c>
      <c r="Q295" t="s">
        <v>1101</v>
      </c>
      <c r="R295" t="s">
        <v>1102</v>
      </c>
      <c r="S295" s="11">
        <v>45485</v>
      </c>
      <c r="T295" t="s">
        <v>3087</v>
      </c>
      <c r="U295" t="s">
        <v>1548</v>
      </c>
    </row>
    <row r="296" spans="2:21" x14ac:dyDescent="0.3">
      <c r="B296" t="s">
        <v>1118</v>
      </c>
      <c r="C296" t="s">
        <v>2426</v>
      </c>
      <c r="D296" t="s">
        <v>2436</v>
      </c>
      <c r="E296" t="s">
        <v>2580</v>
      </c>
      <c r="F296" t="s">
        <v>2580</v>
      </c>
      <c r="G296" s="8">
        <v>4440</v>
      </c>
      <c r="H296" s="8">
        <f>+IF(BDAlquilerDepartamentos[[#This Row],[Ciudad]]="Lima",BDAlquilerDepartamentos[[#This Row],[Prec. Soles]]*0.1,BDAlquilerDepartamentos[[#This Row],[Prec. Soles]]*0.05)</f>
        <v>444</v>
      </c>
      <c r="I296" s="4">
        <v>3</v>
      </c>
      <c r="J296" s="4">
        <v>2</v>
      </c>
      <c r="K296" s="4" t="s">
        <v>3095</v>
      </c>
      <c r="L296" s="4" t="s">
        <v>3096</v>
      </c>
      <c r="M296" s="4">
        <v>160</v>
      </c>
      <c r="N296" s="4">
        <v>2003</v>
      </c>
      <c r="O296" s="4" t="str">
        <f>+IF(BDAlquilerDepartamentos[[#This Row],[Prec. Soles]]&gt;2500,"Caro","Economico")</f>
        <v>Caro</v>
      </c>
      <c r="P296" s="4" t="str">
        <f>+IF(AND(BDAlquilerDepartamentos[[#This Row],[N° de Dorm.]]&gt; 3,BDAlquilerDepartamentos[[#This Row],[Prec. Soles]]&lt;= 2500),"Buena Oferta", "Precio Estadar")</f>
        <v>Precio Estadar</v>
      </c>
      <c r="Q296" t="s">
        <v>1101</v>
      </c>
      <c r="R296" t="s">
        <v>1102</v>
      </c>
      <c r="S296" s="11">
        <v>45622</v>
      </c>
      <c r="T296" t="s">
        <v>2863</v>
      </c>
      <c r="U296" t="s">
        <v>1549</v>
      </c>
    </row>
    <row r="297" spans="2:21" x14ac:dyDescent="0.3">
      <c r="B297" t="s">
        <v>1154</v>
      </c>
      <c r="C297" t="s">
        <v>2448</v>
      </c>
      <c r="D297" t="s">
        <v>2804</v>
      </c>
      <c r="E297" t="s">
        <v>2580</v>
      </c>
      <c r="F297" t="s">
        <v>2580</v>
      </c>
      <c r="G297" s="8">
        <v>2800</v>
      </c>
      <c r="H297" s="8">
        <f>+IF(BDAlquilerDepartamentos[[#This Row],[Ciudad]]="Lima",BDAlquilerDepartamentos[[#This Row],[Prec. Soles]]*0.1,BDAlquilerDepartamentos[[#This Row],[Prec. Soles]]*0.05)</f>
        <v>280</v>
      </c>
      <c r="I297" s="4">
        <v>3</v>
      </c>
      <c r="J297" s="4">
        <v>3</v>
      </c>
      <c r="K297" s="4" t="s">
        <v>3095</v>
      </c>
      <c r="L297" s="4" t="s">
        <v>3096</v>
      </c>
      <c r="M297" s="4">
        <v>83</v>
      </c>
      <c r="N297" s="4">
        <v>2010</v>
      </c>
      <c r="O297" s="4" t="str">
        <f>+IF(BDAlquilerDepartamentos[[#This Row],[Prec. Soles]]&gt;2500,"Caro","Economico")</f>
        <v>Caro</v>
      </c>
      <c r="P297" s="4" t="str">
        <f>+IF(AND(BDAlquilerDepartamentos[[#This Row],[N° de Dorm.]]&gt; 3,BDAlquilerDepartamentos[[#This Row],[Prec. Soles]]&lt;= 2500),"Buena Oferta", "Precio Estadar")</f>
        <v>Precio Estadar</v>
      </c>
      <c r="Q297" t="s">
        <v>1101</v>
      </c>
      <c r="R297" t="s">
        <v>1102</v>
      </c>
      <c r="S297" s="11">
        <v>45272</v>
      </c>
      <c r="T297" t="s">
        <v>2860</v>
      </c>
      <c r="U297" t="s">
        <v>1550</v>
      </c>
    </row>
    <row r="298" spans="2:21" x14ac:dyDescent="0.3">
      <c r="B298" t="s">
        <v>1167</v>
      </c>
      <c r="C298" t="s">
        <v>2454</v>
      </c>
      <c r="D298" t="s">
        <v>2418</v>
      </c>
      <c r="E298" t="s">
        <v>2580</v>
      </c>
      <c r="F298" t="s">
        <v>2580</v>
      </c>
      <c r="G298" s="8">
        <v>2300</v>
      </c>
      <c r="H298" s="8">
        <f>+IF(BDAlquilerDepartamentos[[#This Row],[Ciudad]]="Lima",BDAlquilerDepartamentos[[#This Row],[Prec. Soles]]*0.1,BDAlquilerDepartamentos[[#This Row],[Prec. Soles]]*0.05)</f>
        <v>230</v>
      </c>
      <c r="I298" s="4">
        <v>1</v>
      </c>
      <c r="J298" s="4">
        <v>1</v>
      </c>
      <c r="K298" s="4" t="s">
        <v>3096</v>
      </c>
      <c r="L298" s="4" t="s">
        <v>3095</v>
      </c>
      <c r="M298" s="4">
        <v>41</v>
      </c>
      <c r="N298" s="4">
        <v>2016</v>
      </c>
      <c r="O298" s="4" t="str">
        <f>+IF(BDAlquilerDepartamentos[[#This Row],[Prec. Soles]]&gt;2500,"Caro","Economico")</f>
        <v>Economico</v>
      </c>
      <c r="P298" s="4" t="str">
        <f>+IF(AND(BDAlquilerDepartamentos[[#This Row],[N° de Dorm.]]&gt; 3,BDAlquilerDepartamentos[[#This Row],[Prec. Soles]]&lt;= 2500),"Buena Oferta", "Precio Estadar")</f>
        <v>Precio Estadar</v>
      </c>
      <c r="Q298" t="s">
        <v>1101</v>
      </c>
      <c r="R298" t="s">
        <v>1102</v>
      </c>
      <c r="S298" s="11">
        <v>45552</v>
      </c>
      <c r="T298" t="s">
        <v>2935</v>
      </c>
      <c r="U298" t="s">
        <v>1551</v>
      </c>
    </row>
    <row r="299" spans="2:21" x14ac:dyDescent="0.3">
      <c r="B299" t="s">
        <v>1552</v>
      </c>
      <c r="C299" t="s">
        <v>2590</v>
      </c>
      <c r="D299" t="s">
        <v>2580</v>
      </c>
      <c r="E299" t="s">
        <v>2580</v>
      </c>
      <c r="F299" t="s">
        <v>2580</v>
      </c>
      <c r="G299" s="8">
        <v>8880</v>
      </c>
      <c r="H299" s="8">
        <f>+IF(BDAlquilerDepartamentos[[#This Row],[Ciudad]]="Lima",BDAlquilerDepartamentos[[#This Row],[Prec. Soles]]*0.1,BDAlquilerDepartamentos[[#This Row],[Prec. Soles]]*0.05)</f>
        <v>888</v>
      </c>
      <c r="I299" s="4">
        <v>4</v>
      </c>
      <c r="J299" s="4">
        <v>3</v>
      </c>
      <c r="K299" s="4" t="s">
        <v>3095</v>
      </c>
      <c r="L299" s="4" t="s">
        <v>3095</v>
      </c>
      <c r="M299" s="4">
        <v>301</v>
      </c>
      <c r="N299" s="4">
        <v>2017</v>
      </c>
      <c r="O299" s="4" t="str">
        <f>+IF(BDAlquilerDepartamentos[[#This Row],[Prec. Soles]]&gt;2500,"Caro","Economico")</f>
        <v>Caro</v>
      </c>
      <c r="P299" s="4" t="str">
        <f>+IF(AND(BDAlquilerDepartamentos[[#This Row],[N° de Dorm.]]&gt; 3,BDAlquilerDepartamentos[[#This Row],[Prec. Soles]]&lt;= 2500),"Buena Oferta", "Precio Estadar")</f>
        <v>Precio Estadar</v>
      </c>
      <c r="Q299" t="s">
        <v>1113</v>
      </c>
      <c r="R299" t="s">
        <v>1102</v>
      </c>
      <c r="S299" s="11">
        <v>45629</v>
      </c>
      <c r="T299" t="s">
        <v>2936</v>
      </c>
      <c r="U299" t="s">
        <v>1553</v>
      </c>
    </row>
    <row r="300" spans="2:21" x14ac:dyDescent="0.3">
      <c r="B300" t="s">
        <v>1191</v>
      </c>
      <c r="C300" t="s">
        <v>2466</v>
      </c>
      <c r="D300" t="s">
        <v>2436</v>
      </c>
      <c r="E300" t="s">
        <v>2580</v>
      </c>
      <c r="F300" t="s">
        <v>2580</v>
      </c>
      <c r="G300" s="8">
        <v>4440</v>
      </c>
      <c r="H300" s="8">
        <f>+IF(BDAlquilerDepartamentos[[#This Row],[Ciudad]]="Lima",BDAlquilerDepartamentos[[#This Row],[Prec. Soles]]*0.1,BDAlquilerDepartamentos[[#This Row],[Prec. Soles]]*0.05)</f>
        <v>444</v>
      </c>
      <c r="I300" s="4">
        <v>2</v>
      </c>
      <c r="J300" s="4">
        <v>4</v>
      </c>
      <c r="K300" s="4" t="s">
        <v>3095</v>
      </c>
      <c r="L300" s="4" t="s">
        <v>3096</v>
      </c>
      <c r="M300" s="4">
        <v>150</v>
      </c>
      <c r="N300" s="4">
        <v>2018</v>
      </c>
      <c r="O300" s="4" t="str">
        <f>+IF(BDAlquilerDepartamentos[[#This Row],[Prec. Soles]]&gt;2500,"Caro","Economico")</f>
        <v>Caro</v>
      </c>
      <c r="P300" s="4" t="str">
        <f>+IF(AND(BDAlquilerDepartamentos[[#This Row],[N° de Dorm.]]&gt; 3,BDAlquilerDepartamentos[[#This Row],[Prec. Soles]]&lt;= 2500),"Buena Oferta", "Precio Estadar")</f>
        <v>Precio Estadar</v>
      </c>
      <c r="Q300" t="s">
        <v>1101</v>
      </c>
      <c r="R300" t="s">
        <v>1102</v>
      </c>
      <c r="S300" s="11">
        <v>45394</v>
      </c>
      <c r="T300" t="s">
        <v>2869</v>
      </c>
      <c r="U300" t="s">
        <v>1554</v>
      </c>
    </row>
    <row r="301" spans="2:21" x14ac:dyDescent="0.3">
      <c r="B301" t="s">
        <v>1555</v>
      </c>
      <c r="C301" t="s">
        <v>2504</v>
      </c>
      <c r="D301" t="s">
        <v>2580</v>
      </c>
      <c r="E301" t="s">
        <v>2580</v>
      </c>
      <c r="F301" t="s">
        <v>2580</v>
      </c>
      <c r="G301" s="8">
        <v>2000</v>
      </c>
      <c r="H301" s="8">
        <f>+IF(BDAlquilerDepartamentos[[#This Row],[Ciudad]]="Lima",BDAlquilerDepartamentos[[#This Row],[Prec. Soles]]*0.1,BDAlquilerDepartamentos[[#This Row],[Prec. Soles]]*0.05)</f>
        <v>200</v>
      </c>
      <c r="I301" s="4">
        <v>3</v>
      </c>
      <c r="J301" s="4">
        <v>3</v>
      </c>
      <c r="K301" s="4" t="s">
        <v>3095</v>
      </c>
      <c r="L301" s="4" t="s">
        <v>3095</v>
      </c>
      <c r="M301" s="4">
        <v>512</v>
      </c>
      <c r="N301" s="4">
        <v>2017</v>
      </c>
      <c r="O301" s="4" t="str">
        <f>+IF(BDAlquilerDepartamentos[[#This Row],[Prec. Soles]]&gt;2500,"Caro","Economico")</f>
        <v>Economico</v>
      </c>
      <c r="P301" s="4" t="str">
        <f>+IF(AND(BDAlquilerDepartamentos[[#This Row],[N° de Dorm.]]&gt; 3,BDAlquilerDepartamentos[[#This Row],[Prec. Soles]]&lt;= 2500),"Buena Oferta", "Precio Estadar")</f>
        <v>Precio Estadar</v>
      </c>
      <c r="Q301" t="s">
        <v>1113</v>
      </c>
      <c r="R301" t="s">
        <v>1102</v>
      </c>
      <c r="S301" s="11">
        <v>45275</v>
      </c>
      <c r="T301" t="s">
        <v>2933</v>
      </c>
      <c r="U301" t="s">
        <v>1556</v>
      </c>
    </row>
    <row r="302" spans="2:21" x14ac:dyDescent="0.3">
      <c r="B302" t="s">
        <v>1557</v>
      </c>
      <c r="C302" t="s">
        <v>2591</v>
      </c>
      <c r="D302" t="s">
        <v>2436</v>
      </c>
      <c r="E302" t="s">
        <v>2580</v>
      </c>
      <c r="F302" t="s">
        <v>2580</v>
      </c>
      <c r="G302" s="8">
        <v>3700</v>
      </c>
      <c r="H302" s="8">
        <f>+IF(BDAlquilerDepartamentos[[#This Row],[Ciudad]]="Lima",BDAlquilerDepartamentos[[#This Row],[Prec. Soles]]*0.1,BDAlquilerDepartamentos[[#This Row],[Prec. Soles]]*0.05)</f>
        <v>370</v>
      </c>
      <c r="I302" s="4">
        <v>2</v>
      </c>
      <c r="J302" s="4">
        <v>3</v>
      </c>
      <c r="K302" s="4" t="s">
        <v>3096</v>
      </c>
      <c r="L302" s="4" t="s">
        <v>3095</v>
      </c>
      <c r="M302" s="4">
        <v>106</v>
      </c>
      <c r="N302" s="4">
        <v>2013</v>
      </c>
      <c r="O302" s="4" t="str">
        <f>+IF(BDAlquilerDepartamentos[[#This Row],[Prec. Soles]]&gt;2500,"Caro","Economico")</f>
        <v>Caro</v>
      </c>
      <c r="P302" s="4" t="str">
        <f>+IF(AND(BDAlquilerDepartamentos[[#This Row],[N° de Dorm.]]&gt; 3,BDAlquilerDepartamentos[[#This Row],[Prec. Soles]]&lt;= 2500),"Buena Oferta", "Precio Estadar")</f>
        <v>Precio Estadar</v>
      </c>
      <c r="Q302" t="s">
        <v>1101</v>
      </c>
      <c r="R302" t="s">
        <v>1102</v>
      </c>
      <c r="S302" s="11">
        <v>45167</v>
      </c>
      <c r="T302" t="s">
        <v>2814</v>
      </c>
      <c r="U302" t="s">
        <v>1558</v>
      </c>
    </row>
    <row r="303" spans="2:21" x14ac:dyDescent="0.3">
      <c r="B303" t="s">
        <v>1110</v>
      </c>
      <c r="C303" t="s">
        <v>2421</v>
      </c>
      <c r="D303" t="s">
        <v>2422</v>
      </c>
      <c r="E303" t="s">
        <v>2580</v>
      </c>
      <c r="F303" t="s">
        <v>2580</v>
      </c>
      <c r="G303" s="8">
        <v>5000</v>
      </c>
      <c r="H303" s="8">
        <f>+IF(BDAlquilerDepartamentos[[#This Row],[Ciudad]]="Lima",BDAlquilerDepartamentos[[#This Row],[Prec. Soles]]*0.1,BDAlquilerDepartamentos[[#This Row],[Prec. Soles]]*0.05)</f>
        <v>500</v>
      </c>
      <c r="I303" s="4">
        <v>3</v>
      </c>
      <c r="J303" s="4">
        <v>3</v>
      </c>
      <c r="K303" s="4" t="s">
        <v>3096</v>
      </c>
      <c r="L303" s="4" t="s">
        <v>3095</v>
      </c>
      <c r="M303" s="4">
        <v>135</v>
      </c>
      <c r="N303" s="4">
        <v>2018</v>
      </c>
      <c r="O303" s="4" t="str">
        <f>+IF(BDAlquilerDepartamentos[[#This Row],[Prec. Soles]]&gt;2500,"Caro","Economico")</f>
        <v>Caro</v>
      </c>
      <c r="P303" s="4" t="str">
        <f>+IF(AND(BDAlquilerDepartamentos[[#This Row],[N° de Dorm.]]&gt; 3,BDAlquilerDepartamentos[[#This Row],[Prec. Soles]]&lt;= 2500),"Buena Oferta", "Precio Estadar")</f>
        <v>Precio Estadar</v>
      </c>
      <c r="Q303" t="s">
        <v>1101</v>
      </c>
      <c r="R303" t="s">
        <v>1102</v>
      </c>
      <c r="S303" s="11">
        <v>45430</v>
      </c>
      <c r="T303" t="s">
        <v>2937</v>
      </c>
      <c r="U303" t="s">
        <v>1559</v>
      </c>
    </row>
    <row r="304" spans="2:21" x14ac:dyDescent="0.3">
      <c r="B304" t="s">
        <v>1118</v>
      </c>
      <c r="C304" t="s">
        <v>2426</v>
      </c>
      <c r="D304" t="s">
        <v>2436</v>
      </c>
      <c r="E304" t="s">
        <v>2580</v>
      </c>
      <c r="F304" t="s">
        <v>2580</v>
      </c>
      <c r="G304" s="8">
        <v>5920</v>
      </c>
      <c r="H304" s="8">
        <f>+IF(BDAlquilerDepartamentos[[#This Row],[Ciudad]]="Lima",BDAlquilerDepartamentos[[#This Row],[Prec. Soles]]*0.1,BDAlquilerDepartamentos[[#This Row],[Prec. Soles]]*0.05)</f>
        <v>592</v>
      </c>
      <c r="I304" s="4">
        <v>3</v>
      </c>
      <c r="J304" s="4">
        <v>2</v>
      </c>
      <c r="K304" s="4" t="s">
        <v>3096</v>
      </c>
      <c r="L304" s="4" t="s">
        <v>3095</v>
      </c>
      <c r="M304" s="4">
        <v>144</v>
      </c>
      <c r="N304" s="4">
        <v>2004</v>
      </c>
      <c r="O304" s="4" t="str">
        <f>+IF(BDAlquilerDepartamentos[[#This Row],[Prec. Soles]]&gt;2500,"Caro","Economico")</f>
        <v>Caro</v>
      </c>
      <c r="P304" s="4" t="str">
        <f>+IF(AND(BDAlquilerDepartamentos[[#This Row],[N° de Dorm.]]&gt; 3,BDAlquilerDepartamentos[[#This Row],[Prec. Soles]]&lt;= 2500),"Buena Oferta", "Precio Estadar")</f>
        <v>Precio Estadar</v>
      </c>
      <c r="Q304" t="s">
        <v>1101</v>
      </c>
      <c r="R304" t="s">
        <v>1102</v>
      </c>
      <c r="S304" s="11">
        <v>45074</v>
      </c>
      <c r="T304" t="s">
        <v>2826</v>
      </c>
      <c r="U304" t="s">
        <v>1560</v>
      </c>
    </row>
    <row r="305" spans="2:21" x14ac:dyDescent="0.3">
      <c r="B305" t="s">
        <v>1226</v>
      </c>
      <c r="C305" t="s">
        <v>2483</v>
      </c>
      <c r="D305" t="s">
        <v>2444</v>
      </c>
      <c r="E305" t="s">
        <v>2580</v>
      </c>
      <c r="F305" t="s">
        <v>2580</v>
      </c>
      <c r="G305" s="8">
        <v>6290</v>
      </c>
      <c r="H305" s="8">
        <f>+IF(BDAlquilerDepartamentos[[#This Row],[Ciudad]]="Lima",BDAlquilerDepartamentos[[#This Row],[Prec. Soles]]*0.1,BDAlquilerDepartamentos[[#This Row],[Prec. Soles]]*0.05)</f>
        <v>629</v>
      </c>
      <c r="I305" s="4">
        <v>9</v>
      </c>
      <c r="J305" s="4">
        <v>9</v>
      </c>
      <c r="K305" s="4" t="s">
        <v>3096</v>
      </c>
      <c r="L305" s="4" t="s">
        <v>3096</v>
      </c>
      <c r="M305" s="4">
        <v>200</v>
      </c>
      <c r="N305" s="4">
        <v>2012</v>
      </c>
      <c r="O305" s="4" t="str">
        <f>+IF(BDAlquilerDepartamentos[[#This Row],[Prec. Soles]]&gt;2500,"Caro","Economico")</f>
        <v>Caro</v>
      </c>
      <c r="P305" s="4" t="str">
        <f>+IF(AND(BDAlquilerDepartamentos[[#This Row],[N° de Dorm.]]&gt; 3,BDAlquilerDepartamentos[[#This Row],[Prec. Soles]]&lt;= 2500),"Buena Oferta", "Precio Estadar")</f>
        <v>Precio Estadar</v>
      </c>
      <c r="Q305" t="s">
        <v>1113</v>
      </c>
      <c r="R305" t="s">
        <v>1102</v>
      </c>
      <c r="S305" s="11">
        <v>45173</v>
      </c>
      <c r="T305" t="s">
        <v>2833</v>
      </c>
      <c r="U305" t="s">
        <v>1561</v>
      </c>
    </row>
    <row r="306" spans="2:21" x14ac:dyDescent="0.3">
      <c r="B306" t="s">
        <v>3113</v>
      </c>
      <c r="C306" t="s">
        <v>3114</v>
      </c>
      <c r="D306" t="s">
        <v>2436</v>
      </c>
      <c r="E306" t="s">
        <v>2580</v>
      </c>
      <c r="F306" t="s">
        <v>2580</v>
      </c>
      <c r="G306" s="8">
        <v>3515</v>
      </c>
      <c r="H306" s="8">
        <f>+IF(BDAlquilerDepartamentos[[#This Row],[Ciudad]]="Lima",BDAlquilerDepartamentos[[#This Row],[Prec. Soles]]*0.1,BDAlquilerDepartamentos[[#This Row],[Prec. Soles]]*0.05)</f>
        <v>351.5</v>
      </c>
      <c r="I306" s="4">
        <v>3</v>
      </c>
      <c r="J306" s="4">
        <v>2</v>
      </c>
      <c r="K306" s="4" t="s">
        <v>3096</v>
      </c>
      <c r="L306" s="4" t="s">
        <v>3096</v>
      </c>
      <c r="M306" s="4">
        <v>119</v>
      </c>
      <c r="N306" s="4">
        <v>2018</v>
      </c>
      <c r="O306" s="4" t="str">
        <f>+IF(BDAlquilerDepartamentos[[#This Row],[Prec. Soles]]&gt;2500,"Caro","Economico")</f>
        <v>Caro</v>
      </c>
      <c r="P306" s="4" t="str">
        <f>+IF(AND(BDAlquilerDepartamentos[[#This Row],[N° de Dorm.]]&gt; 3,BDAlquilerDepartamentos[[#This Row],[Prec. Soles]]&lt;= 2500),"Buena Oferta", "Precio Estadar")</f>
        <v>Precio Estadar</v>
      </c>
      <c r="Q306" t="s">
        <v>1101</v>
      </c>
      <c r="R306" t="s">
        <v>1102</v>
      </c>
      <c r="S306" s="11">
        <v>45087</v>
      </c>
      <c r="T306" t="s">
        <v>2938</v>
      </c>
      <c r="U306" t="s">
        <v>1562</v>
      </c>
    </row>
    <row r="307" spans="2:21" x14ac:dyDescent="0.3">
      <c r="B307" t="s">
        <v>1563</v>
      </c>
      <c r="C307" t="s">
        <v>2592</v>
      </c>
      <c r="D307" t="s">
        <v>3117</v>
      </c>
      <c r="E307" t="s">
        <v>2580</v>
      </c>
      <c r="F307" t="s">
        <v>2580</v>
      </c>
      <c r="G307" s="8">
        <v>1700</v>
      </c>
      <c r="H307" s="8">
        <f>+IF(BDAlquilerDepartamentos[[#This Row],[Ciudad]]="Lima",BDAlquilerDepartamentos[[#This Row],[Prec. Soles]]*0.1,BDAlquilerDepartamentos[[#This Row],[Prec. Soles]]*0.05)</f>
        <v>170</v>
      </c>
      <c r="I307" s="4">
        <v>4</v>
      </c>
      <c r="J307" s="4">
        <v>3</v>
      </c>
      <c r="K307" s="4" t="s">
        <v>3095</v>
      </c>
      <c r="L307" s="4" t="s">
        <v>3095</v>
      </c>
      <c r="M307" s="4">
        <v>80</v>
      </c>
      <c r="N307" s="4">
        <v>2011</v>
      </c>
      <c r="O307" s="4" t="str">
        <f>+IF(BDAlquilerDepartamentos[[#This Row],[Prec. Soles]]&gt;2500,"Caro","Economico")</f>
        <v>Economico</v>
      </c>
      <c r="P307" s="4" t="str">
        <f>+IF(AND(BDAlquilerDepartamentos[[#This Row],[N° de Dorm.]]&gt; 3,BDAlquilerDepartamentos[[#This Row],[Prec. Soles]]&lt;= 2500),"Buena Oferta", "Precio Estadar")</f>
        <v>Buena Oferta</v>
      </c>
      <c r="Q307" t="s">
        <v>1101</v>
      </c>
      <c r="R307" t="s">
        <v>1102</v>
      </c>
      <c r="S307" s="11">
        <v>44996</v>
      </c>
      <c r="T307" t="s">
        <v>2939</v>
      </c>
      <c r="U307" t="s">
        <v>1564</v>
      </c>
    </row>
    <row r="308" spans="2:21" x14ac:dyDescent="0.3">
      <c r="B308" t="s">
        <v>1542</v>
      </c>
      <c r="C308" t="s">
        <v>2588</v>
      </c>
      <c r="D308" t="s">
        <v>2580</v>
      </c>
      <c r="E308" t="s">
        <v>2580</v>
      </c>
      <c r="F308" t="s">
        <v>2580</v>
      </c>
      <c r="G308" s="8">
        <v>4070</v>
      </c>
      <c r="H308" s="8">
        <f>+IF(BDAlquilerDepartamentos[[#This Row],[Ciudad]]="Lima",BDAlquilerDepartamentos[[#This Row],[Prec. Soles]]*0.1,BDAlquilerDepartamentos[[#This Row],[Prec. Soles]]*0.05)</f>
        <v>407</v>
      </c>
      <c r="I308" s="4">
        <v>3</v>
      </c>
      <c r="J308" s="4">
        <v>3</v>
      </c>
      <c r="K308" s="4" t="s">
        <v>3095</v>
      </c>
      <c r="L308" s="4" t="s">
        <v>3096</v>
      </c>
      <c r="M308" s="4">
        <v>180</v>
      </c>
      <c r="N308" s="4">
        <v>2017</v>
      </c>
      <c r="O308" s="4" t="str">
        <f>+IF(BDAlquilerDepartamentos[[#This Row],[Prec. Soles]]&gt;2500,"Caro","Economico")</f>
        <v>Caro</v>
      </c>
      <c r="P308" s="4" t="str">
        <f>+IF(AND(BDAlquilerDepartamentos[[#This Row],[N° de Dorm.]]&gt; 3,BDAlquilerDepartamentos[[#This Row],[Prec. Soles]]&lt;= 2500),"Buena Oferta", "Precio Estadar")</f>
        <v>Precio Estadar</v>
      </c>
      <c r="Q308" t="s">
        <v>1113</v>
      </c>
      <c r="R308" t="s">
        <v>1102</v>
      </c>
      <c r="S308" s="11">
        <v>45437</v>
      </c>
      <c r="T308" t="s">
        <v>2933</v>
      </c>
      <c r="U308" t="s">
        <v>1565</v>
      </c>
    </row>
    <row r="309" spans="2:21" x14ac:dyDescent="0.3">
      <c r="B309" t="s">
        <v>1150</v>
      </c>
      <c r="C309" t="s">
        <v>2445</v>
      </c>
      <c r="D309" t="s">
        <v>2436</v>
      </c>
      <c r="E309" t="s">
        <v>2580</v>
      </c>
      <c r="F309" t="s">
        <v>2580</v>
      </c>
      <c r="G309" s="8">
        <v>5180</v>
      </c>
      <c r="H309" s="8">
        <f>+IF(BDAlquilerDepartamentos[[#This Row],[Ciudad]]="Lima",BDAlquilerDepartamentos[[#This Row],[Prec. Soles]]*0.1,BDAlquilerDepartamentos[[#This Row],[Prec. Soles]]*0.05)</f>
        <v>518</v>
      </c>
      <c r="I309" s="4">
        <v>3</v>
      </c>
      <c r="J309" s="4">
        <v>4</v>
      </c>
      <c r="K309" s="4" t="s">
        <v>3095</v>
      </c>
      <c r="L309" s="4" t="s">
        <v>3095</v>
      </c>
      <c r="M309" s="4">
        <v>210</v>
      </c>
      <c r="N309" s="4">
        <v>2007</v>
      </c>
      <c r="O309" s="4" t="str">
        <f>+IF(BDAlquilerDepartamentos[[#This Row],[Prec. Soles]]&gt;2500,"Caro","Economico")</f>
        <v>Caro</v>
      </c>
      <c r="P309" s="4" t="str">
        <f>+IF(AND(BDAlquilerDepartamentos[[#This Row],[N° de Dorm.]]&gt; 3,BDAlquilerDepartamentos[[#This Row],[Prec. Soles]]&lt;= 2500),"Buena Oferta", "Precio Estadar")</f>
        <v>Precio Estadar</v>
      </c>
      <c r="Q309" t="s">
        <v>1101</v>
      </c>
      <c r="R309" t="s">
        <v>1102</v>
      </c>
      <c r="S309" s="11">
        <v>45513</v>
      </c>
      <c r="T309" t="s">
        <v>2903</v>
      </c>
      <c r="U309" t="s">
        <v>1566</v>
      </c>
    </row>
    <row r="310" spans="2:21" x14ac:dyDescent="0.3">
      <c r="B310" t="s">
        <v>1174</v>
      </c>
      <c r="C310" t="s">
        <v>2456</v>
      </c>
      <c r="D310" t="s">
        <v>2457</v>
      </c>
      <c r="E310" t="s">
        <v>2580</v>
      </c>
      <c r="F310" t="s">
        <v>2580</v>
      </c>
      <c r="G310" s="8">
        <v>4625</v>
      </c>
      <c r="H310" s="8">
        <f>+IF(BDAlquilerDepartamentos[[#This Row],[Ciudad]]="Lima",BDAlquilerDepartamentos[[#This Row],[Prec. Soles]]*0.1,BDAlquilerDepartamentos[[#This Row],[Prec. Soles]]*0.05)</f>
        <v>462.5</v>
      </c>
      <c r="I310" s="4">
        <v>3</v>
      </c>
      <c r="J310" s="4">
        <v>3</v>
      </c>
      <c r="K310" s="4" t="s">
        <v>3096</v>
      </c>
      <c r="L310" s="4" t="s">
        <v>3095</v>
      </c>
      <c r="M310" s="4">
        <v>150</v>
      </c>
      <c r="N310" s="4">
        <v>2017</v>
      </c>
      <c r="O310" s="4" t="str">
        <f>+IF(BDAlquilerDepartamentos[[#This Row],[Prec. Soles]]&gt;2500,"Caro","Economico")</f>
        <v>Caro</v>
      </c>
      <c r="P310" s="4" t="str">
        <f>+IF(AND(BDAlquilerDepartamentos[[#This Row],[N° de Dorm.]]&gt; 3,BDAlquilerDepartamentos[[#This Row],[Prec. Soles]]&lt;= 2500),"Buena Oferta", "Precio Estadar")</f>
        <v>Precio Estadar</v>
      </c>
      <c r="Q310" t="s">
        <v>1101</v>
      </c>
      <c r="R310" t="s">
        <v>1102</v>
      </c>
      <c r="S310" s="11">
        <v>45254</v>
      </c>
      <c r="T310" t="s">
        <v>2818</v>
      </c>
      <c r="U310" t="s">
        <v>1567</v>
      </c>
    </row>
    <row r="311" spans="2:21" x14ac:dyDescent="0.3">
      <c r="B311" t="s">
        <v>1568</v>
      </c>
      <c r="C311" t="s">
        <v>2593</v>
      </c>
      <c r="D311" t="s">
        <v>2594</v>
      </c>
      <c r="E311" t="s">
        <v>2580</v>
      </c>
      <c r="F311" t="s">
        <v>2580</v>
      </c>
      <c r="G311" s="8">
        <v>2923</v>
      </c>
      <c r="H311" s="8">
        <f>+IF(BDAlquilerDepartamentos[[#This Row],[Ciudad]]="Lima",BDAlquilerDepartamentos[[#This Row],[Prec. Soles]]*0.1,BDAlquilerDepartamentos[[#This Row],[Prec. Soles]]*0.05)</f>
        <v>292.3</v>
      </c>
      <c r="I311" s="4">
        <v>3</v>
      </c>
      <c r="J311" s="4">
        <v>3</v>
      </c>
      <c r="K311" s="4" t="s">
        <v>3096</v>
      </c>
      <c r="L311" s="4" t="s">
        <v>3095</v>
      </c>
      <c r="M311" s="4">
        <v>150</v>
      </c>
      <c r="N311" s="4">
        <v>2018</v>
      </c>
      <c r="O311" s="4" t="str">
        <f>+IF(BDAlquilerDepartamentos[[#This Row],[Prec. Soles]]&gt;2500,"Caro","Economico")</f>
        <v>Caro</v>
      </c>
      <c r="P311" s="4" t="str">
        <f>+IF(AND(BDAlquilerDepartamentos[[#This Row],[N° de Dorm.]]&gt; 3,BDAlquilerDepartamentos[[#This Row],[Prec. Soles]]&lt;= 2500),"Buena Oferta", "Precio Estadar")</f>
        <v>Precio Estadar</v>
      </c>
      <c r="Q311" t="s">
        <v>1101</v>
      </c>
      <c r="R311" t="s">
        <v>1102</v>
      </c>
      <c r="S311" s="11">
        <v>45193</v>
      </c>
      <c r="T311" t="s">
        <v>3091</v>
      </c>
      <c r="U311" t="s">
        <v>1569</v>
      </c>
    </row>
    <row r="312" spans="2:21" x14ac:dyDescent="0.3">
      <c r="B312" t="s">
        <v>1570</v>
      </c>
      <c r="C312" t="s">
        <v>2595</v>
      </c>
      <c r="D312" t="s">
        <v>2422</v>
      </c>
      <c r="E312" t="s">
        <v>2580</v>
      </c>
      <c r="F312" t="s">
        <v>2580</v>
      </c>
      <c r="G312" s="8">
        <v>2775</v>
      </c>
      <c r="H312" s="8">
        <f>+IF(BDAlquilerDepartamentos[[#This Row],[Ciudad]]="Lima",BDAlquilerDepartamentos[[#This Row],[Prec. Soles]]*0.1,BDAlquilerDepartamentos[[#This Row],[Prec. Soles]]*0.05)</f>
        <v>277.5</v>
      </c>
      <c r="I312" s="4">
        <v>1</v>
      </c>
      <c r="J312" s="4">
        <v>1</v>
      </c>
      <c r="K312" s="4" t="s">
        <v>3096</v>
      </c>
      <c r="L312" s="4" t="s">
        <v>3096</v>
      </c>
      <c r="M312" s="4">
        <v>77</v>
      </c>
      <c r="N312" s="4">
        <v>2007</v>
      </c>
      <c r="O312" s="4" t="str">
        <f>+IF(BDAlquilerDepartamentos[[#This Row],[Prec. Soles]]&gt;2500,"Caro","Economico")</f>
        <v>Caro</v>
      </c>
      <c r="P312" s="4" t="str">
        <f>+IF(AND(BDAlquilerDepartamentos[[#This Row],[N° de Dorm.]]&gt; 3,BDAlquilerDepartamentos[[#This Row],[Prec. Soles]]&lt;= 2500),"Buena Oferta", "Precio Estadar")</f>
        <v>Precio Estadar</v>
      </c>
      <c r="Q312" t="s">
        <v>1101</v>
      </c>
      <c r="R312" t="s">
        <v>1102</v>
      </c>
      <c r="S312" s="11">
        <v>45526</v>
      </c>
      <c r="T312" t="s">
        <v>2870</v>
      </c>
      <c r="U312" t="s">
        <v>1571</v>
      </c>
    </row>
    <row r="313" spans="2:21" x14ac:dyDescent="0.3">
      <c r="B313" t="s">
        <v>1572</v>
      </c>
      <c r="C313" t="s">
        <v>2596</v>
      </c>
      <c r="D313" t="s">
        <v>2580</v>
      </c>
      <c r="E313" t="s">
        <v>2580</v>
      </c>
      <c r="F313" t="s">
        <v>2580</v>
      </c>
      <c r="G313" s="8">
        <v>2400</v>
      </c>
      <c r="H313" s="8">
        <f>+IF(BDAlquilerDepartamentos[[#This Row],[Ciudad]]="Lima",BDAlquilerDepartamentos[[#This Row],[Prec. Soles]]*0.1,BDAlquilerDepartamentos[[#This Row],[Prec. Soles]]*0.05)</f>
        <v>240</v>
      </c>
      <c r="I313" s="4">
        <v>2</v>
      </c>
      <c r="J313" s="4">
        <v>1</v>
      </c>
      <c r="K313" s="4" t="s">
        <v>3095</v>
      </c>
      <c r="L313" s="4" t="s">
        <v>3096</v>
      </c>
      <c r="M313" s="4">
        <v>70</v>
      </c>
      <c r="N313" s="4">
        <v>2004</v>
      </c>
      <c r="O313" s="4" t="str">
        <f>+IF(BDAlquilerDepartamentos[[#This Row],[Prec. Soles]]&gt;2500,"Caro","Economico")</f>
        <v>Economico</v>
      </c>
      <c r="P313" s="4" t="str">
        <f>+IF(AND(BDAlquilerDepartamentos[[#This Row],[N° de Dorm.]]&gt; 3,BDAlquilerDepartamentos[[#This Row],[Prec. Soles]]&lt;= 2500),"Buena Oferta", "Precio Estadar")</f>
        <v>Precio Estadar</v>
      </c>
      <c r="Q313" t="s">
        <v>1101</v>
      </c>
      <c r="R313" t="s">
        <v>1102</v>
      </c>
      <c r="S313" s="11">
        <v>45288</v>
      </c>
      <c r="T313" t="s">
        <v>2941</v>
      </c>
      <c r="U313" t="s">
        <v>1573</v>
      </c>
    </row>
    <row r="314" spans="2:21" x14ac:dyDescent="0.3">
      <c r="B314" t="s">
        <v>1574</v>
      </c>
      <c r="C314" t="s">
        <v>2597</v>
      </c>
      <c r="D314" t="s">
        <v>2580</v>
      </c>
      <c r="E314" t="s">
        <v>2580</v>
      </c>
      <c r="F314" t="s">
        <v>2580</v>
      </c>
      <c r="G314" s="8">
        <v>1746</v>
      </c>
      <c r="H314" s="8">
        <f>+IF(BDAlquilerDepartamentos[[#This Row],[Ciudad]]="Lima",BDAlquilerDepartamentos[[#This Row],[Prec. Soles]]*0.1,BDAlquilerDepartamentos[[#This Row],[Prec. Soles]]*0.05)</f>
        <v>174.60000000000002</v>
      </c>
      <c r="I314" s="4">
        <v>3</v>
      </c>
      <c r="J314" s="4">
        <v>2</v>
      </c>
      <c r="K314" s="4" t="s">
        <v>3096</v>
      </c>
      <c r="L314" s="4" t="s">
        <v>3096</v>
      </c>
      <c r="M314" s="4">
        <v>69</v>
      </c>
      <c r="N314" s="4">
        <v>2009</v>
      </c>
      <c r="O314" s="4" t="str">
        <f>+IF(BDAlquilerDepartamentos[[#This Row],[Prec. Soles]]&gt;2500,"Caro","Economico")</f>
        <v>Economico</v>
      </c>
      <c r="P314" s="4" t="str">
        <f>+IF(AND(BDAlquilerDepartamentos[[#This Row],[N° de Dorm.]]&gt; 3,BDAlquilerDepartamentos[[#This Row],[Prec. Soles]]&lt;= 2500),"Buena Oferta", "Precio Estadar")</f>
        <v>Precio Estadar</v>
      </c>
      <c r="Q314" t="s">
        <v>1101</v>
      </c>
      <c r="R314" t="s">
        <v>1102</v>
      </c>
      <c r="S314" s="11">
        <v>44990</v>
      </c>
      <c r="T314" t="s">
        <v>2942</v>
      </c>
      <c r="U314" t="s">
        <v>1575</v>
      </c>
    </row>
    <row r="315" spans="2:21" x14ac:dyDescent="0.3">
      <c r="B315" t="s">
        <v>1576</v>
      </c>
      <c r="C315" t="s">
        <v>2598</v>
      </c>
      <c r="D315" t="s">
        <v>2430</v>
      </c>
      <c r="E315" t="s">
        <v>2580</v>
      </c>
      <c r="F315" t="s">
        <v>2580</v>
      </c>
      <c r="G315" s="8">
        <v>7</v>
      </c>
      <c r="H315" s="8">
        <f>+IF(BDAlquilerDepartamentos[[#This Row],[Ciudad]]="Lima",BDAlquilerDepartamentos[[#This Row],[Prec. Soles]]*0.1,BDAlquilerDepartamentos[[#This Row],[Prec. Soles]]*0.05)</f>
        <v>0.70000000000000007</v>
      </c>
      <c r="I315" s="4">
        <v>1</v>
      </c>
      <c r="J315" s="4">
        <v>1</v>
      </c>
      <c r="K315" s="4" t="s">
        <v>3095</v>
      </c>
      <c r="L315" s="4" t="s">
        <v>3095</v>
      </c>
      <c r="M315" s="4">
        <v>20</v>
      </c>
      <c r="N315" s="4">
        <v>2010</v>
      </c>
      <c r="O315" s="4" t="str">
        <f>+IF(BDAlquilerDepartamentos[[#This Row],[Prec. Soles]]&gt;2500,"Caro","Economico")</f>
        <v>Economico</v>
      </c>
      <c r="P315" s="4" t="str">
        <f>+IF(AND(BDAlquilerDepartamentos[[#This Row],[N° de Dorm.]]&gt; 3,BDAlquilerDepartamentos[[#This Row],[Prec. Soles]]&lt;= 2500),"Buena Oferta", "Precio Estadar")</f>
        <v>Precio Estadar</v>
      </c>
      <c r="Q315" t="s">
        <v>1115</v>
      </c>
      <c r="R315" t="s">
        <v>1102</v>
      </c>
      <c r="S315" s="11">
        <v>45627</v>
      </c>
      <c r="T315" t="s">
        <v>2943</v>
      </c>
      <c r="U315" t="s">
        <v>1577</v>
      </c>
    </row>
    <row r="316" spans="2:21" x14ac:dyDescent="0.3">
      <c r="B316" t="s">
        <v>1237</v>
      </c>
      <c r="C316" t="s">
        <v>2488</v>
      </c>
      <c r="D316" t="s">
        <v>2580</v>
      </c>
      <c r="E316" t="s">
        <v>2580</v>
      </c>
      <c r="F316" t="s">
        <v>2580</v>
      </c>
      <c r="G316" s="8">
        <v>2405</v>
      </c>
      <c r="H316" s="8">
        <f>+IF(BDAlquilerDepartamentos[[#This Row],[Ciudad]]="Lima",BDAlquilerDepartamentos[[#This Row],[Prec. Soles]]*0.1,BDAlquilerDepartamentos[[#This Row],[Prec. Soles]]*0.05)</f>
        <v>240.5</v>
      </c>
      <c r="I316" s="4">
        <v>3</v>
      </c>
      <c r="J316" s="4">
        <v>3</v>
      </c>
      <c r="K316" s="4" t="s">
        <v>3095</v>
      </c>
      <c r="L316" s="4" t="s">
        <v>3096</v>
      </c>
      <c r="M316" s="4">
        <v>165</v>
      </c>
      <c r="N316" s="4">
        <v>2013</v>
      </c>
      <c r="O316" s="4" t="str">
        <f>+IF(BDAlquilerDepartamentos[[#This Row],[Prec. Soles]]&gt;2500,"Caro","Economico")</f>
        <v>Economico</v>
      </c>
      <c r="P316" s="4" t="str">
        <f>+IF(AND(BDAlquilerDepartamentos[[#This Row],[N° de Dorm.]]&gt; 3,BDAlquilerDepartamentos[[#This Row],[Prec. Soles]]&lt;= 2500),"Buena Oferta", "Precio Estadar")</f>
        <v>Precio Estadar</v>
      </c>
      <c r="Q316" t="s">
        <v>1101</v>
      </c>
      <c r="R316" t="s">
        <v>1102</v>
      </c>
      <c r="S316" s="11">
        <v>45461</v>
      </c>
      <c r="T316" t="s">
        <v>2891</v>
      </c>
      <c r="U316" t="s">
        <v>1578</v>
      </c>
    </row>
    <row r="317" spans="2:21" x14ac:dyDescent="0.3">
      <c r="B317" t="s">
        <v>3113</v>
      </c>
      <c r="C317" t="s">
        <v>3114</v>
      </c>
      <c r="D317" t="s">
        <v>2436</v>
      </c>
      <c r="E317" t="s">
        <v>2580</v>
      </c>
      <c r="F317" t="s">
        <v>2580</v>
      </c>
      <c r="G317" s="8">
        <v>4255</v>
      </c>
      <c r="H317" s="8">
        <f>+IF(BDAlquilerDepartamentos[[#This Row],[Ciudad]]="Lima",BDAlquilerDepartamentos[[#This Row],[Prec. Soles]]*0.1,BDAlquilerDepartamentos[[#This Row],[Prec. Soles]]*0.05)</f>
        <v>425.5</v>
      </c>
      <c r="I317" s="4">
        <v>2</v>
      </c>
      <c r="J317" s="4">
        <v>2</v>
      </c>
      <c r="K317" s="4" t="s">
        <v>3095</v>
      </c>
      <c r="L317" s="4" t="s">
        <v>3096</v>
      </c>
      <c r="N317" s="4">
        <v>2012</v>
      </c>
      <c r="O317" s="4" t="str">
        <f>+IF(BDAlquilerDepartamentos[[#This Row],[Prec. Soles]]&gt;2500,"Caro","Economico")</f>
        <v>Caro</v>
      </c>
      <c r="P317" s="4" t="str">
        <f>+IF(AND(BDAlquilerDepartamentos[[#This Row],[N° de Dorm.]]&gt; 3,BDAlquilerDepartamentos[[#This Row],[Prec. Soles]]&lt;= 2500),"Buena Oferta", "Precio Estadar")</f>
        <v>Precio Estadar</v>
      </c>
      <c r="Q317" t="s">
        <v>1101</v>
      </c>
      <c r="R317" t="s">
        <v>1102</v>
      </c>
      <c r="S317" s="11">
        <v>45018</v>
      </c>
      <c r="T317" t="s">
        <v>2891</v>
      </c>
      <c r="U317" t="s">
        <v>1579</v>
      </c>
    </row>
    <row r="318" spans="2:21" x14ac:dyDescent="0.3">
      <c r="B318" t="s">
        <v>1118</v>
      </c>
      <c r="C318" t="s">
        <v>2426</v>
      </c>
      <c r="D318" t="s">
        <v>2436</v>
      </c>
      <c r="E318" t="s">
        <v>2580</v>
      </c>
      <c r="F318" t="s">
        <v>2580</v>
      </c>
      <c r="G318" s="8">
        <v>3515</v>
      </c>
      <c r="H318" s="8">
        <f>+IF(BDAlquilerDepartamentos[[#This Row],[Ciudad]]="Lima",BDAlquilerDepartamentos[[#This Row],[Prec. Soles]]*0.1,BDAlquilerDepartamentos[[#This Row],[Prec. Soles]]*0.05)</f>
        <v>351.5</v>
      </c>
      <c r="I318" s="4">
        <v>3</v>
      </c>
      <c r="J318" s="4">
        <v>3</v>
      </c>
      <c r="K318" s="4" t="s">
        <v>3096</v>
      </c>
      <c r="L318" s="4" t="s">
        <v>3096</v>
      </c>
      <c r="M318" s="4">
        <v>100</v>
      </c>
      <c r="N318" s="4">
        <v>2018</v>
      </c>
      <c r="O318" s="4" t="str">
        <f>+IF(BDAlquilerDepartamentos[[#This Row],[Prec. Soles]]&gt;2500,"Caro","Economico")</f>
        <v>Caro</v>
      </c>
      <c r="P318" s="4" t="str">
        <f>+IF(AND(BDAlquilerDepartamentos[[#This Row],[N° de Dorm.]]&gt; 3,BDAlquilerDepartamentos[[#This Row],[Prec. Soles]]&lt;= 2500),"Buena Oferta", "Precio Estadar")</f>
        <v>Precio Estadar</v>
      </c>
      <c r="Q318" t="s">
        <v>1101</v>
      </c>
      <c r="R318" t="s">
        <v>1102</v>
      </c>
      <c r="S318" s="11">
        <v>45536</v>
      </c>
      <c r="T318" t="s">
        <v>2891</v>
      </c>
      <c r="U318" t="s">
        <v>1580</v>
      </c>
    </row>
    <row r="319" spans="2:21" x14ac:dyDescent="0.3">
      <c r="B319" t="s">
        <v>3113</v>
      </c>
      <c r="C319" t="s">
        <v>3114</v>
      </c>
      <c r="D319" t="s">
        <v>2436</v>
      </c>
      <c r="E319" t="s">
        <v>2580</v>
      </c>
      <c r="F319" t="s">
        <v>2580</v>
      </c>
      <c r="G319" s="8">
        <v>3515</v>
      </c>
      <c r="H319" s="8">
        <f>+IF(BDAlquilerDepartamentos[[#This Row],[Ciudad]]="Lima",BDAlquilerDepartamentos[[#This Row],[Prec. Soles]]*0.1,BDAlquilerDepartamentos[[#This Row],[Prec. Soles]]*0.05)</f>
        <v>351.5</v>
      </c>
      <c r="I319" s="4">
        <v>1</v>
      </c>
      <c r="J319" s="4">
        <v>2</v>
      </c>
      <c r="K319" s="4" t="s">
        <v>3095</v>
      </c>
      <c r="L319" s="4" t="s">
        <v>3096</v>
      </c>
      <c r="M319" s="4">
        <v>140</v>
      </c>
      <c r="N319" s="4">
        <v>2014</v>
      </c>
      <c r="O319" s="4" t="str">
        <f>+IF(BDAlquilerDepartamentos[[#This Row],[Prec. Soles]]&gt;2500,"Caro","Economico")</f>
        <v>Caro</v>
      </c>
      <c r="P319" s="4" t="str">
        <f>+IF(AND(BDAlquilerDepartamentos[[#This Row],[N° de Dorm.]]&gt; 3,BDAlquilerDepartamentos[[#This Row],[Prec. Soles]]&lt;= 2500),"Buena Oferta", "Precio Estadar")</f>
        <v>Precio Estadar</v>
      </c>
      <c r="Q319" t="s">
        <v>1101</v>
      </c>
      <c r="R319" t="s">
        <v>1102</v>
      </c>
      <c r="S319" s="11">
        <v>45580</v>
      </c>
      <c r="T319" t="s">
        <v>2891</v>
      </c>
      <c r="U319" t="s">
        <v>1581</v>
      </c>
    </row>
    <row r="320" spans="2:21" x14ac:dyDescent="0.3">
      <c r="B320" t="s">
        <v>1582</v>
      </c>
      <c r="C320" t="s">
        <v>2599</v>
      </c>
      <c r="D320" t="s">
        <v>2478</v>
      </c>
      <c r="E320" t="s">
        <v>2580</v>
      </c>
      <c r="F320" t="s">
        <v>2580</v>
      </c>
      <c r="G320" s="8">
        <v>2200</v>
      </c>
      <c r="H320" s="8">
        <f>+IF(BDAlquilerDepartamentos[[#This Row],[Ciudad]]="Lima",BDAlquilerDepartamentos[[#This Row],[Prec. Soles]]*0.1,BDAlquilerDepartamentos[[#This Row],[Prec. Soles]]*0.05)</f>
        <v>220</v>
      </c>
      <c r="I320" s="4">
        <v>3</v>
      </c>
      <c r="J320" s="4">
        <v>2</v>
      </c>
      <c r="K320" s="4" t="s">
        <v>3095</v>
      </c>
      <c r="L320" s="4" t="s">
        <v>3096</v>
      </c>
      <c r="M320" s="4">
        <v>95</v>
      </c>
      <c r="N320" s="4">
        <v>2003</v>
      </c>
      <c r="O320" s="4" t="str">
        <f>+IF(BDAlquilerDepartamentos[[#This Row],[Prec. Soles]]&gt;2500,"Caro","Economico")</f>
        <v>Economico</v>
      </c>
      <c r="P320" s="4" t="str">
        <f>+IF(AND(BDAlquilerDepartamentos[[#This Row],[N° de Dorm.]]&gt; 3,BDAlquilerDepartamentos[[#This Row],[Prec. Soles]]&lt;= 2500),"Buena Oferta", "Precio Estadar")</f>
        <v>Precio Estadar</v>
      </c>
      <c r="Q320" t="s">
        <v>1101</v>
      </c>
      <c r="R320" t="s">
        <v>1102</v>
      </c>
      <c r="S320" s="11">
        <v>45208</v>
      </c>
      <c r="T320" t="s">
        <v>2944</v>
      </c>
      <c r="U320" t="s">
        <v>1583</v>
      </c>
    </row>
    <row r="321" spans="2:21" x14ac:dyDescent="0.3">
      <c r="B321" t="s">
        <v>1584</v>
      </c>
      <c r="C321" t="s">
        <v>2600</v>
      </c>
      <c r="D321" t="s">
        <v>2463</v>
      </c>
      <c r="E321" t="s">
        <v>2580</v>
      </c>
      <c r="F321" t="s">
        <v>2580</v>
      </c>
      <c r="G321" s="8">
        <v>3700</v>
      </c>
      <c r="H321" s="8">
        <f>+IF(BDAlquilerDepartamentos[[#This Row],[Ciudad]]="Lima",BDAlquilerDepartamentos[[#This Row],[Prec. Soles]]*0.1,BDAlquilerDepartamentos[[#This Row],[Prec. Soles]]*0.05)</f>
        <v>370</v>
      </c>
      <c r="I321" s="4">
        <v>3</v>
      </c>
      <c r="J321" s="4">
        <v>3</v>
      </c>
      <c r="K321" s="4" t="s">
        <v>3096</v>
      </c>
      <c r="L321" s="4" t="s">
        <v>3096</v>
      </c>
      <c r="M321" s="4">
        <v>125</v>
      </c>
      <c r="N321" s="4">
        <v>2014</v>
      </c>
      <c r="O321" s="4" t="str">
        <f>+IF(BDAlquilerDepartamentos[[#This Row],[Prec. Soles]]&gt;2500,"Caro","Economico")</f>
        <v>Caro</v>
      </c>
      <c r="P321" s="4" t="str">
        <f>+IF(AND(BDAlquilerDepartamentos[[#This Row],[N° de Dorm.]]&gt; 3,BDAlquilerDepartamentos[[#This Row],[Prec. Soles]]&lt;= 2500),"Buena Oferta", "Precio Estadar")</f>
        <v>Precio Estadar</v>
      </c>
      <c r="Q321" t="s">
        <v>1101</v>
      </c>
      <c r="R321" t="s">
        <v>1102</v>
      </c>
      <c r="S321" s="11">
        <v>45439</v>
      </c>
      <c r="T321" t="s">
        <v>2905</v>
      </c>
      <c r="U321" t="s">
        <v>1585</v>
      </c>
    </row>
    <row r="322" spans="2:21" x14ac:dyDescent="0.3">
      <c r="B322" t="s">
        <v>1584</v>
      </c>
      <c r="C322" t="s">
        <v>2600</v>
      </c>
      <c r="D322" t="s">
        <v>2463</v>
      </c>
      <c r="E322" t="s">
        <v>2580</v>
      </c>
      <c r="F322" t="s">
        <v>2580</v>
      </c>
      <c r="G322" s="8">
        <v>1900</v>
      </c>
      <c r="H322" s="8">
        <f>+IF(BDAlquilerDepartamentos[[#This Row],[Ciudad]]="Lima",BDAlquilerDepartamentos[[#This Row],[Prec. Soles]]*0.1,BDAlquilerDepartamentos[[#This Row],[Prec. Soles]]*0.05)</f>
        <v>190</v>
      </c>
      <c r="I322" s="4">
        <v>3</v>
      </c>
      <c r="J322" s="4">
        <v>2</v>
      </c>
      <c r="K322" s="4" t="s">
        <v>3096</v>
      </c>
      <c r="L322" s="4" t="s">
        <v>3096</v>
      </c>
      <c r="M322" s="4">
        <v>62</v>
      </c>
      <c r="N322" s="4">
        <v>2011</v>
      </c>
      <c r="O322" s="4" t="str">
        <f>+IF(BDAlquilerDepartamentos[[#This Row],[Prec. Soles]]&gt;2500,"Caro","Economico")</f>
        <v>Economico</v>
      </c>
      <c r="P322" s="4" t="str">
        <f>+IF(AND(BDAlquilerDepartamentos[[#This Row],[N° de Dorm.]]&gt; 3,BDAlquilerDepartamentos[[#This Row],[Prec. Soles]]&lt;= 2500),"Buena Oferta", "Precio Estadar")</f>
        <v>Precio Estadar</v>
      </c>
      <c r="Q322" t="s">
        <v>1101</v>
      </c>
      <c r="R322" t="s">
        <v>1102</v>
      </c>
      <c r="S322" s="11">
        <v>45122</v>
      </c>
      <c r="T322" t="s">
        <v>2821</v>
      </c>
      <c r="U322" t="s">
        <v>1586</v>
      </c>
    </row>
    <row r="323" spans="2:21" x14ac:dyDescent="0.3">
      <c r="B323" t="s">
        <v>1169</v>
      </c>
      <c r="C323" t="s">
        <v>2455</v>
      </c>
      <c r="D323" t="s">
        <v>2436</v>
      </c>
      <c r="E323" t="s">
        <v>2580</v>
      </c>
      <c r="F323" t="s">
        <v>2580</v>
      </c>
      <c r="G323" s="8">
        <v>3500</v>
      </c>
      <c r="H323" s="8">
        <f>+IF(BDAlquilerDepartamentos[[#This Row],[Ciudad]]="Lima",BDAlquilerDepartamentos[[#This Row],[Prec. Soles]]*0.1,BDAlquilerDepartamentos[[#This Row],[Prec. Soles]]*0.05)</f>
        <v>350</v>
      </c>
      <c r="I323" s="4">
        <v>3</v>
      </c>
      <c r="J323" s="4">
        <v>3</v>
      </c>
      <c r="K323" s="4" t="s">
        <v>3096</v>
      </c>
      <c r="L323" s="4" t="s">
        <v>3096</v>
      </c>
      <c r="M323" s="4">
        <v>95</v>
      </c>
      <c r="N323" s="4">
        <v>2015</v>
      </c>
      <c r="O323" s="4" t="str">
        <f>+IF(BDAlquilerDepartamentos[[#This Row],[Prec. Soles]]&gt;2500,"Caro","Economico")</f>
        <v>Caro</v>
      </c>
      <c r="P323" s="4" t="str">
        <f>+IF(AND(BDAlquilerDepartamentos[[#This Row],[N° de Dorm.]]&gt; 3,BDAlquilerDepartamentos[[#This Row],[Prec. Soles]]&lt;= 2500),"Buena Oferta", "Precio Estadar")</f>
        <v>Precio Estadar</v>
      </c>
      <c r="Q323" t="s">
        <v>1101</v>
      </c>
      <c r="R323" t="s">
        <v>1102</v>
      </c>
      <c r="S323" s="11">
        <v>45238</v>
      </c>
      <c r="T323" t="s">
        <v>2915</v>
      </c>
      <c r="U323" t="s">
        <v>1587</v>
      </c>
    </row>
    <row r="324" spans="2:21" x14ac:dyDescent="0.3">
      <c r="B324" t="s">
        <v>1189</v>
      </c>
      <c r="C324" t="s">
        <v>2465</v>
      </c>
      <c r="D324" t="s">
        <v>2418</v>
      </c>
      <c r="E324" t="s">
        <v>2580</v>
      </c>
      <c r="F324" t="s">
        <v>2580</v>
      </c>
      <c r="G324" s="8">
        <v>2590</v>
      </c>
      <c r="H324" s="8">
        <f>+IF(BDAlquilerDepartamentos[[#This Row],[Ciudad]]="Lima",BDAlquilerDepartamentos[[#This Row],[Prec. Soles]]*0.1,BDAlquilerDepartamentos[[#This Row],[Prec. Soles]]*0.05)</f>
        <v>259</v>
      </c>
      <c r="I324" s="4">
        <v>1</v>
      </c>
      <c r="J324" s="4">
        <v>1</v>
      </c>
      <c r="K324" s="4" t="s">
        <v>3096</v>
      </c>
      <c r="L324" s="4" t="s">
        <v>3096</v>
      </c>
      <c r="M324" s="4">
        <v>41</v>
      </c>
      <c r="N324" s="4">
        <v>2014</v>
      </c>
      <c r="O324" s="4" t="str">
        <f>+IF(BDAlquilerDepartamentos[[#This Row],[Prec. Soles]]&gt;2500,"Caro","Economico")</f>
        <v>Caro</v>
      </c>
      <c r="P324" s="4" t="str">
        <f>+IF(AND(BDAlquilerDepartamentos[[#This Row],[N° de Dorm.]]&gt; 3,BDAlquilerDepartamentos[[#This Row],[Prec. Soles]]&lt;= 2500),"Buena Oferta", "Precio Estadar")</f>
        <v>Precio Estadar</v>
      </c>
      <c r="Q324" t="s">
        <v>1101</v>
      </c>
      <c r="R324" t="s">
        <v>1102</v>
      </c>
      <c r="S324" s="11">
        <v>45355</v>
      </c>
      <c r="T324" t="s">
        <v>2873</v>
      </c>
      <c r="U324" t="s">
        <v>1588</v>
      </c>
    </row>
    <row r="325" spans="2:21" x14ac:dyDescent="0.3">
      <c r="B325" t="s">
        <v>1589</v>
      </c>
      <c r="C325" t="s">
        <v>2601</v>
      </c>
      <c r="D325" t="s">
        <v>3121</v>
      </c>
      <c r="E325" t="s">
        <v>2580</v>
      </c>
      <c r="F325" t="s">
        <v>2580</v>
      </c>
      <c r="G325" s="8">
        <v>2590</v>
      </c>
      <c r="H325" s="8">
        <f>+IF(BDAlquilerDepartamentos[[#This Row],[Ciudad]]="Lima",BDAlquilerDepartamentos[[#This Row],[Prec. Soles]]*0.1,BDAlquilerDepartamentos[[#This Row],[Prec. Soles]]*0.05)</f>
        <v>259</v>
      </c>
      <c r="I325" s="4">
        <v>1</v>
      </c>
      <c r="J325" s="4">
        <v>2</v>
      </c>
      <c r="K325" s="4" t="s">
        <v>3095</v>
      </c>
      <c r="L325" s="4" t="s">
        <v>3096</v>
      </c>
      <c r="M325" s="4">
        <v>60</v>
      </c>
      <c r="N325" s="4">
        <v>2014</v>
      </c>
      <c r="O325" s="4" t="str">
        <f>+IF(BDAlquilerDepartamentos[[#This Row],[Prec. Soles]]&gt;2500,"Caro","Economico")</f>
        <v>Caro</v>
      </c>
      <c r="P325" s="4" t="str">
        <f>+IF(AND(BDAlquilerDepartamentos[[#This Row],[N° de Dorm.]]&gt; 3,BDAlquilerDepartamentos[[#This Row],[Prec. Soles]]&lt;= 2500),"Buena Oferta", "Precio Estadar")</f>
        <v>Precio Estadar</v>
      </c>
      <c r="Q325" t="s">
        <v>1101</v>
      </c>
      <c r="R325" t="s">
        <v>1102</v>
      </c>
      <c r="S325" s="11">
        <v>45121</v>
      </c>
      <c r="T325" t="s">
        <v>3157</v>
      </c>
      <c r="U325" t="s">
        <v>1590</v>
      </c>
    </row>
    <row r="326" spans="2:21" x14ac:dyDescent="0.3">
      <c r="B326" t="s">
        <v>3113</v>
      </c>
      <c r="C326" t="s">
        <v>3114</v>
      </c>
      <c r="D326" t="s">
        <v>2436</v>
      </c>
      <c r="E326" t="s">
        <v>2580</v>
      </c>
      <c r="F326" t="s">
        <v>2580</v>
      </c>
      <c r="G326" s="8">
        <v>3441</v>
      </c>
      <c r="H326" s="8">
        <f>+IF(BDAlquilerDepartamentos[[#This Row],[Ciudad]]="Lima",BDAlquilerDepartamentos[[#This Row],[Prec. Soles]]*0.1,BDAlquilerDepartamentos[[#This Row],[Prec. Soles]]*0.05)</f>
        <v>344.1</v>
      </c>
      <c r="I326" s="4">
        <v>2</v>
      </c>
      <c r="J326" s="4">
        <v>3</v>
      </c>
      <c r="K326" s="4" t="s">
        <v>3095</v>
      </c>
      <c r="L326" s="4" t="s">
        <v>3095</v>
      </c>
      <c r="M326" s="4">
        <v>130</v>
      </c>
      <c r="N326" s="4">
        <v>2007</v>
      </c>
      <c r="O326" s="4" t="str">
        <f>+IF(BDAlquilerDepartamentos[[#This Row],[Prec. Soles]]&gt;2500,"Caro","Economico")</f>
        <v>Caro</v>
      </c>
      <c r="P326" s="4" t="str">
        <f>+IF(AND(BDAlquilerDepartamentos[[#This Row],[N° de Dorm.]]&gt; 3,BDAlquilerDepartamentos[[#This Row],[Prec. Soles]]&lt;= 2500),"Buena Oferta", "Precio Estadar")</f>
        <v>Precio Estadar</v>
      </c>
      <c r="Q326" t="s">
        <v>1101</v>
      </c>
      <c r="R326" t="s">
        <v>1102</v>
      </c>
      <c r="S326" s="11">
        <v>45352</v>
      </c>
      <c r="T326" t="s">
        <v>2875</v>
      </c>
      <c r="U326" t="s">
        <v>1591</v>
      </c>
    </row>
    <row r="327" spans="2:21" x14ac:dyDescent="0.3">
      <c r="B327" t="s">
        <v>1165</v>
      </c>
      <c r="C327" t="s">
        <v>2453</v>
      </c>
      <c r="D327" t="s">
        <v>2580</v>
      </c>
      <c r="E327" t="s">
        <v>2580</v>
      </c>
      <c r="F327" t="s">
        <v>2580</v>
      </c>
      <c r="G327" s="8">
        <v>4810</v>
      </c>
      <c r="H327" s="8">
        <f>+IF(BDAlquilerDepartamentos[[#This Row],[Ciudad]]="Lima",BDAlquilerDepartamentos[[#This Row],[Prec. Soles]]*0.1,BDAlquilerDepartamentos[[#This Row],[Prec. Soles]]*0.05)</f>
        <v>481</v>
      </c>
      <c r="I327" s="4">
        <v>2</v>
      </c>
      <c r="J327" s="4">
        <v>2</v>
      </c>
      <c r="K327" s="4" t="s">
        <v>3096</v>
      </c>
      <c r="L327" s="4" t="s">
        <v>3096</v>
      </c>
      <c r="M327" s="4">
        <v>154</v>
      </c>
      <c r="N327" s="4">
        <v>2008</v>
      </c>
      <c r="O327" s="4" t="str">
        <f>+IF(BDAlquilerDepartamentos[[#This Row],[Prec. Soles]]&gt;2500,"Caro","Economico")</f>
        <v>Caro</v>
      </c>
      <c r="P327" s="4" t="str">
        <f>+IF(AND(BDAlquilerDepartamentos[[#This Row],[N° de Dorm.]]&gt; 3,BDAlquilerDepartamentos[[#This Row],[Prec. Soles]]&lt;= 2500),"Buena Oferta", "Precio Estadar")</f>
        <v>Precio Estadar</v>
      </c>
      <c r="Q327" t="s">
        <v>1101</v>
      </c>
      <c r="R327" t="s">
        <v>1102</v>
      </c>
      <c r="S327" s="11">
        <v>45208</v>
      </c>
      <c r="T327" t="s">
        <v>2945</v>
      </c>
      <c r="U327" t="s">
        <v>1592</v>
      </c>
    </row>
    <row r="328" spans="2:21" x14ac:dyDescent="0.3">
      <c r="B328" t="s">
        <v>1568</v>
      </c>
      <c r="C328" t="s">
        <v>2593</v>
      </c>
      <c r="D328" t="s">
        <v>2594</v>
      </c>
      <c r="E328" t="s">
        <v>2580</v>
      </c>
      <c r="F328" t="s">
        <v>2580</v>
      </c>
      <c r="G328" s="8">
        <v>2900</v>
      </c>
      <c r="H328" s="8">
        <f>+IF(BDAlquilerDepartamentos[[#This Row],[Ciudad]]="Lima",BDAlquilerDepartamentos[[#This Row],[Prec. Soles]]*0.1,BDAlquilerDepartamentos[[#This Row],[Prec. Soles]]*0.05)</f>
        <v>290</v>
      </c>
      <c r="I328" s="4">
        <v>3</v>
      </c>
      <c r="J328" s="4">
        <v>3</v>
      </c>
      <c r="K328" s="4" t="s">
        <v>3095</v>
      </c>
      <c r="L328" s="4" t="s">
        <v>3095</v>
      </c>
      <c r="M328" s="4">
        <v>150</v>
      </c>
      <c r="N328" s="4">
        <v>2008</v>
      </c>
      <c r="O328" s="4" t="str">
        <f>+IF(BDAlquilerDepartamentos[[#This Row],[Prec. Soles]]&gt;2500,"Caro","Economico")</f>
        <v>Caro</v>
      </c>
      <c r="P328" s="4" t="str">
        <f>+IF(AND(BDAlquilerDepartamentos[[#This Row],[N° de Dorm.]]&gt; 3,BDAlquilerDepartamentos[[#This Row],[Prec. Soles]]&lt;= 2500),"Buena Oferta", "Precio Estadar")</f>
        <v>Precio Estadar</v>
      </c>
      <c r="Q328" t="s">
        <v>1101</v>
      </c>
      <c r="R328" t="s">
        <v>1102</v>
      </c>
      <c r="S328" s="11">
        <v>45264</v>
      </c>
      <c r="T328" t="s">
        <v>3091</v>
      </c>
      <c r="U328" t="s">
        <v>1593</v>
      </c>
    </row>
    <row r="329" spans="2:21" x14ac:dyDescent="0.3">
      <c r="B329" t="s">
        <v>1594</v>
      </c>
      <c r="C329" t="s">
        <v>2602</v>
      </c>
      <c r="D329" t="s">
        <v>2580</v>
      </c>
      <c r="E329" t="s">
        <v>2580</v>
      </c>
      <c r="F329" t="s">
        <v>2580</v>
      </c>
      <c r="G329" s="8">
        <v>1369</v>
      </c>
      <c r="H329" s="8">
        <f>+IF(BDAlquilerDepartamentos[[#This Row],[Ciudad]]="Lima",BDAlquilerDepartamentos[[#This Row],[Prec. Soles]]*0.1,BDAlquilerDepartamentos[[#This Row],[Prec. Soles]]*0.05)</f>
        <v>136.9</v>
      </c>
      <c r="I329" s="4">
        <v>3</v>
      </c>
      <c r="J329" s="4">
        <v>2</v>
      </c>
      <c r="K329" s="4" t="s">
        <v>3096</v>
      </c>
      <c r="L329" s="4" t="s">
        <v>3096</v>
      </c>
      <c r="M329" s="4">
        <v>85</v>
      </c>
      <c r="N329" s="4">
        <v>2018</v>
      </c>
      <c r="O329" s="4" t="str">
        <f>+IF(BDAlquilerDepartamentos[[#This Row],[Prec. Soles]]&gt;2500,"Caro","Economico")</f>
        <v>Economico</v>
      </c>
      <c r="P329" s="4" t="str">
        <f>+IF(AND(BDAlquilerDepartamentos[[#This Row],[N° de Dorm.]]&gt; 3,BDAlquilerDepartamentos[[#This Row],[Prec. Soles]]&lt;= 2500),"Buena Oferta", "Precio Estadar")</f>
        <v>Precio Estadar</v>
      </c>
      <c r="Q329" t="s">
        <v>1101</v>
      </c>
      <c r="R329" t="s">
        <v>1102</v>
      </c>
      <c r="S329" s="11">
        <v>45522</v>
      </c>
      <c r="T329" t="s">
        <v>2835</v>
      </c>
      <c r="U329" t="s">
        <v>1595</v>
      </c>
    </row>
    <row r="330" spans="2:21" x14ac:dyDescent="0.3">
      <c r="B330" t="s">
        <v>3113</v>
      </c>
      <c r="C330" t="s">
        <v>3114</v>
      </c>
      <c r="D330" t="s">
        <v>2436</v>
      </c>
      <c r="E330" t="s">
        <v>2580</v>
      </c>
      <c r="F330" t="s">
        <v>2580</v>
      </c>
      <c r="G330" s="8">
        <v>3330</v>
      </c>
      <c r="H330" s="8">
        <f>+IF(BDAlquilerDepartamentos[[#This Row],[Ciudad]]="Lima",BDAlquilerDepartamentos[[#This Row],[Prec. Soles]]*0.1,BDAlquilerDepartamentos[[#This Row],[Prec. Soles]]*0.05)</f>
        <v>333</v>
      </c>
      <c r="I330" s="4">
        <v>2</v>
      </c>
      <c r="J330" s="4">
        <v>3</v>
      </c>
      <c r="K330" s="4" t="s">
        <v>3096</v>
      </c>
      <c r="L330" s="4" t="s">
        <v>3095</v>
      </c>
      <c r="M330" s="4">
        <v>180</v>
      </c>
      <c r="N330" s="4">
        <v>2009</v>
      </c>
      <c r="O330" s="4" t="str">
        <f>+IF(BDAlquilerDepartamentos[[#This Row],[Prec. Soles]]&gt;2500,"Caro","Economico")</f>
        <v>Caro</v>
      </c>
      <c r="P330" s="4" t="str">
        <f>+IF(AND(BDAlquilerDepartamentos[[#This Row],[N° de Dorm.]]&gt; 3,BDAlquilerDepartamentos[[#This Row],[Prec. Soles]]&lt;= 2500),"Buena Oferta", "Precio Estadar")</f>
        <v>Precio Estadar</v>
      </c>
      <c r="Q330" t="s">
        <v>1101</v>
      </c>
      <c r="R330" t="s">
        <v>1102</v>
      </c>
      <c r="S330" s="11">
        <v>44978</v>
      </c>
      <c r="T330" t="s">
        <v>2946</v>
      </c>
      <c r="U330" t="s">
        <v>1596</v>
      </c>
    </row>
    <row r="331" spans="2:21" x14ac:dyDescent="0.3">
      <c r="B331" t="s">
        <v>1597</v>
      </c>
      <c r="C331" t="s">
        <v>2603</v>
      </c>
      <c r="D331" t="s">
        <v>3117</v>
      </c>
      <c r="E331" t="s">
        <v>2580</v>
      </c>
      <c r="F331" t="s">
        <v>2580</v>
      </c>
      <c r="G331" s="8">
        <v>1500</v>
      </c>
      <c r="H331" s="8">
        <f>+IF(BDAlquilerDepartamentos[[#This Row],[Ciudad]]="Lima",BDAlquilerDepartamentos[[#This Row],[Prec. Soles]]*0.1,BDAlquilerDepartamentos[[#This Row],[Prec. Soles]]*0.05)</f>
        <v>150</v>
      </c>
      <c r="I331" s="4">
        <v>3</v>
      </c>
      <c r="J331" s="4">
        <v>2</v>
      </c>
      <c r="K331" s="4" t="s">
        <v>3096</v>
      </c>
      <c r="L331" s="4" t="s">
        <v>3095</v>
      </c>
      <c r="M331" s="4">
        <v>98</v>
      </c>
      <c r="N331" s="4">
        <v>2015</v>
      </c>
      <c r="O331" s="4" t="str">
        <f>+IF(BDAlquilerDepartamentos[[#This Row],[Prec. Soles]]&gt;2500,"Caro","Economico")</f>
        <v>Economico</v>
      </c>
      <c r="P331" s="4" t="str">
        <f>+IF(AND(BDAlquilerDepartamentos[[#This Row],[N° de Dorm.]]&gt; 3,BDAlquilerDepartamentos[[#This Row],[Prec. Soles]]&lt;= 2500),"Buena Oferta", "Precio Estadar")</f>
        <v>Precio Estadar</v>
      </c>
      <c r="Q331" t="s">
        <v>1101</v>
      </c>
      <c r="R331" t="s">
        <v>1102</v>
      </c>
      <c r="S331" s="11">
        <v>45495</v>
      </c>
      <c r="T331" t="s">
        <v>2947</v>
      </c>
      <c r="U331" t="s">
        <v>1598</v>
      </c>
    </row>
    <row r="332" spans="2:21" x14ac:dyDescent="0.3">
      <c r="B332" t="s">
        <v>1195</v>
      </c>
      <c r="C332" t="s">
        <v>2468</v>
      </c>
      <c r="D332" t="s">
        <v>2428</v>
      </c>
      <c r="E332" t="s">
        <v>2580</v>
      </c>
      <c r="F332" t="s">
        <v>2580</v>
      </c>
      <c r="G332" s="8">
        <v>2923</v>
      </c>
      <c r="H332" s="8">
        <f>+IF(BDAlquilerDepartamentos[[#This Row],[Ciudad]]="Lima",BDAlquilerDepartamentos[[#This Row],[Prec. Soles]]*0.1,BDAlquilerDepartamentos[[#This Row],[Prec. Soles]]*0.05)</f>
        <v>292.3</v>
      </c>
      <c r="I332" s="4">
        <v>2</v>
      </c>
      <c r="J332" s="4">
        <v>3</v>
      </c>
      <c r="K332" s="4" t="s">
        <v>3095</v>
      </c>
      <c r="L332" s="4" t="s">
        <v>3096</v>
      </c>
      <c r="M332" s="4">
        <v>63</v>
      </c>
      <c r="N332" s="4">
        <v>2018</v>
      </c>
      <c r="O332" s="4" t="str">
        <f>+IF(BDAlquilerDepartamentos[[#This Row],[Prec. Soles]]&gt;2500,"Caro","Economico")</f>
        <v>Caro</v>
      </c>
      <c r="P332" s="4" t="str">
        <f>+IF(AND(BDAlquilerDepartamentos[[#This Row],[N° de Dorm.]]&gt; 3,BDAlquilerDepartamentos[[#This Row],[Prec. Soles]]&lt;= 2500),"Buena Oferta", "Precio Estadar")</f>
        <v>Precio Estadar</v>
      </c>
      <c r="Q332" t="s">
        <v>1101</v>
      </c>
      <c r="R332" t="s">
        <v>1102</v>
      </c>
      <c r="S332" s="11">
        <v>45618</v>
      </c>
      <c r="T332" t="s">
        <v>2860</v>
      </c>
      <c r="U332" t="s">
        <v>1599</v>
      </c>
    </row>
    <row r="333" spans="2:21" x14ac:dyDescent="0.3">
      <c r="B333" t="s">
        <v>1570</v>
      </c>
      <c r="C333" t="s">
        <v>2595</v>
      </c>
      <c r="D333" t="s">
        <v>2422</v>
      </c>
      <c r="E333" t="s">
        <v>2580</v>
      </c>
      <c r="F333" t="s">
        <v>2580</v>
      </c>
      <c r="G333" s="8">
        <v>2960</v>
      </c>
      <c r="H333" s="8">
        <f>+IF(BDAlquilerDepartamentos[[#This Row],[Ciudad]]="Lima",BDAlquilerDepartamentos[[#This Row],[Prec. Soles]]*0.1,BDAlquilerDepartamentos[[#This Row],[Prec. Soles]]*0.05)</f>
        <v>296</v>
      </c>
      <c r="I333" s="4">
        <v>2</v>
      </c>
      <c r="J333" s="4">
        <v>2</v>
      </c>
      <c r="K333" s="4" t="s">
        <v>3095</v>
      </c>
      <c r="L333" s="4" t="s">
        <v>3095</v>
      </c>
      <c r="M333" s="4">
        <v>72</v>
      </c>
      <c r="N333" s="4">
        <v>2007</v>
      </c>
      <c r="O333" s="4" t="str">
        <f>+IF(BDAlquilerDepartamentos[[#This Row],[Prec. Soles]]&gt;2500,"Caro","Economico")</f>
        <v>Caro</v>
      </c>
      <c r="P333" s="4" t="str">
        <f>+IF(AND(BDAlquilerDepartamentos[[#This Row],[N° de Dorm.]]&gt; 3,BDAlquilerDepartamentos[[#This Row],[Prec. Soles]]&lt;= 2500),"Buena Oferta", "Precio Estadar")</f>
        <v>Precio Estadar</v>
      </c>
      <c r="Q333" t="s">
        <v>1101</v>
      </c>
      <c r="R333" t="s">
        <v>1102</v>
      </c>
      <c r="S333" s="11">
        <v>45652</v>
      </c>
      <c r="T333" t="s">
        <v>2843</v>
      </c>
      <c r="U333" t="s">
        <v>1600</v>
      </c>
    </row>
    <row r="334" spans="2:21" x14ac:dyDescent="0.3">
      <c r="B334" t="s">
        <v>1601</v>
      </c>
      <c r="C334" t="s">
        <v>2604</v>
      </c>
      <c r="D334" t="s">
        <v>2689</v>
      </c>
      <c r="E334" t="s">
        <v>2689</v>
      </c>
      <c r="F334" t="s">
        <v>2689</v>
      </c>
      <c r="G334" s="8">
        <v>5920</v>
      </c>
      <c r="H334" s="8">
        <f>+IF(BDAlquilerDepartamentos[[#This Row],[Ciudad]]="Lima",BDAlquilerDepartamentos[[#This Row],[Prec. Soles]]*0.1,BDAlquilerDepartamentos[[#This Row],[Prec. Soles]]*0.05)</f>
        <v>296</v>
      </c>
      <c r="I334" s="4">
        <v>3</v>
      </c>
      <c r="J334" s="4">
        <v>5</v>
      </c>
      <c r="K334" s="4" t="s">
        <v>3095</v>
      </c>
      <c r="L334" s="4" t="s">
        <v>3096</v>
      </c>
      <c r="M334" s="4">
        <v>250</v>
      </c>
      <c r="N334" s="4">
        <v>2005</v>
      </c>
      <c r="O334" s="4" t="str">
        <f>+IF(BDAlquilerDepartamentos[[#This Row],[Prec. Soles]]&gt;2500,"Caro","Economico")</f>
        <v>Caro</v>
      </c>
      <c r="P334" s="4" t="str">
        <f>+IF(AND(BDAlquilerDepartamentos[[#This Row],[N° de Dorm.]]&gt; 3,BDAlquilerDepartamentos[[#This Row],[Prec. Soles]]&lt;= 2500),"Buena Oferta", "Precio Estadar")</f>
        <v>Precio Estadar</v>
      </c>
      <c r="Q334" t="s">
        <v>1101</v>
      </c>
      <c r="R334" t="s">
        <v>1102</v>
      </c>
      <c r="S334" s="11">
        <v>45053</v>
      </c>
      <c r="T334" t="s">
        <v>2889</v>
      </c>
      <c r="U334" t="s">
        <v>1602</v>
      </c>
    </row>
    <row r="335" spans="2:21" x14ac:dyDescent="0.3">
      <c r="B335" t="s">
        <v>1118</v>
      </c>
      <c r="C335" t="s">
        <v>2426</v>
      </c>
      <c r="D335" t="s">
        <v>2436</v>
      </c>
      <c r="E335" t="s">
        <v>2580</v>
      </c>
      <c r="F335" t="s">
        <v>2580</v>
      </c>
      <c r="G335" s="8">
        <v>9250</v>
      </c>
      <c r="H335" s="8">
        <f>+IF(BDAlquilerDepartamentos[[#This Row],[Ciudad]]="Lima",BDAlquilerDepartamentos[[#This Row],[Prec. Soles]]*0.1,BDAlquilerDepartamentos[[#This Row],[Prec. Soles]]*0.05)</f>
        <v>925</v>
      </c>
      <c r="I335" s="4">
        <v>3</v>
      </c>
      <c r="J335" s="4">
        <v>4</v>
      </c>
      <c r="K335" s="4" t="s">
        <v>3096</v>
      </c>
      <c r="L335" s="4" t="s">
        <v>3096</v>
      </c>
      <c r="M335" s="4">
        <v>200</v>
      </c>
      <c r="N335" s="4">
        <v>2011</v>
      </c>
      <c r="O335" s="4" t="str">
        <f>+IF(BDAlquilerDepartamentos[[#This Row],[Prec. Soles]]&gt;2500,"Caro","Economico")</f>
        <v>Caro</v>
      </c>
      <c r="P335" s="4" t="str">
        <f>+IF(AND(BDAlquilerDepartamentos[[#This Row],[N° de Dorm.]]&gt; 3,BDAlquilerDepartamentos[[#This Row],[Prec. Soles]]&lt;= 2500),"Buena Oferta", "Precio Estadar")</f>
        <v>Precio Estadar</v>
      </c>
      <c r="Q335" t="s">
        <v>1101</v>
      </c>
      <c r="R335" t="s">
        <v>1102</v>
      </c>
      <c r="S335" s="11">
        <v>45402</v>
      </c>
      <c r="T335" t="s">
        <v>2948</v>
      </c>
      <c r="U335" t="s">
        <v>1603</v>
      </c>
    </row>
    <row r="336" spans="2:21" x14ac:dyDescent="0.3">
      <c r="B336" t="s">
        <v>1459</v>
      </c>
      <c r="C336" t="s">
        <v>2563</v>
      </c>
      <c r="D336" t="s">
        <v>2473</v>
      </c>
      <c r="E336" t="s">
        <v>2473</v>
      </c>
      <c r="F336" t="s">
        <v>2473</v>
      </c>
      <c r="G336" s="8">
        <v>1300</v>
      </c>
      <c r="H336" s="8">
        <f>+IF(BDAlquilerDepartamentos[[#This Row],[Ciudad]]="Lima",BDAlquilerDepartamentos[[#This Row],[Prec. Soles]]*0.1,BDAlquilerDepartamentos[[#This Row],[Prec. Soles]]*0.05)</f>
        <v>65</v>
      </c>
      <c r="I336" s="4">
        <v>2</v>
      </c>
      <c r="J336" s="4">
        <v>2</v>
      </c>
      <c r="K336" s="4" t="s">
        <v>3095</v>
      </c>
      <c r="L336" s="4" t="s">
        <v>3096</v>
      </c>
      <c r="M336" s="4">
        <v>69</v>
      </c>
      <c r="N336" s="4">
        <v>2013</v>
      </c>
      <c r="O336" s="4" t="str">
        <f>+IF(BDAlquilerDepartamentos[[#This Row],[Prec. Soles]]&gt;2500,"Caro","Economico")</f>
        <v>Economico</v>
      </c>
      <c r="P336" s="4" t="str">
        <f>+IF(AND(BDAlquilerDepartamentos[[#This Row],[N° de Dorm.]]&gt; 3,BDAlquilerDepartamentos[[#This Row],[Prec. Soles]]&lt;= 2500),"Buena Oferta", "Precio Estadar")</f>
        <v>Precio Estadar</v>
      </c>
      <c r="Q336" t="s">
        <v>1101</v>
      </c>
      <c r="R336" t="s">
        <v>1102</v>
      </c>
      <c r="S336" s="11">
        <v>45015</v>
      </c>
      <c r="T336" t="s">
        <v>2949</v>
      </c>
      <c r="U336" t="s">
        <v>1604</v>
      </c>
    </row>
    <row r="337" spans="2:21" x14ac:dyDescent="0.3">
      <c r="B337" t="s">
        <v>1169</v>
      </c>
      <c r="C337" t="s">
        <v>2455</v>
      </c>
      <c r="D337" t="s">
        <v>2436</v>
      </c>
      <c r="E337" t="s">
        <v>2580</v>
      </c>
      <c r="F337" t="s">
        <v>2580</v>
      </c>
      <c r="G337" s="8">
        <v>3100</v>
      </c>
      <c r="H337" s="8">
        <f>+IF(BDAlquilerDepartamentos[[#This Row],[Ciudad]]="Lima",BDAlquilerDepartamentos[[#This Row],[Prec. Soles]]*0.1,BDAlquilerDepartamentos[[#This Row],[Prec. Soles]]*0.05)</f>
        <v>310</v>
      </c>
      <c r="I337" s="4">
        <v>3</v>
      </c>
      <c r="J337" s="4">
        <v>3</v>
      </c>
      <c r="K337" s="4" t="s">
        <v>3096</v>
      </c>
      <c r="L337" s="4" t="s">
        <v>3095</v>
      </c>
      <c r="M337" s="4">
        <v>103</v>
      </c>
      <c r="N337" s="4">
        <v>2008</v>
      </c>
      <c r="O337" s="4" t="str">
        <f>+IF(BDAlquilerDepartamentos[[#This Row],[Prec. Soles]]&gt;2500,"Caro","Economico")</f>
        <v>Caro</v>
      </c>
      <c r="P337" s="4" t="str">
        <f>+IF(AND(BDAlquilerDepartamentos[[#This Row],[N° de Dorm.]]&gt; 3,BDAlquilerDepartamentos[[#This Row],[Prec. Soles]]&lt;= 2500),"Buena Oferta", "Precio Estadar")</f>
        <v>Precio Estadar</v>
      </c>
      <c r="Q337" t="s">
        <v>1101</v>
      </c>
      <c r="R337" t="s">
        <v>1102</v>
      </c>
      <c r="S337" s="11">
        <v>45566</v>
      </c>
      <c r="T337" t="s">
        <v>2834</v>
      </c>
      <c r="U337" t="s">
        <v>1605</v>
      </c>
    </row>
    <row r="338" spans="2:21" x14ac:dyDescent="0.3">
      <c r="B338" t="s">
        <v>1235</v>
      </c>
      <c r="C338" t="s">
        <v>2487</v>
      </c>
      <c r="D338" t="s">
        <v>2485</v>
      </c>
      <c r="E338" t="s">
        <v>2580</v>
      </c>
      <c r="F338" t="s">
        <v>2580</v>
      </c>
      <c r="G338" s="8">
        <v>1400</v>
      </c>
      <c r="H338" s="8">
        <f>+IF(BDAlquilerDepartamentos[[#This Row],[Ciudad]]="Lima",BDAlquilerDepartamentos[[#This Row],[Prec. Soles]]*0.1,BDAlquilerDepartamentos[[#This Row],[Prec. Soles]]*0.05)</f>
        <v>140</v>
      </c>
      <c r="I338" s="4">
        <v>2</v>
      </c>
      <c r="J338" s="4">
        <v>2</v>
      </c>
      <c r="K338" s="4" t="s">
        <v>3095</v>
      </c>
      <c r="L338" s="4" t="s">
        <v>3095</v>
      </c>
      <c r="M338" s="4">
        <v>50</v>
      </c>
      <c r="N338" s="4">
        <v>2008</v>
      </c>
      <c r="O338" s="4" t="str">
        <f>+IF(BDAlquilerDepartamentos[[#This Row],[Prec. Soles]]&gt;2500,"Caro","Economico")</f>
        <v>Economico</v>
      </c>
      <c r="P338" s="4" t="str">
        <f>+IF(AND(BDAlquilerDepartamentos[[#This Row],[N° de Dorm.]]&gt; 3,BDAlquilerDepartamentos[[#This Row],[Prec. Soles]]&lt;= 2500),"Buena Oferta", "Precio Estadar")</f>
        <v>Precio Estadar</v>
      </c>
      <c r="Q338" t="s">
        <v>1101</v>
      </c>
      <c r="R338" t="s">
        <v>1102</v>
      </c>
      <c r="S338" s="11">
        <v>45206</v>
      </c>
      <c r="T338" t="s">
        <v>2944</v>
      </c>
      <c r="U338" t="s">
        <v>1606</v>
      </c>
    </row>
    <row r="339" spans="2:21" x14ac:dyDescent="0.3">
      <c r="B339" t="s">
        <v>1133</v>
      </c>
      <c r="C339" t="s">
        <v>2437</v>
      </c>
      <c r="D339" t="s">
        <v>2436</v>
      </c>
      <c r="E339" t="s">
        <v>2580</v>
      </c>
      <c r="F339" t="s">
        <v>2580</v>
      </c>
      <c r="G339" s="8">
        <v>4440</v>
      </c>
      <c r="H339" s="8">
        <f>+IF(BDAlquilerDepartamentos[[#This Row],[Ciudad]]="Lima",BDAlquilerDepartamentos[[#This Row],[Prec. Soles]]*0.1,BDAlquilerDepartamentos[[#This Row],[Prec. Soles]]*0.05)</f>
        <v>444</v>
      </c>
      <c r="I339" s="4">
        <v>3</v>
      </c>
      <c r="J339" s="4">
        <v>2</v>
      </c>
      <c r="K339" s="4" t="s">
        <v>3096</v>
      </c>
      <c r="L339" s="4" t="s">
        <v>3095</v>
      </c>
      <c r="M339" s="4">
        <v>150</v>
      </c>
      <c r="N339" s="4">
        <v>2017</v>
      </c>
      <c r="O339" s="4" t="str">
        <f>+IF(BDAlquilerDepartamentos[[#This Row],[Prec. Soles]]&gt;2500,"Caro","Economico")</f>
        <v>Caro</v>
      </c>
      <c r="P339" s="4" t="str">
        <f>+IF(AND(BDAlquilerDepartamentos[[#This Row],[N° de Dorm.]]&gt; 3,BDAlquilerDepartamentos[[#This Row],[Prec. Soles]]&lt;= 2500),"Buena Oferta", "Precio Estadar")</f>
        <v>Precio Estadar</v>
      </c>
      <c r="Q339" t="s">
        <v>1101</v>
      </c>
      <c r="R339" t="s">
        <v>1102</v>
      </c>
      <c r="S339" s="11">
        <v>45614</v>
      </c>
      <c r="T339" t="s">
        <v>2833</v>
      </c>
      <c r="U339" t="s">
        <v>1607</v>
      </c>
    </row>
    <row r="340" spans="2:21" x14ac:dyDescent="0.3">
      <c r="B340" t="s">
        <v>1100</v>
      </c>
      <c r="C340" t="s">
        <v>2415</v>
      </c>
      <c r="D340" t="s">
        <v>2436</v>
      </c>
      <c r="E340" t="s">
        <v>2580</v>
      </c>
      <c r="F340" t="s">
        <v>2580</v>
      </c>
      <c r="G340" s="8">
        <v>7400</v>
      </c>
      <c r="H340" s="8">
        <f>+IF(BDAlquilerDepartamentos[[#This Row],[Ciudad]]="Lima",BDAlquilerDepartamentos[[#This Row],[Prec. Soles]]*0.1,BDAlquilerDepartamentos[[#This Row],[Prec. Soles]]*0.05)</f>
        <v>740</v>
      </c>
      <c r="I340" s="4">
        <v>3</v>
      </c>
      <c r="J340" s="4">
        <v>2</v>
      </c>
      <c r="K340" s="4" t="s">
        <v>3096</v>
      </c>
      <c r="L340" s="4" t="s">
        <v>3096</v>
      </c>
      <c r="M340" s="4">
        <v>175</v>
      </c>
      <c r="N340" s="4">
        <v>2007</v>
      </c>
      <c r="O340" s="4" t="str">
        <f>+IF(BDAlquilerDepartamentos[[#This Row],[Prec. Soles]]&gt;2500,"Caro","Economico")</f>
        <v>Caro</v>
      </c>
      <c r="P340" s="4" t="str">
        <f>+IF(AND(BDAlquilerDepartamentos[[#This Row],[N° de Dorm.]]&gt; 3,BDAlquilerDepartamentos[[#This Row],[Prec. Soles]]&lt;= 2500),"Buena Oferta", "Precio Estadar")</f>
        <v>Precio Estadar</v>
      </c>
      <c r="Q340" t="s">
        <v>1101</v>
      </c>
      <c r="R340" t="s">
        <v>1102</v>
      </c>
      <c r="S340" s="11">
        <v>45135</v>
      </c>
      <c r="T340" t="s">
        <v>2884</v>
      </c>
      <c r="U340" t="s">
        <v>1608</v>
      </c>
    </row>
    <row r="341" spans="2:21" x14ac:dyDescent="0.3">
      <c r="B341" t="s">
        <v>1191</v>
      </c>
      <c r="C341" t="s">
        <v>2466</v>
      </c>
      <c r="D341" t="s">
        <v>2436</v>
      </c>
      <c r="E341" t="s">
        <v>2580</v>
      </c>
      <c r="F341" t="s">
        <v>2580</v>
      </c>
      <c r="G341" s="8">
        <v>3700</v>
      </c>
      <c r="H341" s="8">
        <f>+IF(BDAlquilerDepartamentos[[#This Row],[Ciudad]]="Lima",BDAlquilerDepartamentos[[#This Row],[Prec. Soles]]*0.1,BDAlquilerDepartamentos[[#This Row],[Prec. Soles]]*0.05)</f>
        <v>370</v>
      </c>
      <c r="I341" s="4">
        <v>2</v>
      </c>
      <c r="J341" s="4">
        <v>3</v>
      </c>
      <c r="K341" s="4" t="s">
        <v>3096</v>
      </c>
      <c r="L341" s="4" t="s">
        <v>3095</v>
      </c>
      <c r="M341" s="4">
        <v>106</v>
      </c>
      <c r="N341" s="4">
        <v>2012</v>
      </c>
      <c r="O341" s="4" t="str">
        <f>+IF(BDAlquilerDepartamentos[[#This Row],[Prec. Soles]]&gt;2500,"Caro","Economico")</f>
        <v>Caro</v>
      </c>
      <c r="P341" s="4" t="str">
        <f>+IF(AND(BDAlquilerDepartamentos[[#This Row],[N° de Dorm.]]&gt; 3,BDAlquilerDepartamentos[[#This Row],[Prec. Soles]]&lt;= 2500),"Buena Oferta", "Precio Estadar")</f>
        <v>Precio Estadar</v>
      </c>
      <c r="Q341" t="s">
        <v>1101</v>
      </c>
      <c r="R341" t="s">
        <v>1102</v>
      </c>
      <c r="S341" s="11">
        <v>45557</v>
      </c>
      <c r="T341" t="s">
        <v>2950</v>
      </c>
      <c r="U341" t="s">
        <v>1609</v>
      </c>
    </row>
    <row r="342" spans="2:21" x14ac:dyDescent="0.3">
      <c r="B342" t="s">
        <v>1418</v>
      </c>
      <c r="C342" t="s">
        <v>2551</v>
      </c>
      <c r="D342" t="s">
        <v>2501</v>
      </c>
      <c r="E342" t="s">
        <v>2580</v>
      </c>
      <c r="F342" t="s">
        <v>2580</v>
      </c>
      <c r="G342" s="8">
        <v>2200</v>
      </c>
      <c r="H342" s="8">
        <f>+IF(BDAlquilerDepartamentos[[#This Row],[Ciudad]]="Lima",BDAlquilerDepartamentos[[#This Row],[Prec. Soles]]*0.1,BDAlquilerDepartamentos[[#This Row],[Prec. Soles]]*0.05)</f>
        <v>220</v>
      </c>
      <c r="I342" s="4">
        <v>3</v>
      </c>
      <c r="J342" s="4">
        <v>2</v>
      </c>
      <c r="K342" s="4" t="s">
        <v>3096</v>
      </c>
      <c r="L342" s="4" t="s">
        <v>3095</v>
      </c>
      <c r="M342" s="4">
        <v>112</v>
      </c>
      <c r="N342" s="4">
        <v>2006</v>
      </c>
      <c r="O342" s="4" t="str">
        <f>+IF(BDAlquilerDepartamentos[[#This Row],[Prec. Soles]]&gt;2500,"Caro","Economico")</f>
        <v>Economico</v>
      </c>
      <c r="P342" s="4" t="str">
        <f>+IF(AND(BDAlquilerDepartamentos[[#This Row],[N° de Dorm.]]&gt; 3,BDAlquilerDepartamentos[[#This Row],[Prec. Soles]]&lt;= 2500),"Buena Oferta", "Precio Estadar")</f>
        <v>Precio Estadar</v>
      </c>
      <c r="Q342" t="s">
        <v>1101</v>
      </c>
      <c r="R342" t="s">
        <v>1102</v>
      </c>
      <c r="S342" s="11">
        <v>45388</v>
      </c>
      <c r="T342" t="s">
        <v>2821</v>
      </c>
      <c r="U342" t="s">
        <v>1610</v>
      </c>
    </row>
    <row r="343" spans="2:21" x14ac:dyDescent="0.3">
      <c r="B343" t="s">
        <v>1381</v>
      </c>
      <c r="C343" t="s">
        <v>2537</v>
      </c>
      <c r="D343" t="s">
        <v>2428</v>
      </c>
      <c r="E343" t="s">
        <v>2580</v>
      </c>
      <c r="F343" t="s">
        <v>2580</v>
      </c>
      <c r="G343" s="8">
        <v>4625</v>
      </c>
      <c r="H343" s="8">
        <f>+IF(BDAlquilerDepartamentos[[#This Row],[Ciudad]]="Lima",BDAlquilerDepartamentos[[#This Row],[Prec. Soles]]*0.1,BDAlquilerDepartamentos[[#This Row],[Prec. Soles]]*0.05)</f>
        <v>462.5</v>
      </c>
      <c r="I343" s="4">
        <v>3</v>
      </c>
      <c r="J343" s="4">
        <v>2</v>
      </c>
      <c r="K343" s="4" t="s">
        <v>3095</v>
      </c>
      <c r="L343" s="4" t="s">
        <v>3095</v>
      </c>
      <c r="M343" s="4">
        <v>150</v>
      </c>
      <c r="N343" s="4">
        <v>2016</v>
      </c>
      <c r="O343" s="4" t="str">
        <f>+IF(BDAlquilerDepartamentos[[#This Row],[Prec. Soles]]&gt;2500,"Caro","Economico")</f>
        <v>Caro</v>
      </c>
      <c r="P343" s="4" t="str">
        <f>+IF(AND(BDAlquilerDepartamentos[[#This Row],[N° de Dorm.]]&gt; 3,BDAlquilerDepartamentos[[#This Row],[Prec. Soles]]&lt;= 2500),"Buena Oferta", "Precio Estadar")</f>
        <v>Precio Estadar</v>
      </c>
      <c r="Q343" t="s">
        <v>1101</v>
      </c>
      <c r="R343" t="s">
        <v>1102</v>
      </c>
      <c r="S343" s="11">
        <v>45236</v>
      </c>
      <c r="T343" t="s">
        <v>2844</v>
      </c>
      <c r="U343" t="s">
        <v>1611</v>
      </c>
    </row>
    <row r="344" spans="2:21" x14ac:dyDescent="0.3">
      <c r="B344" t="s">
        <v>1133</v>
      </c>
      <c r="C344" t="s">
        <v>2437</v>
      </c>
      <c r="D344" t="s">
        <v>2435</v>
      </c>
      <c r="E344" t="s">
        <v>2580</v>
      </c>
      <c r="F344" t="s">
        <v>2580</v>
      </c>
      <c r="G344" s="8">
        <v>2800</v>
      </c>
      <c r="H344" s="8">
        <f>+IF(BDAlquilerDepartamentos[[#This Row],[Ciudad]]="Lima",BDAlquilerDepartamentos[[#This Row],[Prec. Soles]]*0.1,BDAlquilerDepartamentos[[#This Row],[Prec. Soles]]*0.05)</f>
        <v>280</v>
      </c>
      <c r="I344" s="4">
        <v>2</v>
      </c>
      <c r="J344" s="4">
        <v>2</v>
      </c>
      <c r="K344" s="4" t="s">
        <v>3096</v>
      </c>
      <c r="L344" s="4" t="s">
        <v>3096</v>
      </c>
      <c r="M344" s="4">
        <v>78</v>
      </c>
      <c r="N344" s="4">
        <v>2014</v>
      </c>
      <c r="O344" s="4" t="str">
        <f>+IF(BDAlquilerDepartamentos[[#This Row],[Prec. Soles]]&gt;2500,"Caro","Economico")</f>
        <v>Caro</v>
      </c>
      <c r="P344" s="4" t="str">
        <f>+IF(AND(BDAlquilerDepartamentos[[#This Row],[N° de Dorm.]]&gt; 3,BDAlquilerDepartamentos[[#This Row],[Prec. Soles]]&lt;= 2500),"Buena Oferta", "Precio Estadar")</f>
        <v>Precio Estadar</v>
      </c>
      <c r="Q344" t="s">
        <v>1101</v>
      </c>
      <c r="R344" t="s">
        <v>1102</v>
      </c>
      <c r="S344" s="11">
        <v>45374</v>
      </c>
      <c r="T344" t="s">
        <v>2873</v>
      </c>
      <c r="U344" t="s">
        <v>1612</v>
      </c>
    </row>
    <row r="345" spans="2:21" x14ac:dyDescent="0.3">
      <c r="B345" t="s">
        <v>1613</v>
      </c>
      <c r="C345" t="s">
        <v>2605</v>
      </c>
      <c r="D345" t="s">
        <v>2478</v>
      </c>
      <c r="E345" t="s">
        <v>2580</v>
      </c>
      <c r="F345" t="s">
        <v>2580</v>
      </c>
      <c r="G345" s="8">
        <v>1400</v>
      </c>
      <c r="H345" s="8">
        <f>+IF(BDAlquilerDepartamentos[[#This Row],[Ciudad]]="Lima",BDAlquilerDepartamentos[[#This Row],[Prec. Soles]]*0.1,BDAlquilerDepartamentos[[#This Row],[Prec. Soles]]*0.05)</f>
        <v>140</v>
      </c>
      <c r="I345" s="4">
        <v>2</v>
      </c>
      <c r="J345" s="4">
        <v>2</v>
      </c>
      <c r="K345" s="4" t="s">
        <v>3095</v>
      </c>
      <c r="L345" s="4" t="s">
        <v>3096</v>
      </c>
      <c r="M345" s="4">
        <v>75</v>
      </c>
      <c r="N345" s="4">
        <v>2010</v>
      </c>
      <c r="O345" s="4" t="str">
        <f>+IF(BDAlquilerDepartamentos[[#This Row],[Prec. Soles]]&gt;2500,"Caro","Economico")</f>
        <v>Economico</v>
      </c>
      <c r="P345" s="4" t="str">
        <f>+IF(AND(BDAlquilerDepartamentos[[#This Row],[N° de Dorm.]]&gt; 3,BDAlquilerDepartamentos[[#This Row],[Prec. Soles]]&lt;= 2500),"Buena Oferta", "Precio Estadar")</f>
        <v>Precio Estadar</v>
      </c>
      <c r="Q345" t="s">
        <v>1101</v>
      </c>
      <c r="R345" t="s">
        <v>1102</v>
      </c>
      <c r="S345" s="11">
        <v>45016</v>
      </c>
      <c r="T345" t="s">
        <v>2851</v>
      </c>
      <c r="U345" t="s">
        <v>1614</v>
      </c>
    </row>
    <row r="346" spans="2:21" x14ac:dyDescent="0.3">
      <c r="B346" t="s">
        <v>1326</v>
      </c>
      <c r="C346" t="s">
        <v>2521</v>
      </c>
      <c r="D346" t="s">
        <v>2444</v>
      </c>
      <c r="E346" t="s">
        <v>2580</v>
      </c>
      <c r="F346" t="s">
        <v>2580</v>
      </c>
      <c r="G346" s="8">
        <v>4255</v>
      </c>
      <c r="H346" s="8">
        <f>+IF(BDAlquilerDepartamentos[[#This Row],[Ciudad]]="Lima",BDAlquilerDepartamentos[[#This Row],[Prec. Soles]]*0.1,BDAlquilerDepartamentos[[#This Row],[Prec. Soles]]*0.05)</f>
        <v>425.5</v>
      </c>
      <c r="I346" s="4">
        <v>3</v>
      </c>
      <c r="J346" s="4">
        <v>3</v>
      </c>
      <c r="K346" s="4" t="s">
        <v>3096</v>
      </c>
      <c r="L346" s="4" t="s">
        <v>3096</v>
      </c>
      <c r="M346" s="4">
        <v>139</v>
      </c>
      <c r="N346" s="4">
        <v>2006</v>
      </c>
      <c r="O346" s="4" t="str">
        <f>+IF(BDAlquilerDepartamentos[[#This Row],[Prec. Soles]]&gt;2500,"Caro","Economico")</f>
        <v>Caro</v>
      </c>
      <c r="P346" s="4" t="str">
        <f>+IF(AND(BDAlquilerDepartamentos[[#This Row],[N° de Dorm.]]&gt; 3,BDAlquilerDepartamentos[[#This Row],[Prec. Soles]]&lt;= 2500),"Buena Oferta", "Precio Estadar")</f>
        <v>Precio Estadar</v>
      </c>
      <c r="Q346" t="s">
        <v>1101</v>
      </c>
      <c r="R346" t="s">
        <v>1102</v>
      </c>
      <c r="S346" s="11">
        <v>45059</v>
      </c>
      <c r="T346" t="s">
        <v>2830</v>
      </c>
      <c r="U346" t="s">
        <v>1615</v>
      </c>
    </row>
    <row r="347" spans="2:21" x14ac:dyDescent="0.3">
      <c r="B347" t="s">
        <v>1216</v>
      </c>
      <c r="C347" t="s">
        <v>2462</v>
      </c>
      <c r="D347" t="s">
        <v>2463</v>
      </c>
      <c r="E347" t="s">
        <v>2580</v>
      </c>
      <c r="F347" t="s">
        <v>2580</v>
      </c>
      <c r="G347" s="8">
        <v>1739</v>
      </c>
      <c r="H347" s="8">
        <f>+IF(BDAlquilerDepartamentos[[#This Row],[Ciudad]]="Lima",BDAlquilerDepartamentos[[#This Row],[Prec. Soles]]*0.1,BDAlquilerDepartamentos[[#This Row],[Prec. Soles]]*0.05)</f>
        <v>173.9</v>
      </c>
      <c r="I347" s="4">
        <v>2</v>
      </c>
      <c r="J347" s="4">
        <v>1</v>
      </c>
      <c r="K347" s="4" t="s">
        <v>3095</v>
      </c>
      <c r="L347" s="4" t="s">
        <v>3095</v>
      </c>
      <c r="M347" s="4">
        <v>45</v>
      </c>
      <c r="N347" s="4">
        <v>2007</v>
      </c>
      <c r="O347" s="4" t="str">
        <f>+IF(BDAlquilerDepartamentos[[#This Row],[Prec. Soles]]&gt;2500,"Caro","Economico")</f>
        <v>Economico</v>
      </c>
      <c r="P347" s="4" t="str">
        <f>+IF(AND(BDAlquilerDepartamentos[[#This Row],[N° de Dorm.]]&gt; 3,BDAlquilerDepartamentos[[#This Row],[Prec. Soles]]&lt;= 2500),"Buena Oferta", "Precio Estadar")</f>
        <v>Precio Estadar</v>
      </c>
      <c r="Q347" t="s">
        <v>1101</v>
      </c>
      <c r="R347" t="s">
        <v>1102</v>
      </c>
      <c r="S347" s="11">
        <v>45588</v>
      </c>
      <c r="T347" t="s">
        <v>2893</v>
      </c>
      <c r="U347" t="s">
        <v>1616</v>
      </c>
    </row>
    <row r="348" spans="2:21" x14ac:dyDescent="0.3">
      <c r="B348" t="s">
        <v>1617</v>
      </c>
      <c r="C348" t="s">
        <v>2606</v>
      </c>
      <c r="D348" t="s">
        <v>2689</v>
      </c>
      <c r="E348" t="s">
        <v>3129</v>
      </c>
      <c r="F348" t="s">
        <v>3129</v>
      </c>
      <c r="G348" s="8">
        <v>3000</v>
      </c>
      <c r="H348" s="8">
        <f>+IF(BDAlquilerDepartamentos[[#This Row],[Ciudad]]="Lima",BDAlquilerDepartamentos[[#This Row],[Prec. Soles]]*0.1,BDAlquilerDepartamentos[[#This Row],[Prec. Soles]]*0.05)</f>
        <v>150</v>
      </c>
      <c r="I348" s="4">
        <v>3</v>
      </c>
      <c r="J348" s="4">
        <v>3</v>
      </c>
      <c r="K348" s="4" t="s">
        <v>3096</v>
      </c>
      <c r="L348" s="4" t="s">
        <v>3095</v>
      </c>
      <c r="M348" s="4">
        <v>165</v>
      </c>
      <c r="N348" s="4">
        <v>2013</v>
      </c>
      <c r="O348" s="4" t="str">
        <f>+IF(BDAlquilerDepartamentos[[#This Row],[Prec. Soles]]&gt;2500,"Caro","Economico")</f>
        <v>Caro</v>
      </c>
      <c r="P348" s="4" t="str">
        <f>+IF(AND(BDAlquilerDepartamentos[[#This Row],[N° de Dorm.]]&gt; 3,BDAlquilerDepartamentos[[#This Row],[Prec. Soles]]&lt;= 2500),"Buena Oferta", "Precio Estadar")</f>
        <v>Precio Estadar</v>
      </c>
      <c r="Q348" t="s">
        <v>1113</v>
      </c>
      <c r="R348" t="s">
        <v>1102</v>
      </c>
      <c r="S348" s="11">
        <v>45514</v>
      </c>
      <c r="T348" t="s">
        <v>2951</v>
      </c>
      <c r="U348" t="s">
        <v>1618</v>
      </c>
    </row>
    <row r="349" spans="2:21" x14ac:dyDescent="0.3">
      <c r="B349" t="s">
        <v>1619</v>
      </c>
      <c r="C349" t="s">
        <v>2607</v>
      </c>
      <c r="D349" t="s">
        <v>2418</v>
      </c>
      <c r="E349" t="s">
        <v>2580</v>
      </c>
      <c r="F349" t="s">
        <v>2580</v>
      </c>
      <c r="G349" s="8">
        <v>2849</v>
      </c>
      <c r="H349" s="8">
        <f>+IF(BDAlquilerDepartamentos[[#This Row],[Ciudad]]="Lima",BDAlquilerDepartamentos[[#This Row],[Prec. Soles]]*0.1,BDAlquilerDepartamentos[[#This Row],[Prec. Soles]]*0.05)</f>
        <v>284.90000000000003</v>
      </c>
      <c r="I349" s="4">
        <v>1</v>
      </c>
      <c r="J349" s="4">
        <v>1</v>
      </c>
      <c r="K349" s="4" t="s">
        <v>3095</v>
      </c>
      <c r="L349" s="4" t="s">
        <v>3096</v>
      </c>
      <c r="M349" s="4">
        <v>45</v>
      </c>
      <c r="N349" s="4">
        <v>2017</v>
      </c>
      <c r="O349" s="4" t="str">
        <f>+IF(BDAlquilerDepartamentos[[#This Row],[Prec. Soles]]&gt;2500,"Caro","Economico")</f>
        <v>Caro</v>
      </c>
      <c r="P349" s="4" t="str">
        <f>+IF(AND(BDAlquilerDepartamentos[[#This Row],[N° de Dorm.]]&gt; 3,BDAlquilerDepartamentos[[#This Row],[Prec. Soles]]&lt;= 2500),"Buena Oferta", "Precio Estadar")</f>
        <v>Precio Estadar</v>
      </c>
      <c r="Q349" t="s">
        <v>1101</v>
      </c>
      <c r="R349" t="s">
        <v>1102</v>
      </c>
      <c r="S349" s="11">
        <v>45561</v>
      </c>
      <c r="T349" t="s">
        <v>2893</v>
      </c>
      <c r="U349" t="s">
        <v>1620</v>
      </c>
    </row>
    <row r="350" spans="2:21" x14ac:dyDescent="0.3">
      <c r="B350" t="s">
        <v>1106</v>
      </c>
      <c r="C350" t="s">
        <v>2417</v>
      </c>
      <c r="D350" t="s">
        <v>2436</v>
      </c>
      <c r="E350" t="s">
        <v>2580</v>
      </c>
      <c r="F350" t="s">
        <v>2580</v>
      </c>
      <c r="G350" s="8">
        <v>3145</v>
      </c>
      <c r="H350" s="8">
        <f>+IF(BDAlquilerDepartamentos[[#This Row],[Ciudad]]="Lima",BDAlquilerDepartamentos[[#This Row],[Prec. Soles]]*0.1,BDAlquilerDepartamentos[[#This Row],[Prec. Soles]]*0.05)</f>
        <v>314.5</v>
      </c>
      <c r="I350" s="4">
        <v>2</v>
      </c>
      <c r="J350" s="4">
        <v>1</v>
      </c>
      <c r="K350" s="4" t="s">
        <v>3096</v>
      </c>
      <c r="L350" s="4" t="s">
        <v>3095</v>
      </c>
      <c r="M350" s="4">
        <v>73</v>
      </c>
      <c r="N350" s="4">
        <v>2016</v>
      </c>
      <c r="O350" s="4" t="str">
        <f>+IF(BDAlquilerDepartamentos[[#This Row],[Prec. Soles]]&gt;2500,"Caro","Economico")</f>
        <v>Caro</v>
      </c>
      <c r="P350" s="4" t="str">
        <f>+IF(AND(BDAlquilerDepartamentos[[#This Row],[N° de Dorm.]]&gt; 3,BDAlquilerDepartamentos[[#This Row],[Prec. Soles]]&lt;= 2500),"Buena Oferta", "Precio Estadar")</f>
        <v>Precio Estadar</v>
      </c>
      <c r="Q350" t="s">
        <v>1101</v>
      </c>
      <c r="R350" t="s">
        <v>1102</v>
      </c>
      <c r="S350" s="11">
        <v>45437</v>
      </c>
      <c r="T350" t="s">
        <v>2893</v>
      </c>
      <c r="U350" t="s">
        <v>1621</v>
      </c>
    </row>
    <row r="351" spans="2:21" x14ac:dyDescent="0.3">
      <c r="B351" t="s">
        <v>1197</v>
      </c>
      <c r="C351" t="s">
        <v>2469</v>
      </c>
      <c r="D351" t="s">
        <v>2463</v>
      </c>
      <c r="E351" t="s">
        <v>2580</v>
      </c>
      <c r="F351" t="s">
        <v>2580</v>
      </c>
      <c r="G351" s="8">
        <v>2400</v>
      </c>
      <c r="H351" s="8">
        <f>+IF(BDAlquilerDepartamentos[[#This Row],[Ciudad]]="Lima",BDAlquilerDepartamentos[[#This Row],[Prec. Soles]]*0.1,BDAlquilerDepartamentos[[#This Row],[Prec. Soles]]*0.05)</f>
        <v>240</v>
      </c>
      <c r="I351" s="4">
        <v>3</v>
      </c>
      <c r="J351" s="4">
        <v>2</v>
      </c>
      <c r="K351" s="4" t="s">
        <v>3096</v>
      </c>
      <c r="L351" s="4" t="s">
        <v>3096</v>
      </c>
      <c r="M351" s="4">
        <v>88</v>
      </c>
      <c r="N351" s="4">
        <v>2012</v>
      </c>
      <c r="O351" s="4" t="str">
        <f>+IF(BDAlquilerDepartamentos[[#This Row],[Prec. Soles]]&gt;2500,"Caro","Economico")</f>
        <v>Economico</v>
      </c>
      <c r="P351" s="4" t="str">
        <f>+IF(AND(BDAlquilerDepartamentos[[#This Row],[N° de Dorm.]]&gt; 3,BDAlquilerDepartamentos[[#This Row],[Prec. Soles]]&lt;= 2500),"Buena Oferta", "Precio Estadar")</f>
        <v>Precio Estadar</v>
      </c>
      <c r="Q351" t="s">
        <v>1101</v>
      </c>
      <c r="R351" t="s">
        <v>1102</v>
      </c>
      <c r="S351" s="11">
        <v>45486</v>
      </c>
      <c r="T351" t="s">
        <v>2925</v>
      </c>
      <c r="U351" t="s">
        <v>1622</v>
      </c>
    </row>
    <row r="352" spans="2:21" x14ac:dyDescent="0.3">
      <c r="B352" t="s">
        <v>1100</v>
      </c>
      <c r="C352" t="s">
        <v>2415</v>
      </c>
      <c r="D352" t="s">
        <v>2436</v>
      </c>
      <c r="E352" t="s">
        <v>2580</v>
      </c>
      <c r="F352" t="s">
        <v>2580</v>
      </c>
      <c r="G352" s="8">
        <v>9250</v>
      </c>
      <c r="H352" s="8">
        <f>+IF(BDAlquilerDepartamentos[[#This Row],[Ciudad]]="Lima",BDAlquilerDepartamentos[[#This Row],[Prec. Soles]]*0.1,BDAlquilerDepartamentos[[#This Row],[Prec. Soles]]*0.05)</f>
        <v>925</v>
      </c>
      <c r="I352" s="4">
        <v>3</v>
      </c>
      <c r="J352" s="4">
        <v>2</v>
      </c>
      <c r="K352" s="4" t="s">
        <v>3095</v>
      </c>
      <c r="L352" s="4" t="s">
        <v>3096</v>
      </c>
      <c r="M352" s="4">
        <v>158</v>
      </c>
      <c r="N352" s="4">
        <v>2014</v>
      </c>
      <c r="O352" s="4" t="str">
        <f>+IF(BDAlquilerDepartamentos[[#This Row],[Prec. Soles]]&gt;2500,"Caro","Economico")</f>
        <v>Caro</v>
      </c>
      <c r="P352" s="4" t="str">
        <f>+IF(AND(BDAlquilerDepartamentos[[#This Row],[N° de Dorm.]]&gt; 3,BDAlquilerDepartamentos[[#This Row],[Prec. Soles]]&lt;= 2500),"Buena Oferta", "Precio Estadar")</f>
        <v>Precio Estadar</v>
      </c>
      <c r="Q352" t="s">
        <v>1101</v>
      </c>
      <c r="R352" t="s">
        <v>1102</v>
      </c>
      <c r="S352" s="11">
        <v>45016</v>
      </c>
      <c r="T352" t="s">
        <v>2846</v>
      </c>
      <c r="U352" t="s">
        <v>1623</v>
      </c>
    </row>
    <row r="353" spans="2:21" x14ac:dyDescent="0.3">
      <c r="B353" t="s">
        <v>1169</v>
      </c>
      <c r="C353" t="s">
        <v>2455</v>
      </c>
      <c r="D353" t="s">
        <v>2436</v>
      </c>
      <c r="E353" t="s">
        <v>2580</v>
      </c>
      <c r="F353" t="s">
        <v>2580</v>
      </c>
      <c r="G353" s="8">
        <v>2400</v>
      </c>
      <c r="H353" s="8">
        <f>+IF(BDAlquilerDepartamentos[[#This Row],[Ciudad]]="Lima",BDAlquilerDepartamentos[[#This Row],[Prec. Soles]]*0.1,BDAlquilerDepartamentos[[#This Row],[Prec. Soles]]*0.05)</f>
        <v>240</v>
      </c>
      <c r="I353" s="4">
        <v>2</v>
      </c>
      <c r="J353" s="4">
        <v>1</v>
      </c>
      <c r="K353" s="4" t="s">
        <v>3096</v>
      </c>
      <c r="L353" s="4" t="s">
        <v>3095</v>
      </c>
      <c r="M353" s="4">
        <v>47</v>
      </c>
      <c r="N353" s="4">
        <v>2008</v>
      </c>
      <c r="O353" s="4" t="str">
        <f>+IF(BDAlquilerDepartamentos[[#This Row],[Prec. Soles]]&gt;2500,"Caro","Economico")</f>
        <v>Economico</v>
      </c>
      <c r="P353" s="4" t="str">
        <f>+IF(AND(BDAlquilerDepartamentos[[#This Row],[N° de Dorm.]]&gt; 3,BDAlquilerDepartamentos[[#This Row],[Prec. Soles]]&lt;= 2500),"Buena Oferta", "Precio Estadar")</f>
        <v>Precio Estadar</v>
      </c>
      <c r="Q353" t="s">
        <v>1101</v>
      </c>
      <c r="R353" t="s">
        <v>1102</v>
      </c>
      <c r="S353" s="11">
        <v>45333</v>
      </c>
      <c r="T353" t="s">
        <v>2952</v>
      </c>
      <c r="U353" t="s">
        <v>1624</v>
      </c>
    </row>
    <row r="354" spans="2:21" x14ac:dyDescent="0.3">
      <c r="B354" t="s">
        <v>1468</v>
      </c>
      <c r="C354" t="s">
        <v>2568</v>
      </c>
      <c r="D354" t="s">
        <v>2580</v>
      </c>
      <c r="E354" t="s">
        <v>2580</v>
      </c>
      <c r="F354" t="s">
        <v>2580</v>
      </c>
      <c r="G354" s="8">
        <v>3700</v>
      </c>
      <c r="H354" s="8">
        <f>+IF(BDAlquilerDepartamentos[[#This Row],[Ciudad]]="Lima",BDAlquilerDepartamentos[[#This Row],[Prec. Soles]]*0.1,BDAlquilerDepartamentos[[#This Row],[Prec. Soles]]*0.05)</f>
        <v>370</v>
      </c>
      <c r="I354" s="4">
        <v>3</v>
      </c>
      <c r="J354" s="4">
        <v>4</v>
      </c>
      <c r="K354" s="4" t="s">
        <v>3096</v>
      </c>
      <c r="L354" s="4" t="s">
        <v>3096</v>
      </c>
      <c r="M354" s="4">
        <v>175</v>
      </c>
      <c r="N354" s="4">
        <v>2004</v>
      </c>
      <c r="O354" s="4" t="str">
        <f>+IF(BDAlquilerDepartamentos[[#This Row],[Prec. Soles]]&gt;2500,"Caro","Economico")</f>
        <v>Caro</v>
      </c>
      <c r="P354" s="4" t="str">
        <f>+IF(AND(BDAlquilerDepartamentos[[#This Row],[N° de Dorm.]]&gt; 3,BDAlquilerDepartamentos[[#This Row],[Prec. Soles]]&lt;= 2500),"Buena Oferta", "Precio Estadar")</f>
        <v>Precio Estadar</v>
      </c>
      <c r="Q354" t="s">
        <v>1101</v>
      </c>
      <c r="R354" t="s">
        <v>1102</v>
      </c>
      <c r="S354" s="11">
        <v>45426</v>
      </c>
      <c r="T354" t="s">
        <v>2862</v>
      </c>
      <c r="U354" t="s">
        <v>1625</v>
      </c>
    </row>
    <row r="355" spans="2:21" x14ac:dyDescent="0.3">
      <c r="B355" t="s">
        <v>1143</v>
      </c>
      <c r="C355" t="s">
        <v>2441</v>
      </c>
      <c r="D355" t="s">
        <v>2428</v>
      </c>
      <c r="E355" t="s">
        <v>2580</v>
      </c>
      <c r="F355" t="s">
        <v>2580</v>
      </c>
      <c r="G355" s="8">
        <v>4810</v>
      </c>
      <c r="H355" s="8">
        <f>+IF(BDAlquilerDepartamentos[[#This Row],[Ciudad]]="Lima",BDAlquilerDepartamentos[[#This Row],[Prec. Soles]]*0.1,BDAlquilerDepartamentos[[#This Row],[Prec. Soles]]*0.05)</f>
        <v>481</v>
      </c>
      <c r="I355" s="4">
        <v>2</v>
      </c>
      <c r="J355" s="4">
        <v>3</v>
      </c>
      <c r="K355" s="4" t="s">
        <v>3096</v>
      </c>
      <c r="L355" s="4" t="s">
        <v>3095</v>
      </c>
      <c r="M355" s="4">
        <v>154</v>
      </c>
      <c r="N355" s="4">
        <v>2018</v>
      </c>
      <c r="O355" s="4" t="str">
        <f>+IF(BDAlquilerDepartamentos[[#This Row],[Prec. Soles]]&gt;2500,"Caro","Economico")</f>
        <v>Caro</v>
      </c>
      <c r="P355" s="4" t="str">
        <f>+IF(AND(BDAlquilerDepartamentos[[#This Row],[N° de Dorm.]]&gt; 3,BDAlquilerDepartamentos[[#This Row],[Prec. Soles]]&lt;= 2500),"Buena Oferta", "Precio Estadar")</f>
        <v>Precio Estadar</v>
      </c>
      <c r="Q355" t="s">
        <v>1101</v>
      </c>
      <c r="R355" t="s">
        <v>1102</v>
      </c>
      <c r="S355" s="11">
        <v>45464</v>
      </c>
      <c r="T355" t="s">
        <v>2912</v>
      </c>
      <c r="U355" t="s">
        <v>1626</v>
      </c>
    </row>
    <row r="356" spans="2:21" x14ac:dyDescent="0.3">
      <c r="B356" t="s">
        <v>1627</v>
      </c>
      <c r="C356" t="s">
        <v>2504</v>
      </c>
      <c r="D356" t="s">
        <v>2580</v>
      </c>
      <c r="E356" t="s">
        <v>2580</v>
      </c>
      <c r="F356" t="s">
        <v>2580</v>
      </c>
      <c r="G356" s="8">
        <v>3700</v>
      </c>
      <c r="H356" s="8">
        <f>+IF(BDAlquilerDepartamentos[[#This Row],[Ciudad]]="Lima",BDAlquilerDepartamentos[[#This Row],[Prec. Soles]]*0.1,BDAlquilerDepartamentos[[#This Row],[Prec. Soles]]*0.05)</f>
        <v>370</v>
      </c>
      <c r="I356" s="4">
        <v>3</v>
      </c>
      <c r="J356" s="4">
        <v>3</v>
      </c>
      <c r="K356" s="4" t="s">
        <v>3095</v>
      </c>
      <c r="L356" s="4" t="s">
        <v>3096</v>
      </c>
      <c r="M356" s="4">
        <v>126</v>
      </c>
      <c r="N356" s="4">
        <v>2011</v>
      </c>
      <c r="O356" s="4" t="str">
        <f>+IF(BDAlquilerDepartamentos[[#This Row],[Prec. Soles]]&gt;2500,"Caro","Economico")</f>
        <v>Caro</v>
      </c>
      <c r="P356" s="4" t="str">
        <f>+IF(AND(BDAlquilerDepartamentos[[#This Row],[N° de Dorm.]]&gt; 3,BDAlquilerDepartamentos[[#This Row],[Prec. Soles]]&lt;= 2500),"Buena Oferta", "Precio Estadar")</f>
        <v>Precio Estadar</v>
      </c>
      <c r="Q356" t="s">
        <v>1399</v>
      </c>
      <c r="R356" t="s">
        <v>1102</v>
      </c>
      <c r="S356" s="11">
        <v>45448</v>
      </c>
      <c r="T356" t="s">
        <v>2953</v>
      </c>
      <c r="U356" t="s">
        <v>1628</v>
      </c>
    </row>
    <row r="357" spans="2:21" x14ac:dyDescent="0.3">
      <c r="B357" t="s">
        <v>1629</v>
      </c>
      <c r="C357" t="s">
        <v>2608</v>
      </c>
      <c r="D357" t="s">
        <v>2422</v>
      </c>
      <c r="E357" t="s">
        <v>2580</v>
      </c>
      <c r="F357" t="s">
        <v>2580</v>
      </c>
      <c r="G357" s="8">
        <v>4440</v>
      </c>
      <c r="H357" s="8">
        <f>+IF(BDAlquilerDepartamentos[[#This Row],[Ciudad]]="Lima",BDAlquilerDepartamentos[[#This Row],[Prec. Soles]]*0.1,BDAlquilerDepartamentos[[#This Row],[Prec. Soles]]*0.05)</f>
        <v>444</v>
      </c>
      <c r="I357" s="4">
        <v>3</v>
      </c>
      <c r="J357" s="4">
        <v>3</v>
      </c>
      <c r="K357" s="4" t="s">
        <v>3095</v>
      </c>
      <c r="L357" s="4" t="s">
        <v>3095</v>
      </c>
      <c r="M357" s="4">
        <v>148</v>
      </c>
      <c r="N357" s="4">
        <v>2011</v>
      </c>
      <c r="O357" s="4" t="str">
        <f>+IF(BDAlquilerDepartamentos[[#This Row],[Prec. Soles]]&gt;2500,"Caro","Economico")</f>
        <v>Caro</v>
      </c>
      <c r="P357" s="4" t="str">
        <f>+IF(AND(BDAlquilerDepartamentos[[#This Row],[N° de Dorm.]]&gt; 3,BDAlquilerDepartamentos[[#This Row],[Prec. Soles]]&lt;= 2500),"Buena Oferta", "Precio Estadar")</f>
        <v>Precio Estadar</v>
      </c>
      <c r="Q357" t="s">
        <v>1101</v>
      </c>
      <c r="R357" t="s">
        <v>1102</v>
      </c>
      <c r="S357" s="11">
        <v>45155</v>
      </c>
      <c r="T357" t="s">
        <v>2896</v>
      </c>
      <c r="U357" t="s">
        <v>1630</v>
      </c>
    </row>
    <row r="358" spans="2:21" x14ac:dyDescent="0.3">
      <c r="B358" t="s">
        <v>3116</v>
      </c>
      <c r="C358" t="s">
        <v>2436</v>
      </c>
      <c r="D358" t="s">
        <v>2580</v>
      </c>
      <c r="E358" t="s">
        <v>2580</v>
      </c>
      <c r="F358" t="s">
        <v>2580</v>
      </c>
      <c r="G358" s="8">
        <v>2590</v>
      </c>
      <c r="H358" s="8">
        <f>+IF(BDAlquilerDepartamentos[[#This Row],[Ciudad]]="Lima",BDAlquilerDepartamentos[[#This Row],[Prec. Soles]]*0.1,BDAlquilerDepartamentos[[#This Row],[Prec. Soles]]*0.05)</f>
        <v>259</v>
      </c>
      <c r="I358" s="4">
        <v>1</v>
      </c>
      <c r="J358" s="4">
        <v>1</v>
      </c>
      <c r="K358" s="4" t="s">
        <v>3096</v>
      </c>
      <c r="L358" s="4" t="s">
        <v>3096</v>
      </c>
      <c r="M358" s="4">
        <v>54</v>
      </c>
      <c r="N358" s="4">
        <v>2003</v>
      </c>
      <c r="O358" s="4" t="str">
        <f>+IF(BDAlquilerDepartamentos[[#This Row],[Prec. Soles]]&gt;2500,"Caro","Economico")</f>
        <v>Caro</v>
      </c>
      <c r="P358" s="4" t="str">
        <f>+IF(AND(BDAlquilerDepartamentos[[#This Row],[N° de Dorm.]]&gt; 3,BDAlquilerDepartamentos[[#This Row],[Prec. Soles]]&lt;= 2500),"Buena Oferta", "Precio Estadar")</f>
        <v>Precio Estadar</v>
      </c>
      <c r="Q358" t="s">
        <v>1101</v>
      </c>
      <c r="R358" t="s">
        <v>1102</v>
      </c>
      <c r="S358" s="11">
        <v>45425</v>
      </c>
      <c r="T358" t="s">
        <v>2814</v>
      </c>
      <c r="U358" t="s">
        <v>1631</v>
      </c>
    </row>
    <row r="359" spans="2:21" x14ac:dyDescent="0.3">
      <c r="B359" t="s">
        <v>1629</v>
      </c>
      <c r="C359" t="s">
        <v>2608</v>
      </c>
      <c r="D359" t="s">
        <v>2422</v>
      </c>
      <c r="E359" t="s">
        <v>2580</v>
      </c>
      <c r="F359" t="s">
        <v>2580</v>
      </c>
      <c r="G359" s="8">
        <v>4440</v>
      </c>
      <c r="H359" s="8">
        <f>+IF(BDAlquilerDepartamentos[[#This Row],[Ciudad]]="Lima",BDAlquilerDepartamentos[[#This Row],[Prec. Soles]]*0.1,BDAlquilerDepartamentos[[#This Row],[Prec. Soles]]*0.05)</f>
        <v>444</v>
      </c>
      <c r="I359" s="4">
        <v>3</v>
      </c>
      <c r="J359" s="4">
        <v>2</v>
      </c>
      <c r="K359" s="4" t="s">
        <v>3095</v>
      </c>
      <c r="L359" s="4" t="s">
        <v>3095</v>
      </c>
      <c r="M359" s="4">
        <v>150</v>
      </c>
      <c r="N359" s="4">
        <v>2015</v>
      </c>
      <c r="O359" s="4" t="str">
        <f>+IF(BDAlquilerDepartamentos[[#This Row],[Prec. Soles]]&gt;2500,"Caro","Economico")</f>
        <v>Caro</v>
      </c>
      <c r="P359" s="4" t="str">
        <f>+IF(AND(BDAlquilerDepartamentos[[#This Row],[N° de Dorm.]]&gt; 3,BDAlquilerDepartamentos[[#This Row],[Prec. Soles]]&lt;= 2500),"Buena Oferta", "Precio Estadar")</f>
        <v>Precio Estadar</v>
      </c>
      <c r="Q359" t="s">
        <v>1101</v>
      </c>
      <c r="R359" t="s">
        <v>1102</v>
      </c>
      <c r="S359" s="11">
        <v>45087</v>
      </c>
      <c r="T359" t="s">
        <v>2954</v>
      </c>
      <c r="U359" t="s">
        <v>1632</v>
      </c>
    </row>
    <row r="360" spans="2:21" x14ac:dyDescent="0.3">
      <c r="B360" t="s">
        <v>1165</v>
      </c>
      <c r="C360" t="s">
        <v>2453</v>
      </c>
      <c r="D360" t="s">
        <v>2580</v>
      </c>
      <c r="E360" t="s">
        <v>2580</v>
      </c>
      <c r="F360" t="s">
        <v>2580</v>
      </c>
      <c r="G360" s="8">
        <v>4070</v>
      </c>
      <c r="H360" s="8">
        <f>+IF(BDAlquilerDepartamentos[[#This Row],[Ciudad]]="Lima",BDAlquilerDepartamentos[[#This Row],[Prec. Soles]]*0.1,BDAlquilerDepartamentos[[#This Row],[Prec. Soles]]*0.05)</f>
        <v>407</v>
      </c>
      <c r="I360" s="4">
        <v>2</v>
      </c>
      <c r="J360" s="4">
        <v>3</v>
      </c>
      <c r="K360" s="4" t="s">
        <v>3096</v>
      </c>
      <c r="L360" s="4" t="s">
        <v>3096</v>
      </c>
      <c r="M360" s="4">
        <v>127</v>
      </c>
      <c r="N360" s="4">
        <v>2016</v>
      </c>
      <c r="O360" s="4" t="str">
        <f>+IF(BDAlquilerDepartamentos[[#This Row],[Prec. Soles]]&gt;2500,"Caro","Economico")</f>
        <v>Caro</v>
      </c>
      <c r="P360" s="4" t="str">
        <f>+IF(AND(BDAlquilerDepartamentos[[#This Row],[N° de Dorm.]]&gt; 3,BDAlquilerDepartamentos[[#This Row],[Prec. Soles]]&lt;= 2500),"Buena Oferta", "Precio Estadar")</f>
        <v>Precio Estadar</v>
      </c>
      <c r="Q360" t="s">
        <v>1101</v>
      </c>
      <c r="R360" t="s">
        <v>1102</v>
      </c>
      <c r="S360" s="11">
        <v>45095</v>
      </c>
      <c r="T360" t="s">
        <v>3086</v>
      </c>
      <c r="U360" t="s">
        <v>1633</v>
      </c>
    </row>
    <row r="361" spans="2:21" x14ac:dyDescent="0.3">
      <c r="B361" t="s">
        <v>1118</v>
      </c>
      <c r="C361" t="s">
        <v>2426</v>
      </c>
      <c r="D361" t="s">
        <v>2436</v>
      </c>
      <c r="E361" t="s">
        <v>2580</v>
      </c>
      <c r="F361" t="s">
        <v>2580</v>
      </c>
      <c r="G361" s="8">
        <v>3145</v>
      </c>
      <c r="H361" s="8">
        <f>+IF(BDAlquilerDepartamentos[[#This Row],[Ciudad]]="Lima",BDAlquilerDepartamentos[[#This Row],[Prec. Soles]]*0.1,BDAlquilerDepartamentos[[#This Row],[Prec. Soles]]*0.05)</f>
        <v>314.5</v>
      </c>
      <c r="I361" s="4">
        <v>3</v>
      </c>
      <c r="J361" s="4">
        <v>2</v>
      </c>
      <c r="K361" s="4" t="s">
        <v>3095</v>
      </c>
      <c r="L361" s="4" t="s">
        <v>3096</v>
      </c>
      <c r="M361" s="4">
        <v>190</v>
      </c>
      <c r="N361" s="4">
        <v>2006</v>
      </c>
      <c r="O361" s="4" t="str">
        <f>+IF(BDAlquilerDepartamentos[[#This Row],[Prec. Soles]]&gt;2500,"Caro","Economico")</f>
        <v>Caro</v>
      </c>
      <c r="P361" s="4" t="str">
        <f>+IF(AND(BDAlquilerDepartamentos[[#This Row],[N° de Dorm.]]&gt; 3,BDAlquilerDepartamentos[[#This Row],[Prec. Soles]]&lt;= 2500),"Buena Oferta", "Precio Estadar")</f>
        <v>Precio Estadar</v>
      </c>
      <c r="Q361" t="s">
        <v>1101</v>
      </c>
      <c r="R361" t="s">
        <v>1102</v>
      </c>
      <c r="S361" s="11">
        <v>45604</v>
      </c>
      <c r="T361" t="s">
        <v>3086</v>
      </c>
      <c r="U361" t="s">
        <v>1634</v>
      </c>
    </row>
    <row r="362" spans="2:21" x14ac:dyDescent="0.3">
      <c r="B362" t="s">
        <v>1191</v>
      </c>
      <c r="C362" t="s">
        <v>2466</v>
      </c>
      <c r="D362" t="s">
        <v>2436</v>
      </c>
      <c r="E362" t="s">
        <v>2580</v>
      </c>
      <c r="F362" t="s">
        <v>2580</v>
      </c>
      <c r="G362" s="8">
        <v>5920</v>
      </c>
      <c r="H362" s="8">
        <f>+IF(BDAlquilerDepartamentos[[#This Row],[Ciudad]]="Lima",BDAlquilerDepartamentos[[#This Row],[Prec. Soles]]*0.1,BDAlquilerDepartamentos[[#This Row],[Prec. Soles]]*0.05)</f>
        <v>592</v>
      </c>
      <c r="I362" s="4">
        <v>2</v>
      </c>
      <c r="J362" s="4">
        <v>3</v>
      </c>
      <c r="K362" s="4" t="s">
        <v>3096</v>
      </c>
      <c r="L362" s="4" t="s">
        <v>3095</v>
      </c>
      <c r="M362" s="4">
        <v>104</v>
      </c>
      <c r="N362" s="4">
        <v>2004</v>
      </c>
      <c r="O362" s="4" t="str">
        <f>+IF(BDAlquilerDepartamentos[[#This Row],[Prec. Soles]]&gt;2500,"Caro","Economico")</f>
        <v>Caro</v>
      </c>
      <c r="P362" s="4" t="str">
        <f>+IF(AND(BDAlquilerDepartamentos[[#This Row],[N° de Dorm.]]&gt; 3,BDAlquilerDepartamentos[[#This Row],[Prec. Soles]]&lt;= 2500),"Buena Oferta", "Precio Estadar")</f>
        <v>Precio Estadar</v>
      </c>
      <c r="Q362" t="s">
        <v>1101</v>
      </c>
      <c r="R362" t="s">
        <v>1102</v>
      </c>
      <c r="S362" s="11">
        <v>44976</v>
      </c>
      <c r="T362" t="s">
        <v>2955</v>
      </c>
      <c r="U362" t="s">
        <v>1635</v>
      </c>
    </row>
    <row r="363" spans="2:21" x14ac:dyDescent="0.3">
      <c r="B363" t="s">
        <v>2800</v>
      </c>
      <c r="C363" t="s">
        <v>2798</v>
      </c>
      <c r="D363" t="s">
        <v>2580</v>
      </c>
      <c r="E363" t="s">
        <v>2580</v>
      </c>
      <c r="F363" t="s">
        <v>2580</v>
      </c>
      <c r="G363" s="8">
        <v>12580</v>
      </c>
      <c r="H363" s="8">
        <f>+IF(BDAlquilerDepartamentos[[#This Row],[Ciudad]]="Lima",BDAlquilerDepartamentos[[#This Row],[Prec. Soles]]*0.1,BDAlquilerDepartamentos[[#This Row],[Prec. Soles]]*0.05)</f>
        <v>1258</v>
      </c>
      <c r="I363" s="4">
        <v>8</v>
      </c>
      <c r="J363" s="4">
        <v>8</v>
      </c>
      <c r="K363" s="4" t="s">
        <v>3096</v>
      </c>
      <c r="L363" s="4" t="s">
        <v>3096</v>
      </c>
      <c r="M363" s="4">
        <v>465</v>
      </c>
      <c r="N363" s="4">
        <v>2004</v>
      </c>
      <c r="O363" s="4" t="str">
        <f>+IF(BDAlquilerDepartamentos[[#This Row],[Prec. Soles]]&gt;2500,"Caro","Economico")</f>
        <v>Caro</v>
      </c>
      <c r="P363" s="4" t="str">
        <f>+IF(AND(BDAlquilerDepartamentos[[#This Row],[N° de Dorm.]]&gt; 3,BDAlquilerDepartamentos[[#This Row],[Prec. Soles]]&lt;= 2500),"Buena Oferta", "Precio Estadar")</f>
        <v>Precio Estadar</v>
      </c>
      <c r="Q363" t="s">
        <v>1113</v>
      </c>
      <c r="R363" t="s">
        <v>1102</v>
      </c>
      <c r="S363" s="11">
        <v>45313</v>
      </c>
      <c r="T363" t="s">
        <v>2850</v>
      </c>
      <c r="U363" t="s">
        <v>1636</v>
      </c>
    </row>
    <row r="364" spans="2:21" x14ac:dyDescent="0.3">
      <c r="B364" t="s">
        <v>1637</v>
      </c>
      <c r="C364" t="s">
        <v>2609</v>
      </c>
      <c r="D364" t="s">
        <v>2428</v>
      </c>
      <c r="E364" t="s">
        <v>2580</v>
      </c>
      <c r="F364" t="s">
        <v>2580</v>
      </c>
      <c r="G364" s="8">
        <v>2775</v>
      </c>
      <c r="H364" s="8">
        <f>+IF(BDAlquilerDepartamentos[[#This Row],[Ciudad]]="Lima",BDAlquilerDepartamentos[[#This Row],[Prec. Soles]]*0.1,BDAlquilerDepartamentos[[#This Row],[Prec. Soles]]*0.05)</f>
        <v>277.5</v>
      </c>
      <c r="I364" s="4">
        <v>3</v>
      </c>
      <c r="J364" s="4">
        <v>2</v>
      </c>
      <c r="K364" s="4" t="s">
        <v>3096</v>
      </c>
      <c r="L364" s="4" t="s">
        <v>3096</v>
      </c>
      <c r="M364" s="4">
        <v>134</v>
      </c>
      <c r="N364" s="4">
        <v>2014</v>
      </c>
      <c r="O364" s="4" t="str">
        <f>+IF(BDAlquilerDepartamentos[[#This Row],[Prec. Soles]]&gt;2500,"Caro","Economico")</f>
        <v>Caro</v>
      </c>
      <c r="P364" s="4" t="str">
        <f>+IF(AND(BDAlquilerDepartamentos[[#This Row],[N° de Dorm.]]&gt; 3,BDAlquilerDepartamentos[[#This Row],[Prec. Soles]]&lt;= 2500),"Buena Oferta", "Precio Estadar")</f>
        <v>Precio Estadar</v>
      </c>
      <c r="Q364" t="s">
        <v>1101</v>
      </c>
      <c r="R364" t="s">
        <v>1102</v>
      </c>
      <c r="S364" s="11">
        <v>44979</v>
      </c>
      <c r="T364" t="s">
        <v>2956</v>
      </c>
      <c r="U364" t="s">
        <v>1638</v>
      </c>
    </row>
    <row r="365" spans="2:21" x14ac:dyDescent="0.3">
      <c r="B365" t="s">
        <v>1167</v>
      </c>
      <c r="C365" t="s">
        <v>2454</v>
      </c>
      <c r="D365" t="s">
        <v>2418</v>
      </c>
      <c r="E365" t="s">
        <v>2580</v>
      </c>
      <c r="F365" t="s">
        <v>2580</v>
      </c>
      <c r="G365" s="8">
        <v>2405</v>
      </c>
      <c r="H365" s="8">
        <f>+IF(BDAlquilerDepartamentos[[#This Row],[Ciudad]]="Lima",BDAlquilerDepartamentos[[#This Row],[Prec. Soles]]*0.1,BDAlquilerDepartamentos[[#This Row],[Prec. Soles]]*0.05)</f>
        <v>240.5</v>
      </c>
      <c r="I365" s="4">
        <v>1</v>
      </c>
      <c r="J365" s="4">
        <v>1</v>
      </c>
      <c r="K365" s="4" t="s">
        <v>3095</v>
      </c>
      <c r="L365" s="4" t="s">
        <v>3096</v>
      </c>
      <c r="M365" s="4">
        <v>42</v>
      </c>
      <c r="N365" s="4">
        <v>2004</v>
      </c>
      <c r="O365" s="4" t="str">
        <f>+IF(BDAlquilerDepartamentos[[#This Row],[Prec. Soles]]&gt;2500,"Caro","Economico")</f>
        <v>Economico</v>
      </c>
      <c r="P365" s="4" t="str">
        <f>+IF(AND(BDAlquilerDepartamentos[[#This Row],[N° de Dorm.]]&gt; 3,BDAlquilerDepartamentos[[#This Row],[Prec. Soles]]&lt;= 2500),"Buena Oferta", "Precio Estadar")</f>
        <v>Precio Estadar</v>
      </c>
      <c r="Q365" t="s">
        <v>1101</v>
      </c>
      <c r="R365" t="s">
        <v>1102</v>
      </c>
      <c r="S365" s="11">
        <v>45179</v>
      </c>
      <c r="T365" t="s">
        <v>2873</v>
      </c>
      <c r="U365" t="s">
        <v>1639</v>
      </c>
    </row>
    <row r="366" spans="2:21" x14ac:dyDescent="0.3">
      <c r="B366" t="s">
        <v>1640</v>
      </c>
      <c r="C366" t="s">
        <v>2610</v>
      </c>
      <c r="D366" t="s">
        <v>2689</v>
      </c>
      <c r="E366" t="s">
        <v>3129</v>
      </c>
      <c r="F366" t="s">
        <v>3129</v>
      </c>
      <c r="G366" s="8">
        <v>1750</v>
      </c>
      <c r="H366" s="8">
        <f>+IF(BDAlquilerDepartamentos[[#This Row],[Ciudad]]="Lima",BDAlquilerDepartamentos[[#This Row],[Prec. Soles]]*0.1,BDAlquilerDepartamentos[[#This Row],[Prec. Soles]]*0.05)</f>
        <v>87.5</v>
      </c>
      <c r="I366" s="4">
        <v>3</v>
      </c>
      <c r="J366" s="4">
        <v>3</v>
      </c>
      <c r="K366" s="4" t="s">
        <v>3096</v>
      </c>
      <c r="L366" s="4" t="s">
        <v>3095</v>
      </c>
      <c r="M366" s="4">
        <v>105</v>
      </c>
      <c r="N366" s="4">
        <v>2003</v>
      </c>
      <c r="O366" s="4" t="str">
        <f>+IF(BDAlquilerDepartamentos[[#This Row],[Prec. Soles]]&gt;2500,"Caro","Economico")</f>
        <v>Economico</v>
      </c>
      <c r="P366" s="4" t="str">
        <f>+IF(AND(BDAlquilerDepartamentos[[#This Row],[N° de Dorm.]]&gt; 3,BDAlquilerDepartamentos[[#This Row],[Prec. Soles]]&lt;= 2500),"Buena Oferta", "Precio Estadar")</f>
        <v>Precio Estadar</v>
      </c>
      <c r="Q366" t="s">
        <v>1101</v>
      </c>
      <c r="R366" t="s">
        <v>1102</v>
      </c>
      <c r="S366" s="11">
        <v>45390</v>
      </c>
      <c r="T366" t="s">
        <v>2957</v>
      </c>
      <c r="U366" t="s">
        <v>1641</v>
      </c>
    </row>
    <row r="367" spans="2:21" x14ac:dyDescent="0.3">
      <c r="B367" t="s">
        <v>1642</v>
      </c>
      <c r="C367" t="s">
        <v>2611</v>
      </c>
      <c r="D367" t="s">
        <v>2428</v>
      </c>
      <c r="E367" t="s">
        <v>2580</v>
      </c>
      <c r="F367" t="s">
        <v>2580</v>
      </c>
      <c r="G367" s="8">
        <v>9620</v>
      </c>
      <c r="H367" s="8">
        <f>+IF(BDAlquilerDepartamentos[[#This Row],[Ciudad]]="Lima",BDAlquilerDepartamentos[[#This Row],[Prec. Soles]]*0.1,BDAlquilerDepartamentos[[#This Row],[Prec. Soles]]*0.05)</f>
        <v>962</v>
      </c>
      <c r="I367" s="4">
        <v>4</v>
      </c>
      <c r="J367" s="4">
        <v>5</v>
      </c>
      <c r="K367" s="4" t="s">
        <v>3096</v>
      </c>
      <c r="L367" s="4" t="s">
        <v>3096</v>
      </c>
      <c r="M367" s="4">
        <v>351</v>
      </c>
      <c r="N367" s="4">
        <v>2016</v>
      </c>
      <c r="O367" s="4" t="str">
        <f>+IF(BDAlquilerDepartamentos[[#This Row],[Prec. Soles]]&gt;2500,"Caro","Economico")</f>
        <v>Caro</v>
      </c>
      <c r="P367" s="4" t="str">
        <f>+IF(AND(BDAlquilerDepartamentos[[#This Row],[N° de Dorm.]]&gt; 3,BDAlquilerDepartamentos[[#This Row],[Prec. Soles]]&lt;= 2500),"Buena Oferta", "Precio Estadar")</f>
        <v>Precio Estadar</v>
      </c>
      <c r="Q367" t="s">
        <v>1113</v>
      </c>
      <c r="R367" t="s">
        <v>1102</v>
      </c>
      <c r="S367" s="11">
        <v>45101</v>
      </c>
      <c r="T367" t="s">
        <v>2901</v>
      </c>
      <c r="U367" t="s">
        <v>1643</v>
      </c>
    </row>
    <row r="368" spans="2:21" x14ac:dyDescent="0.3">
      <c r="B368" t="s">
        <v>1381</v>
      </c>
      <c r="C368" t="s">
        <v>2537</v>
      </c>
      <c r="D368" t="s">
        <v>2428</v>
      </c>
      <c r="E368" t="s">
        <v>2580</v>
      </c>
      <c r="F368" t="s">
        <v>2580</v>
      </c>
      <c r="G368" s="8">
        <v>2294</v>
      </c>
      <c r="H368" s="8">
        <f>+IF(BDAlquilerDepartamentos[[#This Row],[Ciudad]]="Lima",BDAlquilerDepartamentos[[#This Row],[Prec. Soles]]*0.1,BDAlquilerDepartamentos[[#This Row],[Prec. Soles]]*0.05)</f>
        <v>229.4</v>
      </c>
      <c r="I368" s="4">
        <v>1</v>
      </c>
      <c r="J368" s="4">
        <v>1</v>
      </c>
      <c r="K368" s="4" t="s">
        <v>3095</v>
      </c>
      <c r="L368" s="4" t="s">
        <v>3096</v>
      </c>
      <c r="M368" s="4">
        <v>49</v>
      </c>
      <c r="N368" s="4">
        <v>2004</v>
      </c>
      <c r="O368" s="4" t="str">
        <f>+IF(BDAlquilerDepartamentos[[#This Row],[Prec. Soles]]&gt;2500,"Caro","Economico")</f>
        <v>Economico</v>
      </c>
      <c r="P368" s="4" t="str">
        <f>+IF(AND(BDAlquilerDepartamentos[[#This Row],[N° de Dorm.]]&gt; 3,BDAlquilerDepartamentos[[#This Row],[Prec. Soles]]&lt;= 2500),"Buena Oferta", "Precio Estadar")</f>
        <v>Precio Estadar</v>
      </c>
      <c r="Q368" t="s">
        <v>1101</v>
      </c>
      <c r="R368" t="s">
        <v>1102</v>
      </c>
      <c r="S368" s="11">
        <v>45472</v>
      </c>
      <c r="T368" t="s">
        <v>2875</v>
      </c>
      <c r="U368" t="s">
        <v>1644</v>
      </c>
    </row>
    <row r="369" spans="2:21" x14ac:dyDescent="0.3">
      <c r="B369" t="s">
        <v>1244</v>
      </c>
      <c r="C369" t="s">
        <v>2453</v>
      </c>
      <c r="D369" t="s">
        <v>2580</v>
      </c>
      <c r="E369" t="s">
        <v>2580</v>
      </c>
      <c r="F369" t="s">
        <v>2580</v>
      </c>
      <c r="G369" s="8">
        <v>7030</v>
      </c>
      <c r="H369" s="8">
        <f>+IF(BDAlquilerDepartamentos[[#This Row],[Ciudad]]="Lima",BDAlquilerDepartamentos[[#This Row],[Prec. Soles]]*0.1,BDAlquilerDepartamentos[[#This Row],[Prec. Soles]]*0.05)</f>
        <v>703</v>
      </c>
      <c r="I369" s="4">
        <v>3</v>
      </c>
      <c r="J369" s="4">
        <v>3</v>
      </c>
      <c r="K369" s="4" t="s">
        <v>3096</v>
      </c>
      <c r="L369" s="4" t="s">
        <v>3095</v>
      </c>
      <c r="M369" s="4">
        <v>311</v>
      </c>
      <c r="N369" s="4">
        <v>2015</v>
      </c>
      <c r="O369" s="4" t="str">
        <f>+IF(BDAlquilerDepartamentos[[#This Row],[Prec. Soles]]&gt;2500,"Caro","Economico")</f>
        <v>Caro</v>
      </c>
      <c r="P369" s="4" t="str">
        <f>+IF(AND(BDAlquilerDepartamentos[[#This Row],[N° de Dorm.]]&gt; 3,BDAlquilerDepartamentos[[#This Row],[Prec. Soles]]&lt;= 2500),"Buena Oferta", "Precio Estadar")</f>
        <v>Precio Estadar</v>
      </c>
      <c r="Q369" t="s">
        <v>1113</v>
      </c>
      <c r="R369" t="s">
        <v>1102</v>
      </c>
      <c r="S369" s="11">
        <v>45079</v>
      </c>
      <c r="T369" t="s">
        <v>2865</v>
      </c>
      <c r="U369" t="s">
        <v>1645</v>
      </c>
    </row>
    <row r="370" spans="2:21" x14ac:dyDescent="0.3">
      <c r="B370" t="s">
        <v>1167</v>
      </c>
      <c r="C370" t="s">
        <v>2454</v>
      </c>
      <c r="D370" t="s">
        <v>2418</v>
      </c>
      <c r="E370" t="s">
        <v>2580</v>
      </c>
      <c r="F370" t="s">
        <v>2580</v>
      </c>
      <c r="G370" s="8">
        <v>2405</v>
      </c>
      <c r="H370" s="8">
        <f>+IF(BDAlquilerDepartamentos[[#This Row],[Ciudad]]="Lima",BDAlquilerDepartamentos[[#This Row],[Prec. Soles]]*0.1,BDAlquilerDepartamentos[[#This Row],[Prec. Soles]]*0.05)</f>
        <v>240.5</v>
      </c>
      <c r="I370" s="4">
        <v>1</v>
      </c>
      <c r="J370" s="4">
        <v>1</v>
      </c>
      <c r="K370" s="4" t="s">
        <v>3095</v>
      </c>
      <c r="L370" s="4" t="s">
        <v>3096</v>
      </c>
      <c r="M370" s="4">
        <v>51</v>
      </c>
      <c r="N370" s="4">
        <v>2014</v>
      </c>
      <c r="O370" s="4" t="str">
        <f>+IF(BDAlquilerDepartamentos[[#This Row],[Prec. Soles]]&gt;2500,"Caro","Economico")</f>
        <v>Economico</v>
      </c>
      <c r="P370" s="4" t="str">
        <f>+IF(AND(BDAlquilerDepartamentos[[#This Row],[N° de Dorm.]]&gt; 3,BDAlquilerDepartamentos[[#This Row],[Prec. Soles]]&lt;= 2500),"Buena Oferta", "Precio Estadar")</f>
        <v>Precio Estadar</v>
      </c>
      <c r="Q370" t="s">
        <v>1101</v>
      </c>
      <c r="R370" t="s">
        <v>1102</v>
      </c>
      <c r="S370" s="11">
        <v>45094</v>
      </c>
      <c r="T370" t="s">
        <v>2833</v>
      </c>
      <c r="U370" t="s">
        <v>1646</v>
      </c>
    </row>
    <row r="371" spans="2:21" x14ac:dyDescent="0.3">
      <c r="B371" t="s">
        <v>1647</v>
      </c>
      <c r="C371" t="s">
        <v>2612</v>
      </c>
      <c r="D371" t="s">
        <v>2580</v>
      </c>
      <c r="E371" t="s">
        <v>2580</v>
      </c>
      <c r="F371" t="s">
        <v>2580</v>
      </c>
      <c r="G371" s="8">
        <v>3626</v>
      </c>
      <c r="H371" s="8">
        <f>+IF(BDAlquilerDepartamentos[[#This Row],[Ciudad]]="Lima",BDAlquilerDepartamentos[[#This Row],[Prec. Soles]]*0.1,BDAlquilerDepartamentos[[#This Row],[Prec. Soles]]*0.05)</f>
        <v>362.6</v>
      </c>
      <c r="I371" s="4">
        <v>3</v>
      </c>
      <c r="J371" s="4">
        <v>2</v>
      </c>
      <c r="K371" s="4" t="s">
        <v>3095</v>
      </c>
      <c r="L371" s="4" t="s">
        <v>3096</v>
      </c>
      <c r="M371" s="4">
        <v>126</v>
      </c>
      <c r="N371" s="4">
        <v>2015</v>
      </c>
      <c r="O371" s="4" t="str">
        <f>+IF(BDAlquilerDepartamentos[[#This Row],[Prec. Soles]]&gt;2500,"Caro","Economico")</f>
        <v>Caro</v>
      </c>
      <c r="P371" s="4" t="str">
        <f>+IF(AND(BDAlquilerDepartamentos[[#This Row],[N° de Dorm.]]&gt; 3,BDAlquilerDepartamentos[[#This Row],[Prec. Soles]]&lt;= 2500),"Buena Oferta", "Precio Estadar")</f>
        <v>Precio Estadar</v>
      </c>
      <c r="Q371" t="s">
        <v>1101</v>
      </c>
      <c r="R371" t="s">
        <v>1102</v>
      </c>
      <c r="S371" s="11">
        <v>44978</v>
      </c>
      <c r="T371" t="s">
        <v>2958</v>
      </c>
      <c r="U371" t="s">
        <v>1648</v>
      </c>
    </row>
    <row r="372" spans="2:21" x14ac:dyDescent="0.3">
      <c r="B372" t="s">
        <v>1649</v>
      </c>
      <c r="C372" t="s">
        <v>2613</v>
      </c>
      <c r="D372" t="s">
        <v>2435</v>
      </c>
      <c r="E372" t="s">
        <v>2580</v>
      </c>
      <c r="F372" t="s">
        <v>2580</v>
      </c>
      <c r="G372" s="8">
        <v>3300</v>
      </c>
      <c r="H372" s="8">
        <f>+IF(BDAlquilerDepartamentos[[#This Row],[Ciudad]]="Lima",BDAlquilerDepartamentos[[#This Row],[Prec. Soles]]*0.1,BDAlquilerDepartamentos[[#This Row],[Prec. Soles]]*0.05)</f>
        <v>330</v>
      </c>
      <c r="I372" s="4">
        <v>4</v>
      </c>
      <c r="J372" s="4">
        <v>3</v>
      </c>
      <c r="K372" s="4" t="s">
        <v>3095</v>
      </c>
      <c r="L372" s="4" t="s">
        <v>3096</v>
      </c>
      <c r="M372" s="4">
        <v>160</v>
      </c>
      <c r="N372" s="4">
        <v>2010</v>
      </c>
      <c r="O372" s="4" t="str">
        <f>+IF(BDAlquilerDepartamentos[[#This Row],[Prec. Soles]]&gt;2500,"Caro","Economico")</f>
        <v>Caro</v>
      </c>
      <c r="P372" s="4" t="str">
        <f>+IF(AND(BDAlquilerDepartamentos[[#This Row],[N° de Dorm.]]&gt; 3,BDAlquilerDepartamentos[[#This Row],[Prec. Soles]]&lt;= 2500),"Buena Oferta", "Precio Estadar")</f>
        <v>Precio Estadar</v>
      </c>
      <c r="Q372" t="s">
        <v>1101</v>
      </c>
      <c r="R372" t="s">
        <v>1102</v>
      </c>
      <c r="S372" s="11">
        <v>45053</v>
      </c>
      <c r="T372" t="s">
        <v>2902</v>
      </c>
      <c r="U372" t="s">
        <v>1650</v>
      </c>
    </row>
    <row r="373" spans="2:21" x14ac:dyDescent="0.3">
      <c r="B373" t="s">
        <v>1210</v>
      </c>
      <c r="C373" t="s">
        <v>2476</v>
      </c>
      <c r="D373" t="s">
        <v>2436</v>
      </c>
      <c r="E373" t="s">
        <v>2580</v>
      </c>
      <c r="F373" t="s">
        <v>2580</v>
      </c>
      <c r="G373" s="8">
        <v>3500</v>
      </c>
      <c r="H373" s="8">
        <f>+IF(BDAlquilerDepartamentos[[#This Row],[Ciudad]]="Lima",BDAlquilerDepartamentos[[#This Row],[Prec. Soles]]*0.1,BDAlquilerDepartamentos[[#This Row],[Prec. Soles]]*0.05)</f>
        <v>350</v>
      </c>
      <c r="I373" s="4">
        <v>3</v>
      </c>
      <c r="J373" s="4">
        <v>3</v>
      </c>
      <c r="K373" s="4" t="s">
        <v>3095</v>
      </c>
      <c r="L373" s="4" t="s">
        <v>3096</v>
      </c>
      <c r="M373" s="4">
        <v>125</v>
      </c>
      <c r="N373" s="4">
        <v>2008</v>
      </c>
      <c r="O373" s="4" t="str">
        <f>+IF(BDAlquilerDepartamentos[[#This Row],[Prec. Soles]]&gt;2500,"Caro","Economico")</f>
        <v>Caro</v>
      </c>
      <c r="P373" s="4" t="str">
        <f>+IF(AND(BDAlquilerDepartamentos[[#This Row],[N° de Dorm.]]&gt; 3,BDAlquilerDepartamentos[[#This Row],[Prec. Soles]]&lt;= 2500),"Buena Oferta", "Precio Estadar")</f>
        <v>Precio Estadar</v>
      </c>
      <c r="Q373" t="s">
        <v>1101</v>
      </c>
      <c r="R373" t="s">
        <v>1102</v>
      </c>
      <c r="S373" s="11">
        <v>45578</v>
      </c>
      <c r="T373" t="s">
        <v>2959</v>
      </c>
      <c r="U373" t="s">
        <v>1651</v>
      </c>
    </row>
    <row r="374" spans="2:21" x14ac:dyDescent="0.3">
      <c r="B374" t="s">
        <v>1652</v>
      </c>
      <c r="C374" t="s">
        <v>2614</v>
      </c>
      <c r="D374" t="s">
        <v>2472</v>
      </c>
      <c r="E374" t="s">
        <v>2473</v>
      </c>
      <c r="F374" t="s">
        <v>2473</v>
      </c>
      <c r="G374" s="8">
        <v>1500</v>
      </c>
      <c r="H374" s="8">
        <f>+IF(BDAlquilerDepartamentos[[#This Row],[Ciudad]]="Lima",BDAlquilerDepartamentos[[#This Row],[Prec. Soles]]*0.1,BDAlquilerDepartamentos[[#This Row],[Prec. Soles]]*0.05)</f>
        <v>75</v>
      </c>
      <c r="I374" s="4">
        <v>3</v>
      </c>
      <c r="J374" s="4">
        <v>2</v>
      </c>
      <c r="K374" s="4" t="s">
        <v>3096</v>
      </c>
      <c r="L374" s="4" t="s">
        <v>3095</v>
      </c>
      <c r="M374" s="4">
        <v>57</v>
      </c>
      <c r="N374" s="4">
        <v>2008</v>
      </c>
      <c r="O374" s="4" t="str">
        <f>+IF(BDAlquilerDepartamentos[[#This Row],[Prec. Soles]]&gt;2500,"Caro","Economico")</f>
        <v>Economico</v>
      </c>
      <c r="P374" s="4" t="str">
        <f>+IF(AND(BDAlquilerDepartamentos[[#This Row],[N° de Dorm.]]&gt; 3,BDAlquilerDepartamentos[[#This Row],[Prec. Soles]]&lt;= 2500),"Buena Oferta", "Precio Estadar")</f>
        <v>Precio Estadar</v>
      </c>
      <c r="Q374" t="s">
        <v>1101</v>
      </c>
      <c r="R374" t="s">
        <v>1102</v>
      </c>
      <c r="S374" s="11">
        <v>45225</v>
      </c>
      <c r="T374" t="s">
        <v>2945</v>
      </c>
      <c r="U374" t="s">
        <v>1653</v>
      </c>
    </row>
    <row r="375" spans="2:21" x14ac:dyDescent="0.3">
      <c r="B375" t="s">
        <v>1122</v>
      </c>
      <c r="C375" t="s">
        <v>2429</v>
      </c>
      <c r="D375" t="s">
        <v>2580</v>
      </c>
      <c r="E375" t="s">
        <v>2580</v>
      </c>
      <c r="F375" t="s">
        <v>2580</v>
      </c>
      <c r="G375" s="8">
        <v>1900</v>
      </c>
      <c r="H375" s="8">
        <f>+IF(BDAlquilerDepartamentos[[#This Row],[Ciudad]]="Lima",BDAlquilerDepartamentos[[#This Row],[Prec. Soles]]*0.1,BDAlquilerDepartamentos[[#This Row],[Prec. Soles]]*0.05)</f>
        <v>190</v>
      </c>
      <c r="I375" s="4">
        <v>1</v>
      </c>
      <c r="J375" s="4">
        <v>1</v>
      </c>
      <c r="K375" s="4" t="s">
        <v>3096</v>
      </c>
      <c r="L375" s="4" t="s">
        <v>3095</v>
      </c>
      <c r="M375" s="4">
        <v>44</v>
      </c>
      <c r="N375" s="4">
        <v>2006</v>
      </c>
      <c r="O375" s="4" t="str">
        <f>+IF(BDAlquilerDepartamentos[[#This Row],[Prec. Soles]]&gt;2500,"Caro","Economico")</f>
        <v>Economico</v>
      </c>
      <c r="P375" s="4" t="str">
        <f>+IF(AND(BDAlquilerDepartamentos[[#This Row],[N° de Dorm.]]&gt; 3,BDAlquilerDepartamentos[[#This Row],[Prec. Soles]]&lt;= 2500),"Buena Oferta", "Precio Estadar")</f>
        <v>Precio Estadar</v>
      </c>
      <c r="Q375" t="s">
        <v>1101</v>
      </c>
      <c r="R375" t="s">
        <v>1102</v>
      </c>
      <c r="S375" s="11">
        <v>44973</v>
      </c>
      <c r="T375" t="s">
        <v>2819</v>
      </c>
      <c r="U375" t="s">
        <v>1654</v>
      </c>
    </row>
    <row r="376" spans="2:21" x14ac:dyDescent="0.3">
      <c r="B376" t="s">
        <v>1655</v>
      </c>
      <c r="C376" t="s">
        <v>2615</v>
      </c>
      <c r="D376" t="s">
        <v>2435</v>
      </c>
      <c r="E376" t="s">
        <v>2580</v>
      </c>
      <c r="F376" t="s">
        <v>2580</v>
      </c>
      <c r="G376" s="8">
        <v>2400</v>
      </c>
      <c r="H376" s="8">
        <f>+IF(BDAlquilerDepartamentos[[#This Row],[Ciudad]]="Lima",BDAlquilerDepartamentos[[#This Row],[Prec. Soles]]*0.1,BDAlquilerDepartamentos[[#This Row],[Prec. Soles]]*0.05)</f>
        <v>240</v>
      </c>
      <c r="I376" s="4">
        <v>3</v>
      </c>
      <c r="J376" s="4">
        <v>2</v>
      </c>
      <c r="K376" s="4" t="s">
        <v>3096</v>
      </c>
      <c r="L376" s="4" t="s">
        <v>3095</v>
      </c>
      <c r="M376" s="4">
        <v>75</v>
      </c>
      <c r="N376" s="4">
        <v>2006</v>
      </c>
      <c r="O376" s="4" t="str">
        <f>+IF(BDAlquilerDepartamentos[[#This Row],[Prec. Soles]]&gt;2500,"Caro","Economico")</f>
        <v>Economico</v>
      </c>
      <c r="P376" s="4" t="str">
        <f>+IF(AND(BDAlquilerDepartamentos[[#This Row],[N° de Dorm.]]&gt; 3,BDAlquilerDepartamentos[[#This Row],[Prec. Soles]]&lt;= 2500),"Buena Oferta", "Precio Estadar")</f>
        <v>Precio Estadar</v>
      </c>
      <c r="Q376" t="s">
        <v>1101</v>
      </c>
      <c r="R376" t="s">
        <v>1102</v>
      </c>
      <c r="S376" s="11">
        <v>45545</v>
      </c>
      <c r="T376" t="s">
        <v>2821</v>
      </c>
      <c r="U376" t="s">
        <v>1656</v>
      </c>
    </row>
    <row r="377" spans="2:21" x14ac:dyDescent="0.3">
      <c r="B377" t="s">
        <v>1154</v>
      </c>
      <c r="C377" t="s">
        <v>2448</v>
      </c>
      <c r="D377" t="s">
        <v>2804</v>
      </c>
      <c r="E377" t="s">
        <v>2580</v>
      </c>
      <c r="F377" t="s">
        <v>2580</v>
      </c>
      <c r="G377" s="8">
        <v>2200</v>
      </c>
      <c r="H377" s="8">
        <f>+IF(BDAlquilerDepartamentos[[#This Row],[Ciudad]]="Lima",BDAlquilerDepartamentos[[#This Row],[Prec. Soles]]*0.1,BDAlquilerDepartamentos[[#This Row],[Prec. Soles]]*0.05)</f>
        <v>220</v>
      </c>
      <c r="I377" s="4">
        <v>2</v>
      </c>
      <c r="J377" s="4">
        <v>3</v>
      </c>
      <c r="K377" s="4" t="s">
        <v>3096</v>
      </c>
      <c r="L377" s="4" t="s">
        <v>3096</v>
      </c>
      <c r="M377" s="4">
        <v>80</v>
      </c>
      <c r="N377" s="4">
        <v>2018</v>
      </c>
      <c r="O377" s="4" t="str">
        <f>+IF(BDAlquilerDepartamentos[[#This Row],[Prec. Soles]]&gt;2500,"Caro","Economico")</f>
        <v>Economico</v>
      </c>
      <c r="P377" s="4" t="str">
        <f>+IF(AND(BDAlquilerDepartamentos[[#This Row],[N° de Dorm.]]&gt; 3,BDAlquilerDepartamentos[[#This Row],[Prec. Soles]]&lt;= 2500),"Buena Oferta", "Precio Estadar")</f>
        <v>Precio Estadar</v>
      </c>
      <c r="Q377" t="s">
        <v>1101</v>
      </c>
      <c r="R377" t="s">
        <v>1102</v>
      </c>
      <c r="S377" s="11">
        <v>45411</v>
      </c>
      <c r="T377" t="s">
        <v>2898</v>
      </c>
      <c r="U377" t="s">
        <v>1657</v>
      </c>
    </row>
    <row r="378" spans="2:21" x14ac:dyDescent="0.3">
      <c r="B378" t="s">
        <v>1658</v>
      </c>
      <c r="C378" t="s">
        <v>2431</v>
      </c>
      <c r="D378" t="s">
        <v>2432</v>
      </c>
      <c r="E378" t="s">
        <v>2580</v>
      </c>
      <c r="F378" t="s">
        <v>2580</v>
      </c>
      <c r="G378" s="8">
        <v>3200</v>
      </c>
      <c r="H378" s="8">
        <f>+IF(BDAlquilerDepartamentos[[#This Row],[Ciudad]]="Lima",BDAlquilerDepartamentos[[#This Row],[Prec. Soles]]*0.1,BDAlquilerDepartamentos[[#This Row],[Prec. Soles]]*0.05)</f>
        <v>320</v>
      </c>
      <c r="I378" s="4">
        <v>4</v>
      </c>
      <c r="J378" s="4">
        <v>2</v>
      </c>
      <c r="K378" s="4" t="s">
        <v>3096</v>
      </c>
      <c r="L378" s="4" t="s">
        <v>3095</v>
      </c>
      <c r="M378" s="4">
        <v>140</v>
      </c>
      <c r="N378" s="4">
        <v>2014</v>
      </c>
      <c r="O378" s="4" t="str">
        <f>+IF(BDAlquilerDepartamentos[[#This Row],[Prec. Soles]]&gt;2500,"Caro","Economico")</f>
        <v>Caro</v>
      </c>
      <c r="P378" s="4" t="str">
        <f>+IF(AND(BDAlquilerDepartamentos[[#This Row],[N° de Dorm.]]&gt; 3,BDAlquilerDepartamentos[[#This Row],[Prec. Soles]]&lt;= 2500),"Buena Oferta", "Precio Estadar")</f>
        <v>Precio Estadar</v>
      </c>
      <c r="Q378" t="s">
        <v>1113</v>
      </c>
      <c r="R378" t="s">
        <v>1102</v>
      </c>
      <c r="S378" s="11">
        <v>45489</v>
      </c>
      <c r="T378" t="s">
        <v>2958</v>
      </c>
      <c r="U378" t="s">
        <v>1659</v>
      </c>
    </row>
    <row r="379" spans="2:21" x14ac:dyDescent="0.3">
      <c r="B379" t="s">
        <v>1333</v>
      </c>
      <c r="C379" t="s">
        <v>2523</v>
      </c>
      <c r="D379" t="s">
        <v>2580</v>
      </c>
      <c r="E379" t="s">
        <v>2580</v>
      </c>
      <c r="F379" t="s">
        <v>2580</v>
      </c>
      <c r="G379" s="8">
        <v>1500</v>
      </c>
      <c r="H379" s="8">
        <f>+IF(BDAlquilerDepartamentos[[#This Row],[Ciudad]]="Lima",BDAlquilerDepartamentos[[#This Row],[Prec. Soles]]*0.1,BDAlquilerDepartamentos[[#This Row],[Prec. Soles]]*0.05)</f>
        <v>150</v>
      </c>
      <c r="I379" s="4">
        <v>3</v>
      </c>
      <c r="J379" s="4">
        <v>2</v>
      </c>
      <c r="K379" s="4" t="s">
        <v>3095</v>
      </c>
      <c r="L379" s="4" t="s">
        <v>3095</v>
      </c>
      <c r="M379" s="4">
        <v>102</v>
      </c>
      <c r="N379" s="4">
        <v>2018</v>
      </c>
      <c r="O379" s="4" t="str">
        <f>+IF(BDAlquilerDepartamentos[[#This Row],[Prec. Soles]]&gt;2500,"Caro","Economico")</f>
        <v>Economico</v>
      </c>
      <c r="P379" s="4" t="str">
        <f>+IF(AND(BDAlquilerDepartamentos[[#This Row],[N° de Dorm.]]&gt; 3,BDAlquilerDepartamentos[[#This Row],[Prec. Soles]]&lt;= 2500),"Buena Oferta", "Precio Estadar")</f>
        <v>Precio Estadar</v>
      </c>
      <c r="Q379" t="s">
        <v>1101</v>
      </c>
      <c r="R379" t="s">
        <v>1102</v>
      </c>
      <c r="S379" s="11">
        <v>45371</v>
      </c>
      <c r="T379" t="s">
        <v>2960</v>
      </c>
      <c r="U379" t="s">
        <v>1660</v>
      </c>
    </row>
    <row r="380" spans="2:21" x14ac:dyDescent="0.3">
      <c r="B380" t="s">
        <v>1661</v>
      </c>
      <c r="C380" t="s">
        <v>2616</v>
      </c>
      <c r="D380" t="s">
        <v>2432</v>
      </c>
      <c r="E380" t="s">
        <v>2580</v>
      </c>
      <c r="F380" t="s">
        <v>2580</v>
      </c>
      <c r="G380" s="8">
        <v>1350</v>
      </c>
      <c r="H380" s="8">
        <f>+IF(BDAlquilerDepartamentos[[#This Row],[Ciudad]]="Lima",BDAlquilerDepartamentos[[#This Row],[Prec. Soles]]*0.1,BDAlquilerDepartamentos[[#This Row],[Prec. Soles]]*0.05)</f>
        <v>135</v>
      </c>
      <c r="I380" s="4">
        <v>3</v>
      </c>
      <c r="J380" s="4">
        <v>2</v>
      </c>
      <c r="K380" s="4" t="s">
        <v>3095</v>
      </c>
      <c r="L380" s="4" t="s">
        <v>3095</v>
      </c>
      <c r="M380" s="4">
        <v>76</v>
      </c>
      <c r="N380" s="4">
        <v>2016</v>
      </c>
      <c r="O380" s="4" t="str">
        <f>+IF(BDAlquilerDepartamentos[[#This Row],[Prec. Soles]]&gt;2500,"Caro","Economico")</f>
        <v>Economico</v>
      </c>
      <c r="P380" s="4" t="str">
        <f>+IF(AND(BDAlquilerDepartamentos[[#This Row],[N° de Dorm.]]&gt; 3,BDAlquilerDepartamentos[[#This Row],[Prec. Soles]]&lt;= 2500),"Buena Oferta", "Precio Estadar")</f>
        <v>Precio Estadar</v>
      </c>
      <c r="Q380" t="s">
        <v>1101</v>
      </c>
      <c r="R380" t="s">
        <v>1102</v>
      </c>
      <c r="S380" s="11">
        <v>45215</v>
      </c>
      <c r="T380" t="s">
        <v>2960</v>
      </c>
      <c r="U380" t="s">
        <v>1662</v>
      </c>
    </row>
    <row r="381" spans="2:21" x14ac:dyDescent="0.3">
      <c r="B381" t="s">
        <v>3113</v>
      </c>
      <c r="C381" t="s">
        <v>3114</v>
      </c>
      <c r="D381" t="s">
        <v>2436</v>
      </c>
      <c r="E381" t="s">
        <v>2580</v>
      </c>
      <c r="F381" t="s">
        <v>2580</v>
      </c>
      <c r="G381" s="8">
        <v>2701</v>
      </c>
      <c r="H381" s="8">
        <f>+IF(BDAlquilerDepartamentos[[#This Row],[Ciudad]]="Lima",BDAlquilerDepartamentos[[#This Row],[Prec. Soles]]*0.1,BDAlquilerDepartamentos[[#This Row],[Prec. Soles]]*0.05)</f>
        <v>270.10000000000002</v>
      </c>
      <c r="I381" s="4">
        <v>2</v>
      </c>
      <c r="J381" s="4">
        <v>3</v>
      </c>
      <c r="K381" s="4" t="s">
        <v>3096</v>
      </c>
      <c r="L381" s="4" t="s">
        <v>3096</v>
      </c>
      <c r="M381" s="4">
        <v>117</v>
      </c>
      <c r="N381" s="4">
        <v>2006</v>
      </c>
      <c r="O381" s="4" t="str">
        <f>+IF(BDAlquilerDepartamentos[[#This Row],[Prec. Soles]]&gt;2500,"Caro","Economico")</f>
        <v>Caro</v>
      </c>
      <c r="P381" s="4" t="str">
        <f>+IF(AND(BDAlquilerDepartamentos[[#This Row],[N° de Dorm.]]&gt; 3,BDAlquilerDepartamentos[[#This Row],[Prec. Soles]]&lt;= 2500),"Buena Oferta", "Precio Estadar")</f>
        <v>Precio Estadar</v>
      </c>
      <c r="Q381" t="s">
        <v>1101</v>
      </c>
      <c r="R381" t="s">
        <v>1102</v>
      </c>
      <c r="S381" s="11">
        <v>45416</v>
      </c>
      <c r="T381" t="s">
        <v>2843</v>
      </c>
      <c r="U381" t="s">
        <v>1663</v>
      </c>
    </row>
    <row r="382" spans="2:21" x14ac:dyDescent="0.3">
      <c r="B382" t="s">
        <v>1664</v>
      </c>
      <c r="C382" t="s">
        <v>2617</v>
      </c>
      <c r="D382" t="s">
        <v>2689</v>
      </c>
      <c r="E382" t="s">
        <v>2689</v>
      </c>
      <c r="F382" t="s">
        <v>2689</v>
      </c>
      <c r="G382" s="8">
        <v>2000</v>
      </c>
      <c r="H382" s="8">
        <f>+IF(BDAlquilerDepartamentos[[#This Row],[Ciudad]]="Lima",BDAlquilerDepartamentos[[#This Row],[Prec. Soles]]*0.1,BDAlquilerDepartamentos[[#This Row],[Prec. Soles]]*0.05)</f>
        <v>100</v>
      </c>
      <c r="I382" s="4">
        <v>1</v>
      </c>
      <c r="J382" s="4">
        <v>1</v>
      </c>
      <c r="K382" s="4" t="s">
        <v>3095</v>
      </c>
      <c r="L382" s="4" t="s">
        <v>3095</v>
      </c>
      <c r="M382" s="4">
        <v>71</v>
      </c>
      <c r="N382" s="4">
        <v>2003</v>
      </c>
      <c r="O382" s="4" t="str">
        <f>+IF(BDAlquilerDepartamentos[[#This Row],[Prec. Soles]]&gt;2500,"Caro","Economico")</f>
        <v>Economico</v>
      </c>
      <c r="P382" s="4" t="str">
        <f>+IF(AND(BDAlquilerDepartamentos[[#This Row],[N° de Dorm.]]&gt; 3,BDAlquilerDepartamentos[[#This Row],[Prec. Soles]]&lt;= 2500),"Buena Oferta", "Precio Estadar")</f>
        <v>Precio Estadar</v>
      </c>
      <c r="Q382" t="s">
        <v>1101</v>
      </c>
      <c r="R382" t="s">
        <v>1102</v>
      </c>
      <c r="S382" s="11">
        <v>45001</v>
      </c>
      <c r="T382" t="s">
        <v>2951</v>
      </c>
      <c r="U382" t="s">
        <v>1665</v>
      </c>
    </row>
    <row r="383" spans="2:21" x14ac:dyDescent="0.3">
      <c r="B383" t="s">
        <v>1666</v>
      </c>
      <c r="C383" t="s">
        <v>2618</v>
      </c>
      <c r="D383" t="s">
        <v>2689</v>
      </c>
      <c r="E383" t="s">
        <v>2689</v>
      </c>
      <c r="F383" t="s">
        <v>2689</v>
      </c>
      <c r="G383" s="8">
        <v>2700</v>
      </c>
      <c r="H383" s="8">
        <f>+IF(BDAlquilerDepartamentos[[#This Row],[Ciudad]]="Lima",BDAlquilerDepartamentos[[#This Row],[Prec. Soles]]*0.1,BDAlquilerDepartamentos[[#This Row],[Prec. Soles]]*0.05)</f>
        <v>135</v>
      </c>
      <c r="I383" s="4">
        <v>5</v>
      </c>
      <c r="J383" s="4">
        <v>5</v>
      </c>
      <c r="K383" s="4" t="s">
        <v>3096</v>
      </c>
      <c r="L383" s="4" t="s">
        <v>3096</v>
      </c>
      <c r="M383" s="4">
        <v>210</v>
      </c>
      <c r="N383" s="4">
        <v>2008</v>
      </c>
      <c r="O383" s="4" t="str">
        <f>+IF(BDAlquilerDepartamentos[[#This Row],[Prec. Soles]]&gt;2500,"Caro","Economico")</f>
        <v>Caro</v>
      </c>
      <c r="P383" s="4" t="str">
        <f>+IF(AND(BDAlquilerDepartamentos[[#This Row],[N° de Dorm.]]&gt; 3,BDAlquilerDepartamentos[[#This Row],[Prec. Soles]]&lt;= 2500),"Buena Oferta", "Precio Estadar")</f>
        <v>Precio Estadar</v>
      </c>
      <c r="Q383" t="s">
        <v>1101</v>
      </c>
      <c r="R383" t="s">
        <v>1102</v>
      </c>
      <c r="S383" s="11">
        <v>45022</v>
      </c>
      <c r="T383" t="s">
        <v>2951</v>
      </c>
      <c r="U383" t="s">
        <v>1667</v>
      </c>
    </row>
    <row r="384" spans="2:21" x14ac:dyDescent="0.3">
      <c r="B384" t="s">
        <v>1668</v>
      </c>
      <c r="C384" t="s">
        <v>2619</v>
      </c>
      <c r="D384" t="s">
        <v>2689</v>
      </c>
      <c r="E384" t="s">
        <v>2689</v>
      </c>
      <c r="F384" t="s">
        <v>2689</v>
      </c>
      <c r="G384" s="8">
        <v>2200</v>
      </c>
      <c r="H384" s="8">
        <f>+IF(BDAlquilerDepartamentos[[#This Row],[Ciudad]]="Lima",BDAlquilerDepartamentos[[#This Row],[Prec. Soles]]*0.1,BDAlquilerDepartamentos[[#This Row],[Prec. Soles]]*0.05)</f>
        <v>110</v>
      </c>
      <c r="I384" s="4">
        <v>3</v>
      </c>
      <c r="J384" s="4">
        <v>3</v>
      </c>
      <c r="K384" s="4" t="s">
        <v>3095</v>
      </c>
      <c r="L384" s="4" t="s">
        <v>3096</v>
      </c>
      <c r="M384" s="4">
        <v>145</v>
      </c>
      <c r="N384" s="4">
        <v>2011</v>
      </c>
      <c r="O384" s="4" t="str">
        <f>+IF(BDAlquilerDepartamentos[[#This Row],[Prec. Soles]]&gt;2500,"Caro","Economico")</f>
        <v>Economico</v>
      </c>
      <c r="P384" s="4" t="str">
        <f>+IF(AND(BDAlquilerDepartamentos[[#This Row],[N° de Dorm.]]&gt; 3,BDAlquilerDepartamentos[[#This Row],[Prec. Soles]]&lt;= 2500),"Buena Oferta", "Precio Estadar")</f>
        <v>Precio Estadar</v>
      </c>
      <c r="Q384" t="s">
        <v>1101</v>
      </c>
      <c r="R384" t="s">
        <v>1102</v>
      </c>
      <c r="S384" s="11">
        <v>45497</v>
      </c>
      <c r="T384" t="s">
        <v>2961</v>
      </c>
      <c r="U384" t="s">
        <v>1669</v>
      </c>
    </row>
    <row r="385" spans="2:21" x14ac:dyDescent="0.3">
      <c r="B385" t="s">
        <v>1670</v>
      </c>
      <c r="C385" t="s">
        <v>2620</v>
      </c>
      <c r="D385" t="s">
        <v>2432</v>
      </c>
      <c r="E385" t="s">
        <v>2580</v>
      </c>
      <c r="F385" t="s">
        <v>2580</v>
      </c>
      <c r="G385" s="8">
        <v>3500</v>
      </c>
      <c r="H385" s="8">
        <f>+IF(BDAlquilerDepartamentos[[#This Row],[Ciudad]]="Lima",BDAlquilerDepartamentos[[#This Row],[Prec. Soles]]*0.1,BDAlquilerDepartamentos[[#This Row],[Prec. Soles]]*0.05)</f>
        <v>350</v>
      </c>
      <c r="I385" s="4">
        <v>4</v>
      </c>
      <c r="J385" s="4">
        <v>3</v>
      </c>
      <c r="K385" s="4" t="s">
        <v>3095</v>
      </c>
      <c r="L385" s="4" t="s">
        <v>3096</v>
      </c>
      <c r="M385" s="4">
        <v>195</v>
      </c>
      <c r="N385" s="4">
        <v>2007</v>
      </c>
      <c r="O385" s="4" t="str">
        <f>+IF(BDAlquilerDepartamentos[[#This Row],[Prec. Soles]]&gt;2500,"Caro","Economico")</f>
        <v>Caro</v>
      </c>
      <c r="P385" s="4" t="str">
        <f>+IF(AND(BDAlquilerDepartamentos[[#This Row],[N° de Dorm.]]&gt; 3,BDAlquilerDepartamentos[[#This Row],[Prec. Soles]]&lt;= 2500),"Buena Oferta", "Precio Estadar")</f>
        <v>Precio Estadar</v>
      </c>
      <c r="Q385" t="s">
        <v>1113</v>
      </c>
      <c r="R385" t="s">
        <v>1102</v>
      </c>
      <c r="S385" s="11">
        <v>45468</v>
      </c>
      <c r="T385" t="s">
        <v>2852</v>
      </c>
      <c r="U385" t="s">
        <v>1671</v>
      </c>
    </row>
    <row r="386" spans="2:21" x14ac:dyDescent="0.3">
      <c r="B386" t="s">
        <v>1672</v>
      </c>
      <c r="C386" t="s">
        <v>2621</v>
      </c>
      <c r="D386" t="s">
        <v>2689</v>
      </c>
      <c r="E386" t="s">
        <v>3129</v>
      </c>
      <c r="F386" t="s">
        <v>3129</v>
      </c>
      <c r="G386" s="8">
        <v>2100</v>
      </c>
      <c r="H386" s="8">
        <f>+IF(BDAlquilerDepartamentos[[#This Row],[Ciudad]]="Lima",BDAlquilerDepartamentos[[#This Row],[Prec. Soles]]*0.1,BDAlquilerDepartamentos[[#This Row],[Prec. Soles]]*0.05)</f>
        <v>105</v>
      </c>
      <c r="I386" s="4">
        <v>4</v>
      </c>
      <c r="J386" s="4">
        <v>2</v>
      </c>
      <c r="K386" s="4" t="s">
        <v>3095</v>
      </c>
      <c r="L386" s="4" t="s">
        <v>3095</v>
      </c>
      <c r="M386" s="4">
        <v>110</v>
      </c>
      <c r="N386" s="4">
        <v>2004</v>
      </c>
      <c r="O386" s="4" t="str">
        <f>+IF(BDAlquilerDepartamentos[[#This Row],[Prec. Soles]]&gt;2500,"Caro","Economico")</f>
        <v>Economico</v>
      </c>
      <c r="P386" s="4" t="str">
        <f>+IF(AND(BDAlquilerDepartamentos[[#This Row],[N° de Dorm.]]&gt; 3,BDAlquilerDepartamentos[[#This Row],[Prec. Soles]]&lt;= 2500),"Buena Oferta", "Precio Estadar")</f>
        <v>Buena Oferta</v>
      </c>
      <c r="Q386" t="s">
        <v>1101</v>
      </c>
      <c r="R386" t="s">
        <v>1102</v>
      </c>
      <c r="S386" s="11">
        <v>45336</v>
      </c>
      <c r="T386" t="s">
        <v>2951</v>
      </c>
      <c r="U386" t="s">
        <v>1673</v>
      </c>
    </row>
    <row r="387" spans="2:21" x14ac:dyDescent="0.3">
      <c r="B387" t="s">
        <v>1381</v>
      </c>
      <c r="C387" t="s">
        <v>2537</v>
      </c>
      <c r="D387" t="s">
        <v>2428</v>
      </c>
      <c r="E387" t="s">
        <v>2580</v>
      </c>
      <c r="F387" t="s">
        <v>2580</v>
      </c>
      <c r="G387" s="8">
        <v>2900</v>
      </c>
      <c r="H387" s="8">
        <f>+IF(BDAlquilerDepartamentos[[#This Row],[Ciudad]]="Lima",BDAlquilerDepartamentos[[#This Row],[Prec. Soles]]*0.1,BDAlquilerDepartamentos[[#This Row],[Prec. Soles]]*0.05)</f>
        <v>290</v>
      </c>
      <c r="I387" s="4">
        <v>2</v>
      </c>
      <c r="J387" s="4">
        <v>2</v>
      </c>
      <c r="K387" s="4" t="s">
        <v>3095</v>
      </c>
      <c r="L387" s="4" t="s">
        <v>3095</v>
      </c>
      <c r="M387" s="4">
        <v>62</v>
      </c>
      <c r="N387" s="4">
        <v>2017</v>
      </c>
      <c r="O387" s="4" t="str">
        <f>+IF(BDAlquilerDepartamentos[[#This Row],[Prec. Soles]]&gt;2500,"Caro","Economico")</f>
        <v>Caro</v>
      </c>
      <c r="P387" s="4" t="str">
        <f>+IF(AND(BDAlquilerDepartamentos[[#This Row],[N° de Dorm.]]&gt; 3,BDAlquilerDepartamentos[[#This Row],[Prec. Soles]]&lt;= 2500),"Buena Oferta", "Precio Estadar")</f>
        <v>Precio Estadar</v>
      </c>
      <c r="Q387" t="s">
        <v>1101</v>
      </c>
      <c r="R387" t="s">
        <v>1102</v>
      </c>
      <c r="S387" s="11">
        <v>45347</v>
      </c>
      <c r="T387" t="s">
        <v>2893</v>
      </c>
      <c r="U387" t="s">
        <v>1674</v>
      </c>
    </row>
    <row r="388" spans="2:21" x14ac:dyDescent="0.3">
      <c r="B388" t="s">
        <v>3116</v>
      </c>
      <c r="C388" t="s">
        <v>2436</v>
      </c>
      <c r="D388" t="s">
        <v>2689</v>
      </c>
      <c r="E388" t="s">
        <v>3129</v>
      </c>
      <c r="F388" t="s">
        <v>3129</v>
      </c>
      <c r="G388" s="8">
        <v>4810</v>
      </c>
      <c r="H388" s="8">
        <f>+IF(BDAlquilerDepartamentos[[#This Row],[Ciudad]]="Lima",BDAlquilerDepartamentos[[#This Row],[Prec. Soles]]*0.1,BDAlquilerDepartamentos[[#This Row],[Prec. Soles]]*0.05)</f>
        <v>240.5</v>
      </c>
      <c r="I388" s="4">
        <v>3</v>
      </c>
      <c r="J388" s="4">
        <v>3</v>
      </c>
      <c r="K388" s="4" t="s">
        <v>3095</v>
      </c>
      <c r="L388" s="4" t="s">
        <v>3096</v>
      </c>
      <c r="M388" s="4">
        <v>190</v>
      </c>
      <c r="N388" s="4">
        <v>2013</v>
      </c>
      <c r="O388" s="4" t="str">
        <f>+IF(BDAlquilerDepartamentos[[#This Row],[Prec. Soles]]&gt;2500,"Caro","Economico")</f>
        <v>Caro</v>
      </c>
      <c r="P388" s="4" t="str">
        <f>+IF(AND(BDAlquilerDepartamentos[[#This Row],[N° de Dorm.]]&gt; 3,BDAlquilerDepartamentos[[#This Row],[Prec. Soles]]&lt;= 2500),"Buena Oferta", "Precio Estadar")</f>
        <v>Precio Estadar</v>
      </c>
      <c r="Q388" t="s">
        <v>1101</v>
      </c>
      <c r="R388" t="s">
        <v>1102</v>
      </c>
      <c r="S388" s="11">
        <v>45496</v>
      </c>
      <c r="T388" t="s">
        <v>2910</v>
      </c>
      <c r="U388" t="s">
        <v>1675</v>
      </c>
    </row>
    <row r="389" spans="2:21" x14ac:dyDescent="0.3">
      <c r="B389" t="s">
        <v>1187</v>
      </c>
      <c r="C389" t="s">
        <v>2464</v>
      </c>
      <c r="D389" t="s">
        <v>2436</v>
      </c>
      <c r="E389" t="s">
        <v>2580</v>
      </c>
      <c r="F389" t="s">
        <v>2580</v>
      </c>
      <c r="G389" s="8">
        <v>2923</v>
      </c>
      <c r="H389" s="8">
        <f>+IF(BDAlquilerDepartamentos[[#This Row],[Ciudad]]="Lima",BDAlquilerDepartamentos[[#This Row],[Prec. Soles]]*0.1,BDAlquilerDepartamentos[[#This Row],[Prec. Soles]]*0.05)</f>
        <v>292.3</v>
      </c>
      <c r="I389" s="4">
        <v>2</v>
      </c>
      <c r="J389" s="4">
        <v>2</v>
      </c>
      <c r="K389" s="4" t="s">
        <v>3096</v>
      </c>
      <c r="L389" s="4" t="s">
        <v>3096</v>
      </c>
      <c r="M389" s="4">
        <v>65</v>
      </c>
      <c r="N389" s="4">
        <v>2010</v>
      </c>
      <c r="O389" s="4" t="str">
        <f>+IF(BDAlquilerDepartamentos[[#This Row],[Prec. Soles]]&gt;2500,"Caro","Economico")</f>
        <v>Caro</v>
      </c>
      <c r="P389" s="4" t="str">
        <f>+IF(AND(BDAlquilerDepartamentos[[#This Row],[N° de Dorm.]]&gt; 3,BDAlquilerDepartamentos[[#This Row],[Prec. Soles]]&lt;= 2500),"Buena Oferta", "Precio Estadar")</f>
        <v>Precio Estadar</v>
      </c>
      <c r="Q389" t="s">
        <v>1101</v>
      </c>
      <c r="R389" t="s">
        <v>1102</v>
      </c>
      <c r="S389" s="11">
        <v>45152</v>
      </c>
      <c r="T389" t="s">
        <v>2962</v>
      </c>
      <c r="U389" t="s">
        <v>1676</v>
      </c>
    </row>
    <row r="390" spans="2:21" x14ac:dyDescent="0.3">
      <c r="B390" t="s">
        <v>1677</v>
      </c>
      <c r="C390" t="s">
        <v>2622</v>
      </c>
      <c r="D390" t="s">
        <v>2422</v>
      </c>
      <c r="E390" t="s">
        <v>2580</v>
      </c>
      <c r="F390" t="s">
        <v>2580</v>
      </c>
      <c r="G390" s="8">
        <v>9250</v>
      </c>
      <c r="H390" s="8">
        <f>+IF(BDAlquilerDepartamentos[[#This Row],[Ciudad]]="Lima",BDAlquilerDepartamentos[[#This Row],[Prec. Soles]]*0.1,BDAlquilerDepartamentos[[#This Row],[Prec. Soles]]*0.05)</f>
        <v>925</v>
      </c>
      <c r="I390" s="4">
        <v>5</v>
      </c>
      <c r="J390" s="4">
        <v>7</v>
      </c>
      <c r="K390" s="4" t="s">
        <v>3095</v>
      </c>
      <c r="L390" s="4" t="s">
        <v>3095</v>
      </c>
      <c r="M390" s="4">
        <v>360</v>
      </c>
      <c r="N390" s="4">
        <v>2017</v>
      </c>
      <c r="O390" s="4" t="str">
        <f>+IF(BDAlquilerDepartamentos[[#This Row],[Prec. Soles]]&gt;2500,"Caro","Economico")</f>
        <v>Caro</v>
      </c>
      <c r="P390" s="4" t="str">
        <f>+IF(AND(BDAlquilerDepartamentos[[#This Row],[N° de Dorm.]]&gt; 3,BDAlquilerDepartamentos[[#This Row],[Prec. Soles]]&lt;= 2500),"Buena Oferta", "Precio Estadar")</f>
        <v>Precio Estadar</v>
      </c>
      <c r="Q390" t="s">
        <v>1113</v>
      </c>
      <c r="R390" t="s">
        <v>1102</v>
      </c>
      <c r="S390" s="11">
        <v>45068</v>
      </c>
      <c r="T390" t="s">
        <v>2963</v>
      </c>
      <c r="U390" t="s">
        <v>1678</v>
      </c>
    </row>
    <row r="391" spans="2:21" x14ac:dyDescent="0.3">
      <c r="B391" t="s">
        <v>3113</v>
      </c>
      <c r="C391" t="s">
        <v>3114</v>
      </c>
      <c r="D391" t="s">
        <v>2436</v>
      </c>
      <c r="E391" t="s">
        <v>2580</v>
      </c>
      <c r="F391" t="s">
        <v>2580</v>
      </c>
      <c r="G391" s="8">
        <v>999</v>
      </c>
      <c r="H391" s="8">
        <f>+IF(BDAlquilerDepartamentos[[#This Row],[Ciudad]]="Lima",BDAlquilerDepartamentos[[#This Row],[Prec. Soles]]*0.1,BDAlquilerDepartamentos[[#This Row],[Prec. Soles]]*0.05)</f>
        <v>99.9</v>
      </c>
      <c r="I391" s="4">
        <v>1</v>
      </c>
      <c r="J391" s="4">
        <v>1</v>
      </c>
      <c r="K391" s="4" t="s">
        <v>3096</v>
      </c>
      <c r="L391" s="4" t="s">
        <v>3096</v>
      </c>
      <c r="M391" s="4">
        <v>20</v>
      </c>
      <c r="N391" s="4">
        <v>2009</v>
      </c>
      <c r="O391" s="4" t="str">
        <f>+IF(BDAlquilerDepartamentos[[#This Row],[Prec. Soles]]&gt;2500,"Caro","Economico")</f>
        <v>Economico</v>
      </c>
      <c r="P391" s="4" t="str">
        <f>+IF(AND(BDAlquilerDepartamentos[[#This Row],[N° de Dorm.]]&gt; 3,BDAlquilerDepartamentos[[#This Row],[Prec. Soles]]&lt;= 2500),"Buena Oferta", "Precio Estadar")</f>
        <v>Precio Estadar</v>
      </c>
      <c r="Q391" t="s">
        <v>1101</v>
      </c>
      <c r="R391" t="s">
        <v>1102</v>
      </c>
      <c r="S391" s="11">
        <v>45417</v>
      </c>
      <c r="T391" t="s">
        <v>2964</v>
      </c>
      <c r="U391" t="s">
        <v>1679</v>
      </c>
    </row>
    <row r="392" spans="2:21" x14ac:dyDescent="0.3">
      <c r="B392" t="s">
        <v>1118</v>
      </c>
      <c r="C392" t="s">
        <v>2426</v>
      </c>
      <c r="D392" t="s">
        <v>2436</v>
      </c>
      <c r="E392" t="s">
        <v>2580</v>
      </c>
      <c r="F392" t="s">
        <v>2580</v>
      </c>
      <c r="G392" s="8">
        <v>2590</v>
      </c>
      <c r="H392" s="8">
        <f>+IF(BDAlquilerDepartamentos[[#This Row],[Ciudad]]="Lima",BDAlquilerDepartamentos[[#This Row],[Prec. Soles]]*0.1,BDAlquilerDepartamentos[[#This Row],[Prec. Soles]]*0.05)</f>
        <v>259</v>
      </c>
      <c r="I392" s="4">
        <v>2</v>
      </c>
      <c r="J392" s="4">
        <v>2</v>
      </c>
      <c r="K392" s="4" t="s">
        <v>3096</v>
      </c>
      <c r="L392" s="4" t="s">
        <v>3096</v>
      </c>
      <c r="M392" s="4">
        <v>90</v>
      </c>
      <c r="N392" s="4">
        <v>2012</v>
      </c>
      <c r="O392" s="4" t="str">
        <f>+IF(BDAlquilerDepartamentos[[#This Row],[Prec. Soles]]&gt;2500,"Caro","Economico")</f>
        <v>Caro</v>
      </c>
      <c r="P392" s="4" t="str">
        <f>+IF(AND(BDAlquilerDepartamentos[[#This Row],[N° de Dorm.]]&gt; 3,BDAlquilerDepartamentos[[#This Row],[Prec. Soles]]&lt;= 2500),"Buena Oferta", "Precio Estadar")</f>
        <v>Precio Estadar</v>
      </c>
      <c r="Q392" t="s">
        <v>1101</v>
      </c>
      <c r="R392" t="s">
        <v>1102</v>
      </c>
      <c r="S392" s="11">
        <v>45274</v>
      </c>
      <c r="T392" t="s">
        <v>2940</v>
      </c>
      <c r="U392" t="s">
        <v>1680</v>
      </c>
    </row>
    <row r="393" spans="2:21" x14ac:dyDescent="0.3">
      <c r="B393" t="s">
        <v>1118</v>
      </c>
      <c r="C393" t="s">
        <v>2426</v>
      </c>
      <c r="D393" t="s">
        <v>2436</v>
      </c>
      <c r="E393" t="s">
        <v>2580</v>
      </c>
      <c r="F393" t="s">
        <v>2580</v>
      </c>
      <c r="G393" s="8">
        <v>4625</v>
      </c>
      <c r="H393" s="8">
        <f>+IF(BDAlquilerDepartamentos[[#This Row],[Ciudad]]="Lima",BDAlquilerDepartamentos[[#This Row],[Prec. Soles]]*0.1,BDAlquilerDepartamentos[[#This Row],[Prec. Soles]]*0.05)</f>
        <v>462.5</v>
      </c>
      <c r="I393" s="4">
        <v>3</v>
      </c>
      <c r="J393" s="4">
        <v>4</v>
      </c>
      <c r="K393" s="4" t="s">
        <v>3095</v>
      </c>
      <c r="L393" s="4" t="s">
        <v>3096</v>
      </c>
      <c r="M393" s="4">
        <v>160</v>
      </c>
      <c r="N393" s="4">
        <v>2010</v>
      </c>
      <c r="O393" s="4" t="str">
        <f>+IF(BDAlquilerDepartamentos[[#This Row],[Prec. Soles]]&gt;2500,"Caro","Economico")</f>
        <v>Caro</v>
      </c>
      <c r="P393" s="4" t="str">
        <f>+IF(AND(BDAlquilerDepartamentos[[#This Row],[N° de Dorm.]]&gt; 3,BDAlquilerDepartamentos[[#This Row],[Prec. Soles]]&lt;= 2500),"Buena Oferta", "Precio Estadar")</f>
        <v>Precio Estadar</v>
      </c>
      <c r="Q393" t="s">
        <v>1101</v>
      </c>
      <c r="R393" t="s">
        <v>1102</v>
      </c>
      <c r="S393" s="11">
        <v>45583</v>
      </c>
      <c r="T393" t="s">
        <v>2821</v>
      </c>
      <c r="U393" t="s">
        <v>1681</v>
      </c>
    </row>
    <row r="394" spans="2:21" x14ac:dyDescent="0.3">
      <c r="B394" t="s">
        <v>1682</v>
      </c>
      <c r="C394" t="s">
        <v>2415</v>
      </c>
      <c r="D394" t="s">
        <v>2436</v>
      </c>
      <c r="E394" t="s">
        <v>2580</v>
      </c>
      <c r="F394" t="s">
        <v>2580</v>
      </c>
      <c r="G394" s="8">
        <v>4810</v>
      </c>
      <c r="H394" s="8">
        <f>+IF(BDAlquilerDepartamentos[[#This Row],[Ciudad]]="Lima",BDAlquilerDepartamentos[[#This Row],[Prec. Soles]]*0.1,BDAlquilerDepartamentos[[#This Row],[Prec. Soles]]*0.05)</f>
        <v>481</v>
      </c>
      <c r="I394" s="4">
        <v>4</v>
      </c>
      <c r="J394" s="4">
        <v>3</v>
      </c>
      <c r="K394" s="4" t="s">
        <v>3096</v>
      </c>
      <c r="L394" s="4" t="s">
        <v>3095</v>
      </c>
      <c r="M394" s="4">
        <v>220</v>
      </c>
      <c r="N394" s="4">
        <v>2017</v>
      </c>
      <c r="O394" s="4" t="str">
        <f>+IF(BDAlquilerDepartamentos[[#This Row],[Prec. Soles]]&gt;2500,"Caro","Economico")</f>
        <v>Caro</v>
      </c>
      <c r="P394" s="4" t="str">
        <f>+IF(AND(BDAlquilerDepartamentos[[#This Row],[N° de Dorm.]]&gt; 3,BDAlquilerDepartamentos[[#This Row],[Prec. Soles]]&lt;= 2500),"Buena Oferta", "Precio Estadar")</f>
        <v>Precio Estadar</v>
      </c>
      <c r="Q394" t="s">
        <v>1113</v>
      </c>
      <c r="R394" t="s">
        <v>1102</v>
      </c>
      <c r="S394" s="11">
        <v>45247</v>
      </c>
      <c r="T394" t="s">
        <v>2896</v>
      </c>
      <c r="U394" t="s">
        <v>1683</v>
      </c>
    </row>
    <row r="395" spans="2:21" x14ac:dyDescent="0.3">
      <c r="B395" t="s">
        <v>1684</v>
      </c>
      <c r="C395" t="s">
        <v>2623</v>
      </c>
      <c r="D395" t="s">
        <v>2624</v>
      </c>
      <c r="E395" t="s">
        <v>2580</v>
      </c>
      <c r="F395" t="s">
        <v>2580</v>
      </c>
      <c r="G395" s="8">
        <v>1000</v>
      </c>
      <c r="H395" s="8">
        <f>+IF(BDAlquilerDepartamentos[[#This Row],[Ciudad]]="Lima",BDAlquilerDepartamentos[[#This Row],[Prec. Soles]]*0.1,BDAlquilerDepartamentos[[#This Row],[Prec. Soles]]*0.05)</f>
        <v>100</v>
      </c>
      <c r="I395" s="4">
        <v>3</v>
      </c>
      <c r="J395" s="4">
        <v>2</v>
      </c>
      <c r="K395" s="4" t="s">
        <v>3095</v>
      </c>
      <c r="L395" s="4" t="s">
        <v>3095</v>
      </c>
      <c r="M395" s="4">
        <v>67</v>
      </c>
      <c r="N395" s="4">
        <v>2006</v>
      </c>
      <c r="O395" s="4" t="str">
        <f>+IF(BDAlquilerDepartamentos[[#This Row],[Prec. Soles]]&gt;2500,"Caro","Economico")</f>
        <v>Economico</v>
      </c>
      <c r="P395" s="4" t="str">
        <f>+IF(AND(BDAlquilerDepartamentos[[#This Row],[N° de Dorm.]]&gt; 3,BDAlquilerDepartamentos[[#This Row],[Prec. Soles]]&lt;= 2500),"Buena Oferta", "Precio Estadar")</f>
        <v>Precio Estadar</v>
      </c>
      <c r="Q395" t="s">
        <v>1101</v>
      </c>
      <c r="R395" t="s">
        <v>1102</v>
      </c>
      <c r="S395" s="11">
        <v>45014</v>
      </c>
      <c r="T395" t="s">
        <v>2843</v>
      </c>
      <c r="U395" t="s">
        <v>1685</v>
      </c>
    </row>
    <row r="396" spans="2:21" x14ac:dyDescent="0.3">
      <c r="B396" t="s">
        <v>1686</v>
      </c>
      <c r="C396" t="s">
        <v>2625</v>
      </c>
      <c r="D396" t="s">
        <v>2422</v>
      </c>
      <c r="E396" t="s">
        <v>2580</v>
      </c>
      <c r="F396" t="s">
        <v>2580</v>
      </c>
      <c r="G396" s="8">
        <v>2000</v>
      </c>
      <c r="H396" s="8">
        <f>+IF(BDAlquilerDepartamentos[[#This Row],[Ciudad]]="Lima",BDAlquilerDepartamentos[[#This Row],[Prec. Soles]]*0.1,BDAlquilerDepartamentos[[#This Row],[Prec. Soles]]*0.05)</f>
        <v>200</v>
      </c>
      <c r="I396" s="4">
        <v>3</v>
      </c>
      <c r="J396" s="4">
        <v>1</v>
      </c>
      <c r="K396" s="4" t="s">
        <v>3096</v>
      </c>
      <c r="L396" s="4" t="s">
        <v>3095</v>
      </c>
      <c r="M396" s="4">
        <v>90</v>
      </c>
      <c r="N396" s="4">
        <v>2017</v>
      </c>
      <c r="O396" s="4" t="str">
        <f>+IF(BDAlquilerDepartamentos[[#This Row],[Prec. Soles]]&gt;2500,"Caro","Economico")</f>
        <v>Economico</v>
      </c>
      <c r="P396" s="4" t="str">
        <f>+IF(AND(BDAlquilerDepartamentos[[#This Row],[N° de Dorm.]]&gt; 3,BDAlquilerDepartamentos[[#This Row],[Prec. Soles]]&lt;= 2500),"Buena Oferta", "Precio Estadar")</f>
        <v>Precio Estadar</v>
      </c>
      <c r="Q396" t="s">
        <v>1101</v>
      </c>
      <c r="R396" t="s">
        <v>1102</v>
      </c>
      <c r="S396" s="11">
        <v>45426</v>
      </c>
      <c r="T396" t="s">
        <v>2965</v>
      </c>
      <c r="U396" t="s">
        <v>1687</v>
      </c>
    </row>
    <row r="397" spans="2:21" x14ac:dyDescent="0.3">
      <c r="B397" t="s">
        <v>1688</v>
      </c>
      <c r="C397" t="s">
        <v>2626</v>
      </c>
      <c r="D397" t="s">
        <v>2501</v>
      </c>
      <c r="E397" t="s">
        <v>2580</v>
      </c>
      <c r="F397" t="s">
        <v>2580</v>
      </c>
      <c r="G397" s="8">
        <v>2600</v>
      </c>
      <c r="H397" s="8">
        <f>+IF(BDAlquilerDepartamentos[[#This Row],[Ciudad]]="Lima",BDAlquilerDepartamentos[[#This Row],[Prec. Soles]]*0.1,BDAlquilerDepartamentos[[#This Row],[Prec. Soles]]*0.05)</f>
        <v>260</v>
      </c>
      <c r="I397" s="4">
        <v>3</v>
      </c>
      <c r="J397" s="4">
        <v>2</v>
      </c>
      <c r="K397" s="4" t="s">
        <v>3096</v>
      </c>
      <c r="L397" s="4" t="s">
        <v>3096</v>
      </c>
      <c r="M397" s="4">
        <v>85</v>
      </c>
      <c r="N397" s="4">
        <v>2013</v>
      </c>
      <c r="O397" s="4" t="str">
        <f>+IF(BDAlquilerDepartamentos[[#This Row],[Prec. Soles]]&gt;2500,"Caro","Economico")</f>
        <v>Caro</v>
      </c>
      <c r="P397" s="4" t="str">
        <f>+IF(AND(BDAlquilerDepartamentos[[#This Row],[N° de Dorm.]]&gt; 3,BDAlquilerDepartamentos[[#This Row],[Prec. Soles]]&lt;= 2500),"Buena Oferta", "Precio Estadar")</f>
        <v>Precio Estadar</v>
      </c>
      <c r="Q397" t="s">
        <v>1101</v>
      </c>
      <c r="R397" t="s">
        <v>1102</v>
      </c>
      <c r="S397" s="11">
        <v>45406</v>
      </c>
      <c r="T397" t="s">
        <v>2966</v>
      </c>
      <c r="U397" t="s">
        <v>1689</v>
      </c>
    </row>
    <row r="398" spans="2:21" x14ac:dyDescent="0.3">
      <c r="B398" t="s">
        <v>1690</v>
      </c>
      <c r="C398" t="s">
        <v>2627</v>
      </c>
      <c r="D398" t="s">
        <v>2436</v>
      </c>
      <c r="E398" t="s">
        <v>2580</v>
      </c>
      <c r="F398" t="s">
        <v>2580</v>
      </c>
      <c r="G398" s="8">
        <v>2700</v>
      </c>
      <c r="H398" s="8">
        <f>+IF(BDAlquilerDepartamentos[[#This Row],[Ciudad]]="Lima",BDAlquilerDepartamentos[[#This Row],[Prec. Soles]]*0.1,BDAlquilerDepartamentos[[#This Row],[Prec. Soles]]*0.05)</f>
        <v>270</v>
      </c>
      <c r="I398" s="4">
        <v>3</v>
      </c>
      <c r="J398" s="4">
        <v>4</v>
      </c>
      <c r="K398" s="4" t="s">
        <v>3095</v>
      </c>
      <c r="L398" s="4" t="s">
        <v>3095</v>
      </c>
      <c r="M398" s="4">
        <v>100</v>
      </c>
      <c r="N398" s="4">
        <v>2007</v>
      </c>
      <c r="O398" s="4" t="str">
        <f>+IF(BDAlquilerDepartamentos[[#This Row],[Prec. Soles]]&gt;2500,"Caro","Economico")</f>
        <v>Caro</v>
      </c>
      <c r="P398" s="4" t="str">
        <f>+IF(AND(BDAlquilerDepartamentos[[#This Row],[N° de Dorm.]]&gt; 3,BDAlquilerDepartamentos[[#This Row],[Prec. Soles]]&lt;= 2500),"Buena Oferta", "Precio Estadar")</f>
        <v>Precio Estadar</v>
      </c>
      <c r="Q398" t="s">
        <v>1101</v>
      </c>
      <c r="R398" t="s">
        <v>1102</v>
      </c>
      <c r="S398" s="11">
        <v>45576</v>
      </c>
      <c r="T398" t="s">
        <v>2947</v>
      </c>
      <c r="U398" t="s">
        <v>1691</v>
      </c>
    </row>
    <row r="399" spans="2:21" x14ac:dyDescent="0.3">
      <c r="B399" t="s">
        <v>1692</v>
      </c>
      <c r="C399" t="s">
        <v>2628</v>
      </c>
      <c r="D399" t="s">
        <v>2548</v>
      </c>
      <c r="E399" t="s">
        <v>2473</v>
      </c>
      <c r="F399" t="s">
        <v>2473</v>
      </c>
      <c r="G399" s="8">
        <v>1450</v>
      </c>
      <c r="H399" s="8">
        <f>+IF(BDAlquilerDepartamentos[[#This Row],[Ciudad]]="Lima",BDAlquilerDepartamentos[[#This Row],[Prec. Soles]]*0.1,BDAlquilerDepartamentos[[#This Row],[Prec. Soles]]*0.05)</f>
        <v>72.5</v>
      </c>
      <c r="I399" s="4">
        <v>2</v>
      </c>
      <c r="J399" s="4">
        <v>2</v>
      </c>
      <c r="K399" s="4" t="s">
        <v>3095</v>
      </c>
      <c r="L399" s="4" t="s">
        <v>3095</v>
      </c>
      <c r="M399" s="4">
        <v>65</v>
      </c>
      <c r="N399" s="4">
        <v>2010</v>
      </c>
      <c r="O399" s="4" t="str">
        <f>+IF(BDAlquilerDepartamentos[[#This Row],[Prec. Soles]]&gt;2500,"Caro","Economico")</f>
        <v>Economico</v>
      </c>
      <c r="P399" s="4" t="str">
        <f>+IF(AND(BDAlquilerDepartamentos[[#This Row],[N° de Dorm.]]&gt; 3,BDAlquilerDepartamentos[[#This Row],[Prec. Soles]]&lt;= 2500),"Buena Oferta", "Precio Estadar")</f>
        <v>Precio Estadar</v>
      </c>
      <c r="Q399" t="s">
        <v>1101</v>
      </c>
      <c r="R399" t="s">
        <v>1102</v>
      </c>
      <c r="S399" s="11">
        <v>45533</v>
      </c>
      <c r="T399" t="s">
        <v>2967</v>
      </c>
      <c r="U399" t="s">
        <v>1693</v>
      </c>
    </row>
    <row r="400" spans="2:21" x14ac:dyDescent="0.3">
      <c r="B400" t="s">
        <v>1692</v>
      </c>
      <c r="C400" t="s">
        <v>2628</v>
      </c>
      <c r="D400" t="s">
        <v>2548</v>
      </c>
      <c r="E400" t="s">
        <v>2473</v>
      </c>
      <c r="F400" t="s">
        <v>2473</v>
      </c>
      <c r="G400" s="8">
        <v>1350</v>
      </c>
      <c r="H400" s="8">
        <f>+IF(BDAlquilerDepartamentos[[#This Row],[Ciudad]]="Lima",BDAlquilerDepartamentos[[#This Row],[Prec. Soles]]*0.1,BDAlquilerDepartamentos[[#This Row],[Prec. Soles]]*0.05)</f>
        <v>67.5</v>
      </c>
      <c r="I400" s="4">
        <v>2</v>
      </c>
      <c r="J400" s="4">
        <v>1</v>
      </c>
      <c r="K400" s="4" t="s">
        <v>3095</v>
      </c>
      <c r="L400" s="4" t="s">
        <v>3096</v>
      </c>
      <c r="M400" s="4">
        <v>50</v>
      </c>
      <c r="N400" s="4">
        <v>2003</v>
      </c>
      <c r="O400" s="4" t="str">
        <f>+IF(BDAlquilerDepartamentos[[#This Row],[Prec. Soles]]&gt;2500,"Caro","Economico")</f>
        <v>Economico</v>
      </c>
      <c r="P400" s="4" t="str">
        <f>+IF(AND(BDAlquilerDepartamentos[[#This Row],[N° de Dorm.]]&gt; 3,BDAlquilerDepartamentos[[#This Row],[Prec. Soles]]&lt;= 2500),"Buena Oferta", "Precio Estadar")</f>
        <v>Precio Estadar</v>
      </c>
      <c r="Q400" t="s">
        <v>1101</v>
      </c>
      <c r="R400" t="s">
        <v>1102</v>
      </c>
      <c r="S400" s="11">
        <v>45392</v>
      </c>
      <c r="T400" t="s">
        <v>2967</v>
      </c>
      <c r="U400" t="s">
        <v>1694</v>
      </c>
    </row>
    <row r="401" spans="2:21" x14ac:dyDescent="0.3">
      <c r="B401" t="s">
        <v>1260</v>
      </c>
      <c r="C401" t="s">
        <v>2493</v>
      </c>
      <c r="D401" t="s">
        <v>2428</v>
      </c>
      <c r="E401" t="s">
        <v>2580</v>
      </c>
      <c r="F401" t="s">
        <v>2580</v>
      </c>
      <c r="G401" s="8">
        <v>3700</v>
      </c>
      <c r="H401" s="8">
        <f>+IF(BDAlquilerDepartamentos[[#This Row],[Ciudad]]="Lima",BDAlquilerDepartamentos[[#This Row],[Prec. Soles]]*0.1,BDAlquilerDepartamentos[[#This Row],[Prec. Soles]]*0.05)</f>
        <v>370</v>
      </c>
      <c r="I401" s="4">
        <v>2</v>
      </c>
      <c r="J401" s="4">
        <v>2</v>
      </c>
      <c r="K401" s="4" t="s">
        <v>3095</v>
      </c>
      <c r="L401" s="4" t="s">
        <v>3096</v>
      </c>
      <c r="M401" s="4">
        <v>72</v>
      </c>
      <c r="N401" s="4">
        <v>2005</v>
      </c>
      <c r="O401" s="4" t="str">
        <f>+IF(BDAlquilerDepartamentos[[#This Row],[Prec. Soles]]&gt;2500,"Caro","Economico")</f>
        <v>Caro</v>
      </c>
      <c r="P401" s="4" t="str">
        <f>+IF(AND(BDAlquilerDepartamentos[[#This Row],[N° de Dorm.]]&gt; 3,BDAlquilerDepartamentos[[#This Row],[Prec. Soles]]&lt;= 2500),"Buena Oferta", "Precio Estadar")</f>
        <v>Precio Estadar</v>
      </c>
      <c r="Q401" t="s">
        <v>1101</v>
      </c>
      <c r="R401" t="s">
        <v>1102</v>
      </c>
      <c r="S401" s="11">
        <v>44942</v>
      </c>
      <c r="T401" t="s">
        <v>2821</v>
      </c>
      <c r="U401" t="s">
        <v>1695</v>
      </c>
    </row>
    <row r="402" spans="2:21" x14ac:dyDescent="0.3">
      <c r="B402" t="s">
        <v>3113</v>
      </c>
      <c r="C402" t="s">
        <v>3114</v>
      </c>
      <c r="D402" t="s">
        <v>2436</v>
      </c>
      <c r="E402" t="s">
        <v>2580</v>
      </c>
      <c r="F402" t="s">
        <v>2580</v>
      </c>
      <c r="G402" s="8">
        <v>3700</v>
      </c>
      <c r="H402" s="8">
        <f>+IF(BDAlquilerDepartamentos[[#This Row],[Ciudad]]="Lima",BDAlquilerDepartamentos[[#This Row],[Prec. Soles]]*0.1,BDAlquilerDepartamentos[[#This Row],[Prec. Soles]]*0.05)</f>
        <v>370</v>
      </c>
      <c r="I402" s="4">
        <v>2</v>
      </c>
      <c r="J402" s="4">
        <v>2</v>
      </c>
      <c r="K402" s="4" t="s">
        <v>3095</v>
      </c>
      <c r="L402" s="4" t="s">
        <v>3096</v>
      </c>
      <c r="M402" s="4">
        <v>100</v>
      </c>
      <c r="N402" s="4">
        <v>2003</v>
      </c>
      <c r="O402" s="4" t="str">
        <f>+IF(BDAlquilerDepartamentos[[#This Row],[Prec. Soles]]&gt;2500,"Caro","Economico")</f>
        <v>Caro</v>
      </c>
      <c r="P402" s="4" t="str">
        <f>+IF(AND(BDAlquilerDepartamentos[[#This Row],[N° de Dorm.]]&gt; 3,BDAlquilerDepartamentos[[#This Row],[Prec. Soles]]&lt;= 2500),"Buena Oferta", "Precio Estadar")</f>
        <v>Precio Estadar</v>
      </c>
      <c r="Q402" t="s">
        <v>1101</v>
      </c>
      <c r="R402" t="s">
        <v>1102</v>
      </c>
      <c r="S402" s="11">
        <v>45338</v>
      </c>
      <c r="T402" t="s">
        <v>2882</v>
      </c>
      <c r="U402" t="s">
        <v>1696</v>
      </c>
    </row>
    <row r="403" spans="2:21" x14ac:dyDescent="0.3">
      <c r="B403" t="s">
        <v>1697</v>
      </c>
      <c r="C403" t="s">
        <v>2629</v>
      </c>
      <c r="D403" t="s">
        <v>2422</v>
      </c>
      <c r="E403" t="s">
        <v>2580</v>
      </c>
      <c r="F403" t="s">
        <v>2580</v>
      </c>
      <c r="G403" s="8">
        <v>2800</v>
      </c>
      <c r="H403" s="8">
        <f>+IF(BDAlquilerDepartamentos[[#This Row],[Ciudad]]="Lima",BDAlquilerDepartamentos[[#This Row],[Prec. Soles]]*0.1,BDAlquilerDepartamentos[[#This Row],[Prec. Soles]]*0.05)</f>
        <v>280</v>
      </c>
      <c r="I403" s="4">
        <v>4</v>
      </c>
      <c r="J403" s="4">
        <v>4</v>
      </c>
      <c r="K403" s="4" t="s">
        <v>3096</v>
      </c>
      <c r="L403" s="4" t="s">
        <v>3095</v>
      </c>
      <c r="M403" s="4">
        <v>120</v>
      </c>
      <c r="N403" s="4">
        <v>2014</v>
      </c>
      <c r="O403" s="4" t="str">
        <f>+IF(BDAlquilerDepartamentos[[#This Row],[Prec. Soles]]&gt;2500,"Caro","Economico")</f>
        <v>Caro</v>
      </c>
      <c r="P403" s="4" t="str">
        <f>+IF(AND(BDAlquilerDepartamentos[[#This Row],[N° de Dorm.]]&gt; 3,BDAlquilerDepartamentos[[#This Row],[Prec. Soles]]&lt;= 2500),"Buena Oferta", "Precio Estadar")</f>
        <v>Precio Estadar</v>
      </c>
      <c r="Q403" t="s">
        <v>1101</v>
      </c>
      <c r="R403" t="s">
        <v>1102</v>
      </c>
      <c r="S403" s="11">
        <v>45478</v>
      </c>
      <c r="T403" t="s">
        <v>2833</v>
      </c>
      <c r="U403" t="s">
        <v>1698</v>
      </c>
    </row>
    <row r="404" spans="2:21" x14ac:dyDescent="0.3">
      <c r="B404" t="s">
        <v>1699</v>
      </c>
      <c r="C404" t="s">
        <v>2561</v>
      </c>
      <c r="D404" t="s">
        <v>2428</v>
      </c>
      <c r="E404" t="s">
        <v>2580</v>
      </c>
      <c r="F404" t="s">
        <v>2580</v>
      </c>
      <c r="G404" s="8">
        <v>7030</v>
      </c>
      <c r="H404" s="8">
        <f>+IF(BDAlquilerDepartamentos[[#This Row],[Ciudad]]="Lima",BDAlquilerDepartamentos[[#This Row],[Prec. Soles]]*0.1,BDAlquilerDepartamentos[[#This Row],[Prec. Soles]]*0.05)</f>
        <v>703</v>
      </c>
      <c r="I404" s="4">
        <v>5</v>
      </c>
      <c r="J404" s="4">
        <v>5</v>
      </c>
      <c r="K404" s="4" t="s">
        <v>3095</v>
      </c>
      <c r="L404" s="4" t="s">
        <v>3096</v>
      </c>
      <c r="M404" s="4">
        <v>186</v>
      </c>
      <c r="N404" s="4">
        <v>2012</v>
      </c>
      <c r="O404" s="4" t="str">
        <f>+IF(BDAlquilerDepartamentos[[#This Row],[Prec. Soles]]&gt;2500,"Caro","Economico")</f>
        <v>Caro</v>
      </c>
      <c r="P404" s="4" t="str">
        <f>+IF(AND(BDAlquilerDepartamentos[[#This Row],[N° de Dorm.]]&gt; 3,BDAlquilerDepartamentos[[#This Row],[Prec. Soles]]&lt;= 2500),"Buena Oferta", "Precio Estadar")</f>
        <v>Precio Estadar</v>
      </c>
      <c r="Q404" t="s">
        <v>1113</v>
      </c>
      <c r="R404" t="s">
        <v>1102</v>
      </c>
      <c r="S404" s="11">
        <v>45460</v>
      </c>
      <c r="T404" t="s">
        <v>2860</v>
      </c>
      <c r="U404" t="s">
        <v>1700</v>
      </c>
    </row>
    <row r="405" spans="2:21" x14ac:dyDescent="0.3">
      <c r="B405" t="s">
        <v>3113</v>
      </c>
      <c r="C405" t="s">
        <v>3114</v>
      </c>
      <c r="D405" t="s">
        <v>2436</v>
      </c>
      <c r="E405" t="s">
        <v>2580</v>
      </c>
      <c r="F405" t="s">
        <v>2580</v>
      </c>
      <c r="G405" s="8">
        <v>4625</v>
      </c>
      <c r="H405" s="8">
        <f>+IF(BDAlquilerDepartamentos[[#This Row],[Ciudad]]="Lima",BDAlquilerDepartamentos[[#This Row],[Prec. Soles]]*0.1,BDAlquilerDepartamentos[[#This Row],[Prec. Soles]]*0.05)</f>
        <v>462.5</v>
      </c>
      <c r="I405" s="4">
        <v>4</v>
      </c>
      <c r="J405" s="4">
        <v>3</v>
      </c>
      <c r="K405" s="4" t="s">
        <v>3096</v>
      </c>
      <c r="L405" s="4" t="s">
        <v>3095</v>
      </c>
      <c r="M405" s="4">
        <v>200</v>
      </c>
      <c r="N405" s="4">
        <v>2010</v>
      </c>
      <c r="O405" s="4" t="str">
        <f>+IF(BDAlquilerDepartamentos[[#This Row],[Prec. Soles]]&gt;2500,"Caro","Economico")</f>
        <v>Caro</v>
      </c>
      <c r="P405" s="4" t="str">
        <f>+IF(AND(BDAlquilerDepartamentos[[#This Row],[N° de Dorm.]]&gt; 3,BDAlquilerDepartamentos[[#This Row],[Prec. Soles]]&lt;= 2500),"Buena Oferta", "Precio Estadar")</f>
        <v>Precio Estadar</v>
      </c>
      <c r="Q405" t="s">
        <v>1101</v>
      </c>
      <c r="R405" t="s">
        <v>1102</v>
      </c>
      <c r="S405" s="11">
        <v>45586</v>
      </c>
      <c r="T405" t="s">
        <v>2968</v>
      </c>
      <c r="U405" t="s">
        <v>1701</v>
      </c>
    </row>
    <row r="406" spans="2:21" x14ac:dyDescent="0.3">
      <c r="B406" t="s">
        <v>1702</v>
      </c>
      <c r="C406" t="s">
        <v>2630</v>
      </c>
      <c r="D406" t="s">
        <v>2422</v>
      </c>
      <c r="E406" t="s">
        <v>2580</v>
      </c>
      <c r="F406" t="s">
        <v>2580</v>
      </c>
      <c r="G406" s="8">
        <v>2300</v>
      </c>
      <c r="H406" s="8">
        <f>+IF(BDAlquilerDepartamentos[[#This Row],[Ciudad]]="Lima",BDAlquilerDepartamentos[[#This Row],[Prec. Soles]]*0.1,BDAlquilerDepartamentos[[#This Row],[Prec. Soles]]*0.05)</f>
        <v>230</v>
      </c>
      <c r="I406" s="4">
        <v>3</v>
      </c>
      <c r="J406" s="4">
        <v>3</v>
      </c>
      <c r="K406" s="4" t="s">
        <v>3095</v>
      </c>
      <c r="L406" s="4" t="s">
        <v>3096</v>
      </c>
      <c r="M406" s="4">
        <v>118</v>
      </c>
      <c r="N406" s="4">
        <v>2015</v>
      </c>
      <c r="O406" s="4" t="str">
        <f>+IF(BDAlquilerDepartamentos[[#This Row],[Prec. Soles]]&gt;2500,"Caro","Economico")</f>
        <v>Economico</v>
      </c>
      <c r="P406" s="4" t="str">
        <f>+IF(AND(BDAlquilerDepartamentos[[#This Row],[N° de Dorm.]]&gt; 3,BDAlquilerDepartamentos[[#This Row],[Prec. Soles]]&lt;= 2500),"Buena Oferta", "Precio Estadar")</f>
        <v>Precio Estadar</v>
      </c>
      <c r="Q406" t="s">
        <v>1101</v>
      </c>
      <c r="R406" t="s">
        <v>1102</v>
      </c>
      <c r="S406" s="11">
        <v>45219</v>
      </c>
      <c r="T406" t="s">
        <v>2833</v>
      </c>
      <c r="U406" t="s">
        <v>1703</v>
      </c>
    </row>
    <row r="407" spans="2:21" x14ac:dyDescent="0.3">
      <c r="B407" t="s">
        <v>1704</v>
      </c>
      <c r="C407" t="s">
        <v>2631</v>
      </c>
      <c r="D407" t="s">
        <v>2580</v>
      </c>
      <c r="E407" t="s">
        <v>2580</v>
      </c>
      <c r="F407" t="s">
        <v>2580</v>
      </c>
      <c r="G407" s="8">
        <v>3145</v>
      </c>
      <c r="H407" s="8">
        <f>+IF(BDAlquilerDepartamentos[[#This Row],[Ciudad]]="Lima",BDAlquilerDepartamentos[[#This Row],[Prec. Soles]]*0.1,BDAlquilerDepartamentos[[#This Row],[Prec. Soles]]*0.05)</f>
        <v>314.5</v>
      </c>
      <c r="I407" s="4">
        <v>2</v>
      </c>
      <c r="J407" s="4">
        <v>2</v>
      </c>
      <c r="K407" s="4" t="s">
        <v>3096</v>
      </c>
      <c r="L407" s="4" t="s">
        <v>3096</v>
      </c>
      <c r="M407" s="4">
        <v>75</v>
      </c>
      <c r="N407" s="4">
        <v>2015</v>
      </c>
      <c r="O407" s="4" t="str">
        <f>+IF(BDAlquilerDepartamentos[[#This Row],[Prec. Soles]]&gt;2500,"Caro","Economico")</f>
        <v>Caro</v>
      </c>
      <c r="P407" s="4" t="str">
        <f>+IF(AND(BDAlquilerDepartamentos[[#This Row],[N° de Dorm.]]&gt; 3,BDAlquilerDepartamentos[[#This Row],[Prec. Soles]]&lt;= 2500),"Buena Oferta", "Precio Estadar")</f>
        <v>Precio Estadar</v>
      </c>
      <c r="Q407" t="s">
        <v>1101</v>
      </c>
      <c r="R407" t="s">
        <v>1102</v>
      </c>
      <c r="S407" s="11">
        <v>45500</v>
      </c>
      <c r="T407" t="s">
        <v>2969</v>
      </c>
      <c r="U407" t="s">
        <v>1705</v>
      </c>
    </row>
    <row r="408" spans="2:21" x14ac:dyDescent="0.3">
      <c r="B408" t="s">
        <v>1106</v>
      </c>
      <c r="C408" t="s">
        <v>2417</v>
      </c>
      <c r="D408" t="s">
        <v>2418</v>
      </c>
      <c r="E408" t="s">
        <v>2580</v>
      </c>
      <c r="F408" t="s">
        <v>2580</v>
      </c>
      <c r="G408" s="8">
        <v>2590</v>
      </c>
      <c r="H408" s="8">
        <f>+IF(BDAlquilerDepartamentos[[#This Row],[Ciudad]]="Lima",BDAlquilerDepartamentos[[#This Row],[Prec. Soles]]*0.1,BDAlquilerDepartamentos[[#This Row],[Prec. Soles]]*0.05)</f>
        <v>259</v>
      </c>
      <c r="I408" s="4">
        <v>1</v>
      </c>
      <c r="J408" s="4">
        <v>1</v>
      </c>
      <c r="K408" s="4" t="s">
        <v>3095</v>
      </c>
      <c r="L408" s="4" t="s">
        <v>3096</v>
      </c>
      <c r="M408" s="4">
        <v>57</v>
      </c>
      <c r="N408" s="4">
        <v>2003</v>
      </c>
      <c r="O408" s="4" t="str">
        <f>+IF(BDAlquilerDepartamentos[[#This Row],[Prec. Soles]]&gt;2500,"Caro","Economico")</f>
        <v>Caro</v>
      </c>
      <c r="P408" s="4" t="str">
        <f>+IF(AND(BDAlquilerDepartamentos[[#This Row],[N° de Dorm.]]&gt; 3,BDAlquilerDepartamentos[[#This Row],[Prec. Soles]]&lt;= 2500),"Buena Oferta", "Precio Estadar")</f>
        <v>Precio Estadar</v>
      </c>
      <c r="Q408" t="s">
        <v>1101</v>
      </c>
      <c r="R408" t="s">
        <v>1102</v>
      </c>
      <c r="S408" s="11">
        <v>44963</v>
      </c>
      <c r="T408" t="s">
        <v>2833</v>
      </c>
      <c r="U408" t="s">
        <v>1706</v>
      </c>
    </row>
    <row r="409" spans="2:21" x14ac:dyDescent="0.3">
      <c r="B409" t="s">
        <v>1707</v>
      </c>
      <c r="C409" t="s">
        <v>2632</v>
      </c>
      <c r="D409" t="s">
        <v>2501</v>
      </c>
      <c r="E409" t="s">
        <v>2580</v>
      </c>
      <c r="F409" t="s">
        <v>2580</v>
      </c>
      <c r="G409" s="8">
        <v>2035</v>
      </c>
      <c r="H409" s="8">
        <f>+IF(BDAlquilerDepartamentos[[#This Row],[Ciudad]]="Lima",BDAlquilerDepartamentos[[#This Row],[Prec. Soles]]*0.1,BDAlquilerDepartamentos[[#This Row],[Prec. Soles]]*0.05)</f>
        <v>203.5</v>
      </c>
      <c r="I409" s="4">
        <v>2</v>
      </c>
      <c r="J409" s="4">
        <v>1</v>
      </c>
      <c r="K409" s="4" t="s">
        <v>3095</v>
      </c>
      <c r="L409" s="4" t="s">
        <v>3095</v>
      </c>
      <c r="M409" s="4">
        <v>110</v>
      </c>
      <c r="N409" s="4">
        <v>2009</v>
      </c>
      <c r="O409" s="4" t="str">
        <f>+IF(BDAlquilerDepartamentos[[#This Row],[Prec. Soles]]&gt;2500,"Caro","Economico")</f>
        <v>Economico</v>
      </c>
      <c r="P409" s="4" t="str">
        <f>+IF(AND(BDAlquilerDepartamentos[[#This Row],[N° de Dorm.]]&gt; 3,BDAlquilerDepartamentos[[#This Row],[Prec. Soles]]&lt;= 2500),"Buena Oferta", "Precio Estadar")</f>
        <v>Precio Estadar</v>
      </c>
      <c r="Q409" t="s">
        <v>1101</v>
      </c>
      <c r="R409" t="s">
        <v>1102</v>
      </c>
      <c r="S409" s="11">
        <v>45017</v>
      </c>
      <c r="T409" t="s">
        <v>2970</v>
      </c>
      <c r="U409" t="s">
        <v>1708</v>
      </c>
    </row>
    <row r="410" spans="2:21" x14ac:dyDescent="0.3">
      <c r="B410" t="s">
        <v>1315</v>
      </c>
      <c r="C410" t="s">
        <v>2517</v>
      </c>
      <c r="D410" t="s">
        <v>2435</v>
      </c>
      <c r="E410" t="s">
        <v>2580</v>
      </c>
      <c r="F410" t="s">
        <v>2580</v>
      </c>
      <c r="G410" s="8">
        <v>2400</v>
      </c>
      <c r="H410" s="8">
        <f>+IF(BDAlquilerDepartamentos[[#This Row],[Ciudad]]="Lima",BDAlquilerDepartamentos[[#This Row],[Prec. Soles]]*0.1,BDAlquilerDepartamentos[[#This Row],[Prec. Soles]]*0.05)</f>
        <v>240</v>
      </c>
      <c r="I410" s="4">
        <v>3</v>
      </c>
      <c r="J410" s="4">
        <v>2</v>
      </c>
      <c r="K410" s="4" t="s">
        <v>3096</v>
      </c>
      <c r="L410" s="4" t="s">
        <v>3095</v>
      </c>
      <c r="M410" s="4">
        <v>75</v>
      </c>
      <c r="N410" s="4">
        <v>2004</v>
      </c>
      <c r="O410" s="4" t="str">
        <f>+IF(BDAlquilerDepartamentos[[#This Row],[Prec. Soles]]&gt;2500,"Caro","Economico")</f>
        <v>Economico</v>
      </c>
      <c r="P410" s="4" t="str">
        <f>+IF(AND(BDAlquilerDepartamentos[[#This Row],[N° de Dorm.]]&gt; 3,BDAlquilerDepartamentos[[#This Row],[Prec. Soles]]&lt;= 2500),"Buena Oferta", "Precio Estadar")</f>
        <v>Precio Estadar</v>
      </c>
      <c r="Q410" t="s">
        <v>1101</v>
      </c>
      <c r="R410" t="s">
        <v>1102</v>
      </c>
      <c r="S410" s="11">
        <v>45147</v>
      </c>
      <c r="T410" t="s">
        <v>2971</v>
      </c>
      <c r="U410" t="s">
        <v>1709</v>
      </c>
    </row>
    <row r="411" spans="2:21" x14ac:dyDescent="0.3">
      <c r="B411" t="s">
        <v>1169</v>
      </c>
      <c r="C411" t="s">
        <v>2455</v>
      </c>
      <c r="D411" t="s">
        <v>2436</v>
      </c>
      <c r="E411" t="s">
        <v>2580</v>
      </c>
      <c r="F411" t="s">
        <v>2580</v>
      </c>
      <c r="G411" s="8">
        <v>3145</v>
      </c>
      <c r="H411" s="8">
        <f>+IF(BDAlquilerDepartamentos[[#This Row],[Ciudad]]="Lima",BDAlquilerDepartamentos[[#This Row],[Prec. Soles]]*0.1,BDAlquilerDepartamentos[[#This Row],[Prec. Soles]]*0.05)</f>
        <v>314.5</v>
      </c>
      <c r="I411" s="4">
        <v>3</v>
      </c>
      <c r="J411" s="4">
        <v>3</v>
      </c>
      <c r="K411" s="4" t="s">
        <v>3095</v>
      </c>
      <c r="L411" s="4" t="s">
        <v>3095</v>
      </c>
      <c r="M411" s="4">
        <v>135</v>
      </c>
      <c r="N411" s="4">
        <v>2008</v>
      </c>
      <c r="O411" s="4" t="str">
        <f>+IF(BDAlquilerDepartamentos[[#This Row],[Prec. Soles]]&gt;2500,"Caro","Economico")</f>
        <v>Caro</v>
      </c>
      <c r="P411" s="4" t="str">
        <f>+IF(AND(BDAlquilerDepartamentos[[#This Row],[N° de Dorm.]]&gt; 3,BDAlquilerDepartamentos[[#This Row],[Prec. Soles]]&lt;= 2500),"Buena Oferta", "Precio Estadar")</f>
        <v>Precio Estadar</v>
      </c>
      <c r="Q411" t="s">
        <v>1101</v>
      </c>
      <c r="R411" t="s">
        <v>1102</v>
      </c>
      <c r="S411" s="11">
        <v>45025</v>
      </c>
      <c r="T411" t="s">
        <v>2959</v>
      </c>
      <c r="U411" t="s">
        <v>1710</v>
      </c>
    </row>
    <row r="412" spans="2:21" x14ac:dyDescent="0.3">
      <c r="B412" t="s">
        <v>1237</v>
      </c>
      <c r="C412" t="s">
        <v>2488</v>
      </c>
      <c r="D412" t="s">
        <v>2580</v>
      </c>
      <c r="E412" t="s">
        <v>2580</v>
      </c>
      <c r="F412" t="s">
        <v>2580</v>
      </c>
      <c r="G412" s="8">
        <v>2516</v>
      </c>
      <c r="H412" s="8">
        <f>+IF(BDAlquilerDepartamentos[[#This Row],[Ciudad]]="Lima",BDAlquilerDepartamentos[[#This Row],[Prec. Soles]]*0.1,BDAlquilerDepartamentos[[#This Row],[Prec. Soles]]*0.05)</f>
        <v>251.60000000000002</v>
      </c>
      <c r="I412" s="4">
        <v>3</v>
      </c>
      <c r="J412" s="4">
        <v>2</v>
      </c>
      <c r="K412" s="4" t="s">
        <v>3096</v>
      </c>
      <c r="L412" s="4" t="s">
        <v>3096</v>
      </c>
      <c r="M412" s="4">
        <v>100</v>
      </c>
      <c r="N412" s="4">
        <v>2003</v>
      </c>
      <c r="O412" s="4" t="str">
        <f>+IF(BDAlquilerDepartamentos[[#This Row],[Prec. Soles]]&gt;2500,"Caro","Economico")</f>
        <v>Caro</v>
      </c>
      <c r="P412" s="4" t="str">
        <f>+IF(AND(BDAlquilerDepartamentos[[#This Row],[N° de Dorm.]]&gt; 3,BDAlquilerDepartamentos[[#This Row],[Prec. Soles]]&lt;= 2500),"Buena Oferta", "Precio Estadar")</f>
        <v>Precio Estadar</v>
      </c>
      <c r="Q412" t="s">
        <v>1101</v>
      </c>
      <c r="R412" t="s">
        <v>1102</v>
      </c>
      <c r="S412" s="11">
        <v>45400</v>
      </c>
      <c r="T412" t="s">
        <v>2972</v>
      </c>
      <c r="U412" t="s">
        <v>1711</v>
      </c>
    </row>
    <row r="413" spans="2:21" x14ac:dyDescent="0.3">
      <c r="B413" t="s">
        <v>1100</v>
      </c>
      <c r="C413" t="s">
        <v>2415</v>
      </c>
      <c r="D413" t="s">
        <v>2436</v>
      </c>
      <c r="E413" t="s">
        <v>2580</v>
      </c>
      <c r="F413" t="s">
        <v>2580</v>
      </c>
      <c r="G413" s="8">
        <v>11100</v>
      </c>
      <c r="H413" s="8">
        <f>+IF(BDAlquilerDepartamentos[[#This Row],[Ciudad]]="Lima",BDAlquilerDepartamentos[[#This Row],[Prec. Soles]]*0.1,BDAlquilerDepartamentos[[#This Row],[Prec. Soles]]*0.05)</f>
        <v>1110</v>
      </c>
      <c r="I413" s="4">
        <v>3</v>
      </c>
      <c r="J413" s="4">
        <v>3</v>
      </c>
      <c r="K413" s="4" t="s">
        <v>3096</v>
      </c>
      <c r="L413" s="4" t="s">
        <v>3096</v>
      </c>
      <c r="M413" s="4">
        <v>225</v>
      </c>
      <c r="N413" s="4">
        <v>2009</v>
      </c>
      <c r="O413" s="4" t="str">
        <f>+IF(BDAlquilerDepartamentos[[#This Row],[Prec. Soles]]&gt;2500,"Caro","Economico")</f>
        <v>Caro</v>
      </c>
      <c r="P413" s="4" t="str">
        <f>+IF(AND(BDAlquilerDepartamentos[[#This Row],[N° de Dorm.]]&gt; 3,BDAlquilerDepartamentos[[#This Row],[Prec. Soles]]&lt;= 2500),"Buena Oferta", "Precio Estadar")</f>
        <v>Precio Estadar</v>
      </c>
      <c r="Q413" t="s">
        <v>1101</v>
      </c>
      <c r="R413" t="s">
        <v>1102</v>
      </c>
      <c r="S413" s="11">
        <v>45570</v>
      </c>
      <c r="T413" t="s">
        <v>2973</v>
      </c>
      <c r="U413" t="s">
        <v>1712</v>
      </c>
    </row>
    <row r="414" spans="2:21" x14ac:dyDescent="0.3">
      <c r="B414" t="s">
        <v>1713</v>
      </c>
      <c r="C414" t="s">
        <v>2633</v>
      </c>
      <c r="D414" t="s">
        <v>2689</v>
      </c>
      <c r="E414" t="s">
        <v>2689</v>
      </c>
      <c r="F414" t="s">
        <v>2689</v>
      </c>
      <c r="G414" s="8">
        <v>3500</v>
      </c>
      <c r="H414" s="8">
        <f>+IF(BDAlquilerDepartamentos[[#This Row],[Ciudad]]="Lima",BDAlquilerDepartamentos[[#This Row],[Prec. Soles]]*0.1,BDAlquilerDepartamentos[[#This Row],[Prec. Soles]]*0.05)</f>
        <v>175</v>
      </c>
      <c r="I414" s="4">
        <v>5</v>
      </c>
      <c r="J414" s="4">
        <v>4</v>
      </c>
      <c r="K414" s="4" t="s">
        <v>3096</v>
      </c>
      <c r="L414" s="4" t="s">
        <v>3095</v>
      </c>
      <c r="M414" s="4">
        <v>200</v>
      </c>
      <c r="N414" s="4">
        <v>2012</v>
      </c>
      <c r="O414" s="4" t="str">
        <f>+IF(BDAlquilerDepartamentos[[#This Row],[Prec. Soles]]&gt;2500,"Caro","Economico")</f>
        <v>Caro</v>
      </c>
      <c r="P414" s="4" t="str">
        <f>+IF(AND(BDAlquilerDepartamentos[[#This Row],[N° de Dorm.]]&gt; 3,BDAlquilerDepartamentos[[#This Row],[Prec. Soles]]&lt;= 2500),"Buena Oferta", "Precio Estadar")</f>
        <v>Precio Estadar</v>
      </c>
      <c r="Q414" t="s">
        <v>1113</v>
      </c>
      <c r="R414" t="s">
        <v>1102</v>
      </c>
      <c r="S414" s="11">
        <v>45532</v>
      </c>
      <c r="T414" t="s">
        <v>2974</v>
      </c>
      <c r="U414" t="s">
        <v>1714</v>
      </c>
    </row>
    <row r="415" spans="2:21" x14ac:dyDescent="0.3">
      <c r="B415" t="s">
        <v>1715</v>
      </c>
      <c r="C415" t="s">
        <v>2634</v>
      </c>
      <c r="D415" t="s">
        <v>2428</v>
      </c>
      <c r="E415" t="s">
        <v>2580</v>
      </c>
      <c r="F415" t="s">
        <v>2580</v>
      </c>
      <c r="G415" s="8">
        <v>5550</v>
      </c>
      <c r="H415" s="8">
        <f>+IF(BDAlquilerDepartamentos[[#This Row],[Ciudad]]="Lima",BDAlquilerDepartamentos[[#This Row],[Prec. Soles]]*0.1,BDAlquilerDepartamentos[[#This Row],[Prec. Soles]]*0.05)</f>
        <v>555</v>
      </c>
      <c r="I415" s="4">
        <v>3</v>
      </c>
      <c r="J415" s="4">
        <v>4</v>
      </c>
      <c r="K415" s="4" t="s">
        <v>3096</v>
      </c>
      <c r="L415" s="4" t="s">
        <v>3096</v>
      </c>
      <c r="M415" s="4">
        <v>162</v>
      </c>
      <c r="N415" s="4">
        <v>2011</v>
      </c>
      <c r="O415" s="4" t="str">
        <f>+IF(BDAlquilerDepartamentos[[#This Row],[Prec. Soles]]&gt;2500,"Caro","Economico")</f>
        <v>Caro</v>
      </c>
      <c r="P415" s="4" t="str">
        <f>+IF(AND(BDAlquilerDepartamentos[[#This Row],[N° de Dorm.]]&gt; 3,BDAlquilerDepartamentos[[#This Row],[Prec. Soles]]&lt;= 2500),"Buena Oferta", "Precio Estadar")</f>
        <v>Precio Estadar</v>
      </c>
      <c r="Q415" t="s">
        <v>1101</v>
      </c>
      <c r="R415" t="s">
        <v>1102</v>
      </c>
      <c r="S415" s="11">
        <v>45600</v>
      </c>
      <c r="T415" t="s">
        <v>2821</v>
      </c>
      <c r="U415" t="s">
        <v>1716</v>
      </c>
    </row>
    <row r="416" spans="2:21" x14ac:dyDescent="0.3">
      <c r="B416" t="s">
        <v>1717</v>
      </c>
      <c r="C416" t="s">
        <v>2635</v>
      </c>
      <c r="D416" t="s">
        <v>2580</v>
      </c>
      <c r="E416" t="s">
        <v>2580</v>
      </c>
      <c r="F416" t="s">
        <v>2580</v>
      </c>
      <c r="G416" s="8">
        <v>3700</v>
      </c>
      <c r="H416" s="8">
        <f>+IF(BDAlquilerDepartamentos[[#This Row],[Ciudad]]="Lima",BDAlquilerDepartamentos[[#This Row],[Prec. Soles]]*0.1,BDAlquilerDepartamentos[[#This Row],[Prec. Soles]]*0.05)</f>
        <v>370</v>
      </c>
      <c r="I416" s="4">
        <v>1</v>
      </c>
      <c r="J416" s="4">
        <v>2</v>
      </c>
      <c r="K416" s="4" t="s">
        <v>3095</v>
      </c>
      <c r="L416" s="4" t="s">
        <v>3096</v>
      </c>
      <c r="M416" s="4">
        <v>91</v>
      </c>
      <c r="N416" s="4">
        <v>2012</v>
      </c>
      <c r="O416" s="4" t="str">
        <f>+IF(BDAlquilerDepartamentos[[#This Row],[Prec. Soles]]&gt;2500,"Caro","Economico")</f>
        <v>Caro</v>
      </c>
      <c r="P416" s="4" t="str">
        <f>+IF(AND(BDAlquilerDepartamentos[[#This Row],[N° de Dorm.]]&gt; 3,BDAlquilerDepartamentos[[#This Row],[Prec. Soles]]&lt;= 2500),"Buena Oferta", "Precio Estadar")</f>
        <v>Precio Estadar</v>
      </c>
      <c r="Q416" t="s">
        <v>1101</v>
      </c>
      <c r="R416" t="s">
        <v>1102</v>
      </c>
      <c r="S416" s="11">
        <v>45305</v>
      </c>
      <c r="T416" t="s">
        <v>3157</v>
      </c>
      <c r="U416" t="s">
        <v>1718</v>
      </c>
    </row>
    <row r="417" spans="2:21" x14ac:dyDescent="0.3">
      <c r="B417" t="s">
        <v>1395</v>
      </c>
      <c r="C417" t="s">
        <v>2541</v>
      </c>
      <c r="D417" t="s">
        <v>2485</v>
      </c>
      <c r="E417" t="s">
        <v>2580</v>
      </c>
      <c r="F417" t="s">
        <v>2580</v>
      </c>
      <c r="G417" s="8">
        <v>1800</v>
      </c>
      <c r="H417" s="8">
        <f>+IF(BDAlquilerDepartamentos[[#This Row],[Ciudad]]="Lima",BDAlquilerDepartamentos[[#This Row],[Prec. Soles]]*0.1,BDAlquilerDepartamentos[[#This Row],[Prec. Soles]]*0.05)</f>
        <v>180</v>
      </c>
      <c r="I417" s="4">
        <v>2</v>
      </c>
      <c r="J417" s="4">
        <v>1</v>
      </c>
      <c r="K417" s="4" t="s">
        <v>3095</v>
      </c>
      <c r="L417" s="4" t="s">
        <v>3095</v>
      </c>
      <c r="M417" s="4">
        <v>40</v>
      </c>
      <c r="N417" s="4">
        <v>2010</v>
      </c>
      <c r="O417" s="4" t="str">
        <f>+IF(BDAlquilerDepartamentos[[#This Row],[Prec. Soles]]&gt;2500,"Caro","Economico")</f>
        <v>Economico</v>
      </c>
      <c r="P417" s="4" t="str">
        <f>+IF(AND(BDAlquilerDepartamentos[[#This Row],[N° de Dorm.]]&gt; 3,BDAlquilerDepartamentos[[#This Row],[Prec. Soles]]&lt;= 2500),"Buena Oferta", "Precio Estadar")</f>
        <v>Precio Estadar</v>
      </c>
      <c r="Q417" t="s">
        <v>1101</v>
      </c>
      <c r="R417" t="s">
        <v>1102</v>
      </c>
      <c r="S417" s="11">
        <v>45027</v>
      </c>
      <c r="T417" t="s">
        <v>2851</v>
      </c>
      <c r="U417" t="s">
        <v>1719</v>
      </c>
    </row>
    <row r="418" spans="2:21" x14ac:dyDescent="0.3">
      <c r="B418" t="s">
        <v>1189</v>
      </c>
      <c r="C418" t="s">
        <v>2465</v>
      </c>
      <c r="D418" t="s">
        <v>2418</v>
      </c>
      <c r="E418" t="s">
        <v>2580</v>
      </c>
      <c r="F418" t="s">
        <v>2580</v>
      </c>
      <c r="G418" s="8">
        <v>2300</v>
      </c>
      <c r="H418" s="8">
        <f>+IF(BDAlquilerDepartamentos[[#This Row],[Ciudad]]="Lima",BDAlquilerDepartamentos[[#This Row],[Prec. Soles]]*0.1,BDAlquilerDepartamentos[[#This Row],[Prec. Soles]]*0.05)</f>
        <v>230</v>
      </c>
      <c r="I418" s="4">
        <v>1</v>
      </c>
      <c r="J418" s="4">
        <v>1</v>
      </c>
      <c r="K418" s="4" t="s">
        <v>3096</v>
      </c>
      <c r="L418" s="4" t="s">
        <v>3096</v>
      </c>
      <c r="M418" s="4">
        <v>40</v>
      </c>
      <c r="N418" s="4">
        <v>2008</v>
      </c>
      <c r="O418" s="4" t="str">
        <f>+IF(BDAlquilerDepartamentos[[#This Row],[Prec. Soles]]&gt;2500,"Caro","Economico")</f>
        <v>Economico</v>
      </c>
      <c r="P418" s="4" t="str">
        <f>+IF(AND(BDAlquilerDepartamentos[[#This Row],[N° de Dorm.]]&gt; 3,BDAlquilerDepartamentos[[#This Row],[Prec. Soles]]&lt;= 2500),"Buena Oferta", "Precio Estadar")</f>
        <v>Precio Estadar</v>
      </c>
      <c r="Q418" t="s">
        <v>1101</v>
      </c>
      <c r="R418" t="s">
        <v>1102</v>
      </c>
      <c r="S418" s="11">
        <v>45495</v>
      </c>
      <c r="T418" t="s">
        <v>2877</v>
      </c>
      <c r="U418" t="s">
        <v>1720</v>
      </c>
    </row>
    <row r="419" spans="2:21" x14ac:dyDescent="0.3">
      <c r="B419" t="s">
        <v>1118</v>
      </c>
      <c r="C419" t="s">
        <v>2426</v>
      </c>
      <c r="D419" t="s">
        <v>2436</v>
      </c>
      <c r="E419" t="s">
        <v>2580</v>
      </c>
      <c r="F419" t="s">
        <v>2580</v>
      </c>
      <c r="G419" s="8">
        <v>3145</v>
      </c>
      <c r="H419" s="8">
        <f>+IF(BDAlquilerDepartamentos[[#This Row],[Ciudad]]="Lima",BDAlquilerDepartamentos[[#This Row],[Prec. Soles]]*0.1,BDAlquilerDepartamentos[[#This Row],[Prec. Soles]]*0.05)</f>
        <v>314.5</v>
      </c>
      <c r="I419" s="4">
        <v>2</v>
      </c>
      <c r="J419" s="4">
        <v>3</v>
      </c>
      <c r="K419" s="4" t="s">
        <v>3095</v>
      </c>
      <c r="L419" s="4" t="s">
        <v>3096</v>
      </c>
      <c r="M419" s="4">
        <v>113</v>
      </c>
      <c r="N419" s="4">
        <v>2003</v>
      </c>
      <c r="O419" s="4" t="str">
        <f>+IF(BDAlquilerDepartamentos[[#This Row],[Prec. Soles]]&gt;2500,"Caro","Economico")</f>
        <v>Caro</v>
      </c>
      <c r="P419" s="4" t="str">
        <f>+IF(AND(BDAlquilerDepartamentos[[#This Row],[N° de Dorm.]]&gt; 3,BDAlquilerDepartamentos[[#This Row],[Prec. Soles]]&lt;= 2500),"Buena Oferta", "Precio Estadar")</f>
        <v>Precio Estadar</v>
      </c>
      <c r="Q419" t="s">
        <v>1101</v>
      </c>
      <c r="R419" t="s">
        <v>1102</v>
      </c>
      <c r="S419" s="11">
        <v>45592</v>
      </c>
      <c r="T419" t="s">
        <v>2975</v>
      </c>
      <c r="U419" t="s">
        <v>1721</v>
      </c>
    </row>
    <row r="420" spans="2:21" x14ac:dyDescent="0.3">
      <c r="B420" t="s">
        <v>1255</v>
      </c>
      <c r="C420" t="s">
        <v>2492</v>
      </c>
      <c r="D420" t="s">
        <v>2422</v>
      </c>
      <c r="E420" t="s">
        <v>2580</v>
      </c>
      <c r="F420" t="s">
        <v>2580</v>
      </c>
      <c r="G420" s="8">
        <v>1650</v>
      </c>
      <c r="H420" s="8">
        <f>+IF(BDAlquilerDepartamentos[[#This Row],[Ciudad]]="Lima",BDAlquilerDepartamentos[[#This Row],[Prec. Soles]]*0.1,BDAlquilerDepartamentos[[#This Row],[Prec. Soles]]*0.05)</f>
        <v>165</v>
      </c>
      <c r="I420" s="4">
        <v>1</v>
      </c>
      <c r="J420" s="4">
        <v>1</v>
      </c>
      <c r="K420" s="4" t="s">
        <v>3095</v>
      </c>
      <c r="L420" s="4" t="s">
        <v>3096</v>
      </c>
      <c r="M420" s="4">
        <v>40</v>
      </c>
      <c r="N420" s="4">
        <v>2010</v>
      </c>
      <c r="O420" s="4" t="str">
        <f>+IF(BDAlquilerDepartamentos[[#This Row],[Prec. Soles]]&gt;2500,"Caro","Economico")</f>
        <v>Economico</v>
      </c>
      <c r="P420" s="4" t="str">
        <f>+IF(AND(BDAlquilerDepartamentos[[#This Row],[N° de Dorm.]]&gt; 3,BDAlquilerDepartamentos[[#This Row],[Prec. Soles]]&lt;= 2500),"Buena Oferta", "Precio Estadar")</f>
        <v>Precio Estadar</v>
      </c>
      <c r="Q420" t="s">
        <v>1101</v>
      </c>
      <c r="R420" t="s">
        <v>1102</v>
      </c>
      <c r="S420" s="11">
        <v>45198</v>
      </c>
      <c r="T420" t="s">
        <v>2841</v>
      </c>
      <c r="U420" t="s">
        <v>1722</v>
      </c>
    </row>
    <row r="421" spans="2:21" x14ac:dyDescent="0.3">
      <c r="B421" t="s">
        <v>1723</v>
      </c>
      <c r="C421" t="s">
        <v>2636</v>
      </c>
      <c r="D421" t="s">
        <v>2580</v>
      </c>
      <c r="E421" t="s">
        <v>2580</v>
      </c>
      <c r="F421" t="s">
        <v>2580</v>
      </c>
      <c r="G421" s="8">
        <v>2200</v>
      </c>
      <c r="H421" s="8">
        <f>+IF(BDAlquilerDepartamentos[[#This Row],[Ciudad]]="Lima",BDAlquilerDepartamentos[[#This Row],[Prec. Soles]]*0.1,BDAlquilerDepartamentos[[#This Row],[Prec. Soles]]*0.05)</f>
        <v>220</v>
      </c>
      <c r="I421" s="4">
        <v>2</v>
      </c>
      <c r="J421" s="4">
        <v>2</v>
      </c>
      <c r="K421" s="4" t="s">
        <v>3096</v>
      </c>
      <c r="L421" s="4" t="s">
        <v>3095</v>
      </c>
      <c r="M421" s="4">
        <v>150</v>
      </c>
      <c r="N421" s="4">
        <v>2012</v>
      </c>
      <c r="O421" s="4" t="str">
        <f>+IF(BDAlquilerDepartamentos[[#This Row],[Prec. Soles]]&gt;2500,"Caro","Economico")</f>
        <v>Economico</v>
      </c>
      <c r="P421" s="4" t="str">
        <f>+IF(AND(BDAlquilerDepartamentos[[#This Row],[N° de Dorm.]]&gt; 3,BDAlquilerDepartamentos[[#This Row],[Prec. Soles]]&lt;= 2500),"Buena Oferta", "Precio Estadar")</f>
        <v>Precio Estadar</v>
      </c>
      <c r="Q421" t="s">
        <v>1101</v>
      </c>
      <c r="R421" t="s">
        <v>1102</v>
      </c>
      <c r="S421" s="11">
        <v>45493</v>
      </c>
      <c r="T421" t="s">
        <v>2976</v>
      </c>
      <c r="U421" t="s">
        <v>1724</v>
      </c>
    </row>
    <row r="422" spans="2:21" x14ac:dyDescent="0.3">
      <c r="B422" t="s">
        <v>1406</v>
      </c>
      <c r="C422" t="s">
        <v>2546</v>
      </c>
      <c r="D422" t="s">
        <v>2422</v>
      </c>
      <c r="E422" t="s">
        <v>2580</v>
      </c>
      <c r="F422" t="s">
        <v>2580</v>
      </c>
      <c r="G422" s="8">
        <v>7400</v>
      </c>
      <c r="H422" s="8">
        <f>+IF(BDAlquilerDepartamentos[[#This Row],[Ciudad]]="Lima",BDAlquilerDepartamentos[[#This Row],[Prec. Soles]]*0.1,BDAlquilerDepartamentos[[#This Row],[Prec. Soles]]*0.05)</f>
        <v>740</v>
      </c>
      <c r="I422" s="4">
        <v>4</v>
      </c>
      <c r="J422" s="4">
        <v>5</v>
      </c>
      <c r="K422" s="4" t="s">
        <v>3096</v>
      </c>
      <c r="L422" s="4" t="s">
        <v>3095</v>
      </c>
      <c r="M422" s="4">
        <v>300</v>
      </c>
      <c r="N422" s="4">
        <v>2007</v>
      </c>
      <c r="O422" s="4" t="str">
        <f>+IF(BDAlquilerDepartamentos[[#This Row],[Prec. Soles]]&gt;2500,"Caro","Economico")</f>
        <v>Caro</v>
      </c>
      <c r="P422" s="4" t="str">
        <f>+IF(AND(BDAlquilerDepartamentos[[#This Row],[N° de Dorm.]]&gt; 3,BDAlquilerDepartamentos[[#This Row],[Prec. Soles]]&lt;= 2500),"Buena Oferta", "Precio Estadar")</f>
        <v>Precio Estadar</v>
      </c>
      <c r="Q422" t="s">
        <v>1101</v>
      </c>
      <c r="R422" t="s">
        <v>1102</v>
      </c>
      <c r="S422" s="11">
        <v>45084</v>
      </c>
      <c r="T422" t="s">
        <v>2819</v>
      </c>
      <c r="U422" t="s">
        <v>1725</v>
      </c>
    </row>
    <row r="423" spans="2:21" x14ac:dyDescent="0.3">
      <c r="B423" t="s">
        <v>3113</v>
      </c>
      <c r="C423" t="s">
        <v>3114</v>
      </c>
      <c r="D423" t="s">
        <v>2436</v>
      </c>
      <c r="E423" t="s">
        <v>2580</v>
      </c>
      <c r="F423" t="s">
        <v>2580</v>
      </c>
      <c r="G423" s="8">
        <v>4070</v>
      </c>
      <c r="H423" s="8">
        <f>+IF(BDAlquilerDepartamentos[[#This Row],[Ciudad]]="Lima",BDAlquilerDepartamentos[[#This Row],[Prec. Soles]]*0.1,BDAlquilerDepartamentos[[#This Row],[Prec. Soles]]*0.05)</f>
        <v>407</v>
      </c>
      <c r="I423" s="4">
        <v>3</v>
      </c>
      <c r="J423" s="4">
        <v>3</v>
      </c>
      <c r="K423" s="4" t="s">
        <v>3095</v>
      </c>
      <c r="L423" s="4" t="s">
        <v>3095</v>
      </c>
      <c r="M423" s="4">
        <v>111</v>
      </c>
      <c r="N423" s="4">
        <v>2006</v>
      </c>
      <c r="O423" s="4" t="str">
        <f>+IF(BDAlquilerDepartamentos[[#This Row],[Prec. Soles]]&gt;2500,"Caro","Economico")</f>
        <v>Caro</v>
      </c>
      <c r="P423" s="4" t="str">
        <f>+IF(AND(BDAlquilerDepartamentos[[#This Row],[N° de Dorm.]]&gt; 3,BDAlquilerDepartamentos[[#This Row],[Prec. Soles]]&lt;= 2500),"Buena Oferta", "Precio Estadar")</f>
        <v>Precio Estadar</v>
      </c>
      <c r="Q423" t="s">
        <v>1101</v>
      </c>
      <c r="R423" t="s">
        <v>1102</v>
      </c>
      <c r="S423" s="11">
        <v>45483</v>
      </c>
      <c r="T423" t="s">
        <v>2819</v>
      </c>
      <c r="U423" t="s">
        <v>1726</v>
      </c>
    </row>
    <row r="424" spans="2:21" x14ac:dyDescent="0.3">
      <c r="B424" t="s">
        <v>3102</v>
      </c>
      <c r="C424" t="s">
        <v>2580</v>
      </c>
      <c r="D424" t="s">
        <v>2580</v>
      </c>
      <c r="E424" t="s">
        <v>2580</v>
      </c>
      <c r="F424" t="s">
        <v>2580</v>
      </c>
      <c r="G424" s="8">
        <v>1961</v>
      </c>
      <c r="H424" s="8">
        <f>+IF(BDAlquilerDepartamentos[[#This Row],[Ciudad]]="Lima",BDAlquilerDepartamentos[[#This Row],[Prec. Soles]]*0.1,BDAlquilerDepartamentos[[#This Row],[Prec. Soles]]*0.05)</f>
        <v>196.10000000000002</v>
      </c>
      <c r="I424" s="4">
        <v>1</v>
      </c>
      <c r="J424" s="4">
        <v>1</v>
      </c>
      <c r="K424" s="4" t="s">
        <v>3096</v>
      </c>
      <c r="L424" s="4" t="s">
        <v>3096</v>
      </c>
      <c r="N424" s="4">
        <v>2012</v>
      </c>
      <c r="O424" s="4" t="str">
        <f>+IF(BDAlquilerDepartamentos[[#This Row],[Prec. Soles]]&gt;2500,"Caro","Economico")</f>
        <v>Economico</v>
      </c>
      <c r="P424" s="4" t="str">
        <f>+IF(AND(BDAlquilerDepartamentos[[#This Row],[N° de Dorm.]]&gt; 3,BDAlquilerDepartamentos[[#This Row],[Prec. Soles]]&lt;= 2500),"Buena Oferta", "Precio Estadar")</f>
        <v>Precio Estadar</v>
      </c>
      <c r="Q424" t="s">
        <v>1101</v>
      </c>
      <c r="R424" t="s">
        <v>1102</v>
      </c>
      <c r="S424" s="11">
        <v>45611</v>
      </c>
      <c r="T424" t="s">
        <v>2958</v>
      </c>
      <c r="U424" t="s">
        <v>1727</v>
      </c>
    </row>
    <row r="425" spans="2:21" x14ac:dyDescent="0.3">
      <c r="B425" t="s">
        <v>1208</v>
      </c>
      <c r="C425" t="s">
        <v>2475</v>
      </c>
      <c r="D425" t="s">
        <v>2422</v>
      </c>
      <c r="E425" t="s">
        <v>2580</v>
      </c>
      <c r="F425" t="s">
        <v>2580</v>
      </c>
      <c r="G425" s="8">
        <v>4625</v>
      </c>
      <c r="H425" s="8">
        <f>+IF(BDAlquilerDepartamentos[[#This Row],[Ciudad]]="Lima",BDAlquilerDepartamentos[[#This Row],[Prec. Soles]]*0.1,BDAlquilerDepartamentos[[#This Row],[Prec. Soles]]*0.05)</f>
        <v>462.5</v>
      </c>
      <c r="I425" s="4">
        <v>3</v>
      </c>
      <c r="J425" s="4">
        <v>3</v>
      </c>
      <c r="K425" s="4" t="s">
        <v>3096</v>
      </c>
      <c r="L425" s="4" t="s">
        <v>3095</v>
      </c>
      <c r="M425" s="4">
        <v>166</v>
      </c>
      <c r="N425" s="4">
        <v>2003</v>
      </c>
      <c r="O425" s="4" t="str">
        <f>+IF(BDAlquilerDepartamentos[[#This Row],[Prec. Soles]]&gt;2500,"Caro","Economico")</f>
        <v>Caro</v>
      </c>
      <c r="P425" s="4" t="str">
        <f>+IF(AND(BDAlquilerDepartamentos[[#This Row],[N° de Dorm.]]&gt; 3,BDAlquilerDepartamentos[[#This Row],[Prec. Soles]]&lt;= 2500),"Buena Oferta", "Precio Estadar")</f>
        <v>Precio Estadar</v>
      </c>
      <c r="Q425" t="s">
        <v>1101</v>
      </c>
      <c r="R425" t="s">
        <v>1102</v>
      </c>
      <c r="S425" s="11">
        <v>44983</v>
      </c>
      <c r="T425" t="s">
        <v>2861</v>
      </c>
      <c r="U425" t="s">
        <v>1728</v>
      </c>
    </row>
    <row r="426" spans="2:21" x14ac:dyDescent="0.3">
      <c r="B426" t="s">
        <v>1108</v>
      </c>
      <c r="C426" t="s">
        <v>2419</v>
      </c>
      <c r="D426" t="s">
        <v>2428</v>
      </c>
      <c r="E426" t="s">
        <v>2580</v>
      </c>
      <c r="F426" t="s">
        <v>2580</v>
      </c>
      <c r="G426" s="8">
        <v>3000</v>
      </c>
      <c r="H426" s="8">
        <f>+IF(BDAlquilerDepartamentos[[#This Row],[Ciudad]]="Lima",BDAlquilerDepartamentos[[#This Row],[Prec. Soles]]*0.1,BDAlquilerDepartamentos[[#This Row],[Prec. Soles]]*0.05)</f>
        <v>300</v>
      </c>
      <c r="I426" s="4">
        <v>3</v>
      </c>
      <c r="J426" s="4">
        <v>3</v>
      </c>
      <c r="K426" s="4" t="s">
        <v>3096</v>
      </c>
      <c r="L426" s="4" t="s">
        <v>3095</v>
      </c>
      <c r="M426" s="4">
        <v>99</v>
      </c>
      <c r="N426" s="4">
        <v>2009</v>
      </c>
      <c r="O426" s="4" t="str">
        <f>+IF(BDAlquilerDepartamentos[[#This Row],[Prec. Soles]]&gt;2500,"Caro","Economico")</f>
        <v>Caro</v>
      </c>
      <c r="P426" s="4" t="str">
        <f>+IF(AND(BDAlquilerDepartamentos[[#This Row],[N° de Dorm.]]&gt; 3,BDAlquilerDepartamentos[[#This Row],[Prec. Soles]]&lt;= 2500),"Buena Oferta", "Precio Estadar")</f>
        <v>Precio Estadar</v>
      </c>
      <c r="Q426" t="s">
        <v>1101</v>
      </c>
      <c r="R426" t="s">
        <v>1102</v>
      </c>
      <c r="S426" s="11">
        <v>45504</v>
      </c>
      <c r="T426" t="s">
        <v>2977</v>
      </c>
      <c r="U426" t="s">
        <v>1729</v>
      </c>
    </row>
    <row r="427" spans="2:21" x14ac:dyDescent="0.3">
      <c r="B427" t="s">
        <v>1165</v>
      </c>
      <c r="C427" t="s">
        <v>2453</v>
      </c>
      <c r="D427" t="s">
        <v>2580</v>
      </c>
      <c r="E427" t="s">
        <v>2580</v>
      </c>
      <c r="F427" t="s">
        <v>2580</v>
      </c>
      <c r="G427" s="8">
        <v>9250</v>
      </c>
      <c r="H427" s="8">
        <f>+IF(BDAlquilerDepartamentos[[#This Row],[Ciudad]]="Lima",BDAlquilerDepartamentos[[#This Row],[Prec. Soles]]*0.1,BDAlquilerDepartamentos[[#This Row],[Prec. Soles]]*0.05)</f>
        <v>925</v>
      </c>
      <c r="I427" s="4">
        <v>4</v>
      </c>
      <c r="J427" s="4">
        <v>3</v>
      </c>
      <c r="K427" s="4" t="s">
        <v>3095</v>
      </c>
      <c r="L427" s="4" t="s">
        <v>3095</v>
      </c>
      <c r="M427" s="4">
        <v>283</v>
      </c>
      <c r="N427" s="4">
        <v>2013</v>
      </c>
      <c r="O427" s="4" t="str">
        <f>+IF(BDAlquilerDepartamentos[[#This Row],[Prec. Soles]]&gt;2500,"Caro","Economico")</f>
        <v>Caro</v>
      </c>
      <c r="P427" s="4" t="str">
        <f>+IF(AND(BDAlquilerDepartamentos[[#This Row],[N° de Dorm.]]&gt; 3,BDAlquilerDepartamentos[[#This Row],[Prec. Soles]]&lt;= 2500),"Buena Oferta", "Precio Estadar")</f>
        <v>Precio Estadar</v>
      </c>
      <c r="Q427" t="s">
        <v>1101</v>
      </c>
      <c r="R427" t="s">
        <v>1102</v>
      </c>
      <c r="S427" s="11">
        <v>45495</v>
      </c>
      <c r="T427" t="s">
        <v>2978</v>
      </c>
      <c r="U427" t="s">
        <v>1730</v>
      </c>
    </row>
    <row r="428" spans="2:21" x14ac:dyDescent="0.3">
      <c r="B428" t="s">
        <v>1143</v>
      </c>
      <c r="C428" t="s">
        <v>2441</v>
      </c>
      <c r="D428" t="s">
        <v>2428</v>
      </c>
      <c r="E428" t="s">
        <v>2580</v>
      </c>
      <c r="F428" t="s">
        <v>2580</v>
      </c>
      <c r="G428" s="8">
        <v>4070</v>
      </c>
      <c r="H428" s="8">
        <f>+IF(BDAlquilerDepartamentos[[#This Row],[Ciudad]]="Lima",BDAlquilerDepartamentos[[#This Row],[Prec. Soles]]*0.1,BDAlquilerDepartamentos[[#This Row],[Prec. Soles]]*0.05)</f>
        <v>407</v>
      </c>
      <c r="I428" s="4">
        <v>2</v>
      </c>
      <c r="J428" s="4">
        <v>2</v>
      </c>
      <c r="K428" s="4" t="s">
        <v>3096</v>
      </c>
      <c r="L428" s="4" t="s">
        <v>3095</v>
      </c>
      <c r="M428" s="4">
        <v>112</v>
      </c>
      <c r="N428" s="4">
        <v>2011</v>
      </c>
      <c r="O428" s="4" t="str">
        <f>+IF(BDAlquilerDepartamentos[[#This Row],[Prec. Soles]]&gt;2500,"Caro","Economico")</f>
        <v>Caro</v>
      </c>
      <c r="P428" s="4" t="str">
        <f>+IF(AND(BDAlquilerDepartamentos[[#This Row],[N° de Dorm.]]&gt; 3,BDAlquilerDepartamentos[[#This Row],[Prec. Soles]]&lt;= 2500),"Buena Oferta", "Precio Estadar")</f>
        <v>Precio Estadar</v>
      </c>
      <c r="Q428" t="s">
        <v>1101</v>
      </c>
      <c r="R428" t="s">
        <v>1102</v>
      </c>
      <c r="S428" s="11">
        <v>45366</v>
      </c>
      <c r="T428" t="s">
        <v>2840</v>
      </c>
      <c r="U428" t="s">
        <v>1731</v>
      </c>
    </row>
    <row r="429" spans="2:21" x14ac:dyDescent="0.3">
      <c r="B429" t="s">
        <v>1732</v>
      </c>
      <c r="C429" t="s">
        <v>2637</v>
      </c>
      <c r="D429" t="s">
        <v>2478</v>
      </c>
      <c r="E429" t="s">
        <v>2580</v>
      </c>
      <c r="F429" t="s">
        <v>2580</v>
      </c>
      <c r="G429" s="8">
        <v>1550</v>
      </c>
      <c r="H429" s="8">
        <f>+IF(BDAlquilerDepartamentos[[#This Row],[Ciudad]]="Lima",BDAlquilerDepartamentos[[#This Row],[Prec. Soles]]*0.1,BDAlquilerDepartamentos[[#This Row],[Prec. Soles]]*0.05)</f>
        <v>155</v>
      </c>
      <c r="I429" s="4">
        <v>3</v>
      </c>
      <c r="J429" s="4">
        <v>3</v>
      </c>
      <c r="K429" s="4" t="s">
        <v>3096</v>
      </c>
      <c r="L429" s="4" t="s">
        <v>3096</v>
      </c>
      <c r="M429" s="4">
        <v>129</v>
      </c>
      <c r="N429" s="4">
        <v>2007</v>
      </c>
      <c r="O429" s="4" t="str">
        <f>+IF(BDAlquilerDepartamentos[[#This Row],[Prec. Soles]]&gt;2500,"Caro","Economico")</f>
        <v>Economico</v>
      </c>
      <c r="P429" s="4" t="str">
        <f>+IF(AND(BDAlquilerDepartamentos[[#This Row],[N° de Dorm.]]&gt; 3,BDAlquilerDepartamentos[[#This Row],[Prec. Soles]]&lt;= 2500),"Buena Oferta", "Precio Estadar")</f>
        <v>Precio Estadar</v>
      </c>
      <c r="Q429" t="s">
        <v>1101</v>
      </c>
      <c r="R429" t="s">
        <v>1102</v>
      </c>
      <c r="S429" s="11">
        <v>45424</v>
      </c>
      <c r="T429" t="s">
        <v>2840</v>
      </c>
      <c r="U429" t="s">
        <v>1733</v>
      </c>
    </row>
    <row r="430" spans="2:21" x14ac:dyDescent="0.3">
      <c r="B430" t="s">
        <v>1734</v>
      </c>
      <c r="C430" t="s">
        <v>2638</v>
      </c>
      <c r="D430" t="s">
        <v>2422</v>
      </c>
      <c r="E430" t="s">
        <v>2580</v>
      </c>
      <c r="F430" t="s">
        <v>2580</v>
      </c>
      <c r="G430" s="8">
        <v>11100</v>
      </c>
      <c r="H430" s="8">
        <f>+IF(BDAlquilerDepartamentos[[#This Row],[Ciudad]]="Lima",BDAlquilerDepartamentos[[#This Row],[Prec. Soles]]*0.1,BDAlquilerDepartamentos[[#This Row],[Prec. Soles]]*0.05)</f>
        <v>1110</v>
      </c>
      <c r="I430" s="4">
        <v>4</v>
      </c>
      <c r="J430" s="4">
        <v>2</v>
      </c>
      <c r="K430" s="4" t="s">
        <v>3095</v>
      </c>
      <c r="L430" s="4" t="s">
        <v>3095</v>
      </c>
      <c r="M430" s="4">
        <v>486</v>
      </c>
      <c r="N430" s="4">
        <v>2016</v>
      </c>
      <c r="O430" s="4" t="str">
        <f>+IF(BDAlquilerDepartamentos[[#This Row],[Prec. Soles]]&gt;2500,"Caro","Economico")</f>
        <v>Caro</v>
      </c>
      <c r="P430" s="4" t="str">
        <f>+IF(AND(BDAlquilerDepartamentos[[#This Row],[N° de Dorm.]]&gt; 3,BDAlquilerDepartamentos[[#This Row],[Prec. Soles]]&lt;= 2500),"Buena Oferta", "Precio Estadar")</f>
        <v>Precio Estadar</v>
      </c>
      <c r="Q430" t="s">
        <v>1113</v>
      </c>
      <c r="R430" t="s">
        <v>1102</v>
      </c>
      <c r="S430" s="11">
        <v>45469</v>
      </c>
      <c r="T430" t="s">
        <v>2840</v>
      </c>
      <c r="U430" t="s">
        <v>1735</v>
      </c>
    </row>
    <row r="431" spans="2:21" x14ac:dyDescent="0.3">
      <c r="B431" t="s">
        <v>1150</v>
      </c>
      <c r="C431" t="s">
        <v>2445</v>
      </c>
      <c r="D431" t="s">
        <v>2436</v>
      </c>
      <c r="E431" t="s">
        <v>2580</v>
      </c>
      <c r="F431" t="s">
        <v>2580</v>
      </c>
      <c r="G431" s="8">
        <v>3330</v>
      </c>
      <c r="H431" s="8">
        <f>+IF(BDAlquilerDepartamentos[[#This Row],[Ciudad]]="Lima",BDAlquilerDepartamentos[[#This Row],[Prec. Soles]]*0.1,BDAlquilerDepartamentos[[#This Row],[Prec. Soles]]*0.05)</f>
        <v>333</v>
      </c>
      <c r="I431" s="4">
        <v>1</v>
      </c>
      <c r="J431" s="4">
        <v>2</v>
      </c>
      <c r="K431" s="4" t="s">
        <v>3095</v>
      </c>
      <c r="L431" s="4" t="s">
        <v>3095</v>
      </c>
      <c r="M431" s="4">
        <v>95</v>
      </c>
      <c r="N431" s="4">
        <v>2008</v>
      </c>
      <c r="O431" s="4" t="str">
        <f>+IF(BDAlquilerDepartamentos[[#This Row],[Prec. Soles]]&gt;2500,"Caro","Economico")</f>
        <v>Caro</v>
      </c>
      <c r="P431" s="4" t="str">
        <f>+IF(AND(BDAlquilerDepartamentos[[#This Row],[N° de Dorm.]]&gt; 3,BDAlquilerDepartamentos[[#This Row],[Prec. Soles]]&lt;= 2500),"Buena Oferta", "Precio Estadar")</f>
        <v>Precio Estadar</v>
      </c>
      <c r="Q431" t="s">
        <v>1101</v>
      </c>
      <c r="R431" t="s">
        <v>1102</v>
      </c>
      <c r="S431" s="11">
        <v>45290</v>
      </c>
      <c r="T431" t="s">
        <v>2845</v>
      </c>
      <c r="U431" t="s">
        <v>1736</v>
      </c>
    </row>
    <row r="432" spans="2:21" x14ac:dyDescent="0.3">
      <c r="B432" t="s">
        <v>1637</v>
      </c>
      <c r="C432" t="s">
        <v>2609</v>
      </c>
      <c r="D432" t="s">
        <v>2428</v>
      </c>
      <c r="E432" t="s">
        <v>2580</v>
      </c>
      <c r="F432" t="s">
        <v>2580</v>
      </c>
      <c r="G432" s="8">
        <v>2000</v>
      </c>
      <c r="H432" s="8">
        <f>+IF(BDAlquilerDepartamentos[[#This Row],[Ciudad]]="Lima",BDAlquilerDepartamentos[[#This Row],[Prec. Soles]]*0.1,BDAlquilerDepartamentos[[#This Row],[Prec. Soles]]*0.05)</f>
        <v>200</v>
      </c>
      <c r="I432" s="4">
        <v>1</v>
      </c>
      <c r="J432" s="4">
        <v>1</v>
      </c>
      <c r="K432" s="4" t="s">
        <v>3096</v>
      </c>
      <c r="L432" s="4" t="s">
        <v>3096</v>
      </c>
      <c r="M432" s="4">
        <v>51</v>
      </c>
      <c r="N432" s="4">
        <v>2003</v>
      </c>
      <c r="O432" s="4" t="str">
        <f>+IF(BDAlquilerDepartamentos[[#This Row],[Prec. Soles]]&gt;2500,"Caro","Economico")</f>
        <v>Economico</v>
      </c>
      <c r="P432" s="4" t="str">
        <f>+IF(AND(BDAlquilerDepartamentos[[#This Row],[N° de Dorm.]]&gt; 3,BDAlquilerDepartamentos[[#This Row],[Prec. Soles]]&lt;= 2500),"Buena Oferta", "Precio Estadar")</f>
        <v>Precio Estadar</v>
      </c>
      <c r="Q432" t="s">
        <v>1101</v>
      </c>
      <c r="R432" t="s">
        <v>1102</v>
      </c>
      <c r="S432" s="11">
        <v>44931</v>
      </c>
      <c r="T432" t="s">
        <v>2854</v>
      </c>
      <c r="U432" t="s">
        <v>1737</v>
      </c>
    </row>
    <row r="433" spans="2:21" x14ac:dyDescent="0.3">
      <c r="B433" t="s">
        <v>1210</v>
      </c>
      <c r="C433" t="s">
        <v>2476</v>
      </c>
      <c r="D433" t="s">
        <v>2436</v>
      </c>
      <c r="E433" t="s">
        <v>2580</v>
      </c>
      <c r="F433" t="s">
        <v>2580</v>
      </c>
      <c r="G433" s="8">
        <v>3700</v>
      </c>
      <c r="H433" s="8">
        <f>+IF(BDAlquilerDepartamentos[[#This Row],[Ciudad]]="Lima",BDAlquilerDepartamentos[[#This Row],[Prec. Soles]]*0.1,BDAlquilerDepartamentos[[#This Row],[Prec. Soles]]*0.05)</f>
        <v>370</v>
      </c>
      <c r="I433" s="4">
        <v>2</v>
      </c>
      <c r="J433" s="4">
        <v>2</v>
      </c>
      <c r="K433" s="4" t="s">
        <v>3096</v>
      </c>
      <c r="L433" s="4" t="s">
        <v>3095</v>
      </c>
      <c r="M433" s="4">
        <v>70</v>
      </c>
      <c r="N433" s="4">
        <v>2008</v>
      </c>
      <c r="O433" s="4" t="str">
        <f>+IF(BDAlquilerDepartamentos[[#This Row],[Prec. Soles]]&gt;2500,"Caro","Economico")</f>
        <v>Caro</v>
      </c>
      <c r="P433" s="4" t="str">
        <f>+IF(AND(BDAlquilerDepartamentos[[#This Row],[N° de Dorm.]]&gt; 3,BDAlquilerDepartamentos[[#This Row],[Prec. Soles]]&lt;= 2500),"Buena Oferta", "Precio Estadar")</f>
        <v>Precio Estadar</v>
      </c>
      <c r="Q433" t="s">
        <v>1101</v>
      </c>
      <c r="R433" t="s">
        <v>1102</v>
      </c>
      <c r="S433" s="11">
        <v>45597</v>
      </c>
      <c r="T433" t="s">
        <v>2979</v>
      </c>
      <c r="U433" t="s">
        <v>1738</v>
      </c>
    </row>
    <row r="434" spans="2:21" x14ac:dyDescent="0.3">
      <c r="B434" t="s">
        <v>3113</v>
      </c>
      <c r="C434" t="s">
        <v>3114</v>
      </c>
      <c r="D434" t="s">
        <v>2436</v>
      </c>
      <c r="E434" t="s">
        <v>2580</v>
      </c>
      <c r="F434" t="s">
        <v>2580</v>
      </c>
      <c r="G434" s="8">
        <v>3145</v>
      </c>
      <c r="H434" s="8">
        <f>+IF(BDAlquilerDepartamentos[[#This Row],[Ciudad]]="Lima",BDAlquilerDepartamentos[[#This Row],[Prec. Soles]]*0.1,BDAlquilerDepartamentos[[#This Row],[Prec. Soles]]*0.05)</f>
        <v>314.5</v>
      </c>
      <c r="I434" s="4">
        <v>2</v>
      </c>
      <c r="J434" s="4">
        <v>2</v>
      </c>
      <c r="K434" s="4" t="s">
        <v>3096</v>
      </c>
      <c r="L434" s="4" t="s">
        <v>3095</v>
      </c>
      <c r="M434" s="4">
        <v>90</v>
      </c>
      <c r="N434" s="4">
        <v>2014</v>
      </c>
      <c r="O434" s="4" t="str">
        <f>+IF(BDAlquilerDepartamentos[[#This Row],[Prec. Soles]]&gt;2500,"Caro","Economico")</f>
        <v>Caro</v>
      </c>
      <c r="P434" s="4" t="str">
        <f>+IF(AND(BDAlquilerDepartamentos[[#This Row],[N° de Dorm.]]&gt; 3,BDAlquilerDepartamentos[[#This Row],[Prec. Soles]]&lt;= 2500),"Buena Oferta", "Precio Estadar")</f>
        <v>Precio Estadar</v>
      </c>
      <c r="Q434" t="s">
        <v>1101</v>
      </c>
      <c r="R434" t="s">
        <v>1102</v>
      </c>
      <c r="S434" s="11">
        <v>45289</v>
      </c>
      <c r="T434" t="s">
        <v>2918</v>
      </c>
      <c r="U434" t="s">
        <v>1739</v>
      </c>
    </row>
    <row r="435" spans="2:21" x14ac:dyDescent="0.3">
      <c r="B435" t="s">
        <v>1740</v>
      </c>
      <c r="C435" t="s">
        <v>2639</v>
      </c>
      <c r="D435" t="s">
        <v>2478</v>
      </c>
      <c r="E435" t="s">
        <v>2580</v>
      </c>
      <c r="F435" t="s">
        <v>2580</v>
      </c>
      <c r="G435" s="8">
        <v>1800</v>
      </c>
      <c r="H435" s="8">
        <f>+IF(BDAlquilerDepartamentos[[#This Row],[Ciudad]]="Lima",BDAlquilerDepartamentos[[#This Row],[Prec. Soles]]*0.1,BDAlquilerDepartamentos[[#This Row],[Prec. Soles]]*0.05)</f>
        <v>180</v>
      </c>
      <c r="I435" s="4">
        <v>3</v>
      </c>
      <c r="J435" s="4">
        <v>1</v>
      </c>
      <c r="K435" s="4" t="s">
        <v>3096</v>
      </c>
      <c r="L435" s="4" t="s">
        <v>3095</v>
      </c>
      <c r="M435" s="4">
        <v>180</v>
      </c>
      <c r="N435" s="4">
        <v>2010</v>
      </c>
      <c r="O435" s="4" t="str">
        <f>+IF(BDAlquilerDepartamentos[[#This Row],[Prec. Soles]]&gt;2500,"Caro","Economico")</f>
        <v>Economico</v>
      </c>
      <c r="P435" s="4" t="str">
        <f>+IF(AND(BDAlquilerDepartamentos[[#This Row],[N° de Dorm.]]&gt; 3,BDAlquilerDepartamentos[[#This Row],[Prec. Soles]]&lt;= 2500),"Buena Oferta", "Precio Estadar")</f>
        <v>Precio Estadar</v>
      </c>
      <c r="Q435" t="s">
        <v>1101</v>
      </c>
      <c r="R435" t="s">
        <v>1102</v>
      </c>
      <c r="S435" s="11">
        <v>45335</v>
      </c>
      <c r="T435" t="s">
        <v>2980</v>
      </c>
      <c r="U435" t="s">
        <v>1741</v>
      </c>
    </row>
    <row r="436" spans="2:21" x14ac:dyDescent="0.3">
      <c r="B436" t="s">
        <v>3105</v>
      </c>
      <c r="C436" t="s">
        <v>3106</v>
      </c>
      <c r="D436" t="s">
        <v>2435</v>
      </c>
      <c r="E436" t="s">
        <v>2580</v>
      </c>
      <c r="F436" t="s">
        <v>2580</v>
      </c>
      <c r="G436" s="8">
        <v>2200</v>
      </c>
      <c r="H436" s="8">
        <f>+IF(BDAlquilerDepartamentos[[#This Row],[Ciudad]]="Lima",BDAlquilerDepartamentos[[#This Row],[Prec. Soles]]*0.1,BDAlquilerDepartamentos[[#This Row],[Prec. Soles]]*0.05)</f>
        <v>220</v>
      </c>
      <c r="I436" s="4">
        <v>3</v>
      </c>
      <c r="J436" s="4">
        <v>2</v>
      </c>
      <c r="K436" s="4" t="s">
        <v>3096</v>
      </c>
      <c r="L436" s="4" t="s">
        <v>3096</v>
      </c>
      <c r="M436" s="4">
        <v>66</v>
      </c>
      <c r="N436" s="4">
        <v>2011</v>
      </c>
      <c r="O436" s="4" t="str">
        <f>+IF(BDAlquilerDepartamentos[[#This Row],[Prec. Soles]]&gt;2500,"Caro","Economico")</f>
        <v>Economico</v>
      </c>
      <c r="P436" s="4" t="str">
        <f>+IF(AND(BDAlquilerDepartamentos[[#This Row],[N° de Dorm.]]&gt; 3,BDAlquilerDepartamentos[[#This Row],[Prec. Soles]]&lt;= 2500),"Buena Oferta", "Precio Estadar")</f>
        <v>Precio Estadar</v>
      </c>
      <c r="Q436" t="s">
        <v>1101</v>
      </c>
      <c r="R436" t="s">
        <v>1102</v>
      </c>
      <c r="S436" s="11">
        <v>45367</v>
      </c>
      <c r="T436" t="s">
        <v>2967</v>
      </c>
      <c r="U436" t="s">
        <v>1742</v>
      </c>
    </row>
    <row r="437" spans="2:21" x14ac:dyDescent="0.3">
      <c r="B437" t="s">
        <v>1237</v>
      </c>
      <c r="C437" t="s">
        <v>2488</v>
      </c>
      <c r="D437" t="s">
        <v>2580</v>
      </c>
      <c r="E437" t="s">
        <v>2580</v>
      </c>
      <c r="F437" t="s">
        <v>2580</v>
      </c>
      <c r="G437" s="8">
        <v>1750</v>
      </c>
      <c r="H437" s="8">
        <f>+IF(BDAlquilerDepartamentos[[#This Row],[Ciudad]]="Lima",BDAlquilerDepartamentos[[#This Row],[Prec. Soles]]*0.1,BDAlquilerDepartamentos[[#This Row],[Prec. Soles]]*0.05)</f>
        <v>175</v>
      </c>
      <c r="I437" s="4">
        <v>3</v>
      </c>
      <c r="J437" s="4">
        <v>2</v>
      </c>
      <c r="K437" s="4" t="s">
        <v>3095</v>
      </c>
      <c r="L437" s="4" t="s">
        <v>3096</v>
      </c>
      <c r="M437" s="4">
        <v>105</v>
      </c>
      <c r="N437" s="4">
        <v>2014</v>
      </c>
      <c r="O437" s="4" t="str">
        <f>+IF(BDAlquilerDepartamentos[[#This Row],[Prec. Soles]]&gt;2500,"Caro","Economico")</f>
        <v>Economico</v>
      </c>
      <c r="P437" s="4" t="str">
        <f>+IF(AND(BDAlquilerDepartamentos[[#This Row],[N° de Dorm.]]&gt; 3,BDAlquilerDepartamentos[[#This Row],[Prec. Soles]]&lt;= 2500),"Buena Oferta", "Precio Estadar")</f>
        <v>Precio Estadar</v>
      </c>
      <c r="Q437" t="s">
        <v>1101</v>
      </c>
      <c r="R437" t="s">
        <v>1102</v>
      </c>
      <c r="S437" s="11">
        <v>45304</v>
      </c>
      <c r="T437" t="s">
        <v>2833</v>
      </c>
      <c r="U437" t="s">
        <v>1743</v>
      </c>
    </row>
    <row r="438" spans="2:21" x14ac:dyDescent="0.3">
      <c r="B438" t="s">
        <v>3113</v>
      </c>
      <c r="C438" t="s">
        <v>3114</v>
      </c>
      <c r="D438" t="s">
        <v>2436</v>
      </c>
      <c r="E438" t="s">
        <v>2580</v>
      </c>
      <c r="F438" t="s">
        <v>2580</v>
      </c>
      <c r="G438" s="8">
        <v>4070</v>
      </c>
      <c r="H438" s="8">
        <f>+IF(BDAlquilerDepartamentos[[#This Row],[Ciudad]]="Lima",BDAlquilerDepartamentos[[#This Row],[Prec. Soles]]*0.1,BDAlquilerDepartamentos[[#This Row],[Prec. Soles]]*0.05)</f>
        <v>407</v>
      </c>
      <c r="I438" s="4">
        <v>3</v>
      </c>
      <c r="J438" s="4">
        <v>2</v>
      </c>
      <c r="K438" s="4" t="s">
        <v>3096</v>
      </c>
      <c r="L438" s="4" t="s">
        <v>3095</v>
      </c>
      <c r="M438" s="4">
        <v>100</v>
      </c>
      <c r="N438" s="4">
        <v>2006</v>
      </c>
      <c r="O438" s="4" t="str">
        <f>+IF(BDAlquilerDepartamentos[[#This Row],[Prec. Soles]]&gt;2500,"Caro","Economico")</f>
        <v>Caro</v>
      </c>
      <c r="P438" s="4" t="str">
        <f>+IF(AND(BDAlquilerDepartamentos[[#This Row],[N° de Dorm.]]&gt; 3,BDAlquilerDepartamentos[[#This Row],[Prec. Soles]]&lt;= 2500),"Buena Oferta", "Precio Estadar")</f>
        <v>Precio Estadar</v>
      </c>
      <c r="Q438" t="s">
        <v>1101</v>
      </c>
      <c r="R438" t="s">
        <v>1102</v>
      </c>
      <c r="S438" s="11">
        <v>45407</v>
      </c>
      <c r="T438" t="s">
        <v>2888</v>
      </c>
      <c r="U438" t="s">
        <v>1744</v>
      </c>
    </row>
    <row r="439" spans="2:21" x14ac:dyDescent="0.3">
      <c r="B439" t="s">
        <v>1118</v>
      </c>
      <c r="C439" t="s">
        <v>2426</v>
      </c>
      <c r="D439" t="s">
        <v>2436</v>
      </c>
      <c r="E439" t="s">
        <v>2580</v>
      </c>
      <c r="F439" t="s">
        <v>2580</v>
      </c>
      <c r="G439" s="8">
        <v>3700</v>
      </c>
      <c r="H439" s="8">
        <f>+IF(BDAlquilerDepartamentos[[#This Row],[Ciudad]]="Lima",BDAlquilerDepartamentos[[#This Row],[Prec. Soles]]*0.1,BDAlquilerDepartamentos[[#This Row],[Prec. Soles]]*0.05)</f>
        <v>370</v>
      </c>
      <c r="I439" s="4">
        <v>2</v>
      </c>
      <c r="J439" s="4">
        <v>2</v>
      </c>
      <c r="K439" s="4" t="s">
        <v>3096</v>
      </c>
      <c r="L439" s="4" t="s">
        <v>3096</v>
      </c>
      <c r="M439" s="4">
        <v>98</v>
      </c>
      <c r="N439" s="4">
        <v>2005</v>
      </c>
      <c r="O439" s="4" t="str">
        <f>+IF(BDAlquilerDepartamentos[[#This Row],[Prec. Soles]]&gt;2500,"Caro","Economico")</f>
        <v>Caro</v>
      </c>
      <c r="P439" s="4" t="str">
        <f>+IF(AND(BDAlquilerDepartamentos[[#This Row],[N° de Dorm.]]&gt; 3,BDAlquilerDepartamentos[[#This Row],[Prec. Soles]]&lt;= 2500),"Buena Oferta", "Precio Estadar")</f>
        <v>Precio Estadar</v>
      </c>
      <c r="Q439" t="s">
        <v>1101</v>
      </c>
      <c r="R439" t="s">
        <v>1102</v>
      </c>
      <c r="S439" s="11">
        <v>45093</v>
      </c>
      <c r="T439" t="s">
        <v>2875</v>
      </c>
      <c r="U439" t="s">
        <v>1745</v>
      </c>
    </row>
    <row r="440" spans="2:21" x14ac:dyDescent="0.3">
      <c r="B440" t="s">
        <v>1746</v>
      </c>
      <c r="C440" t="s">
        <v>2640</v>
      </c>
      <c r="D440" t="s">
        <v>2428</v>
      </c>
      <c r="E440" t="s">
        <v>2580</v>
      </c>
      <c r="F440" t="s">
        <v>2580</v>
      </c>
      <c r="G440" s="8">
        <v>8140</v>
      </c>
      <c r="H440" s="8">
        <f>+IF(BDAlquilerDepartamentos[[#This Row],[Ciudad]]="Lima",BDAlquilerDepartamentos[[#This Row],[Prec. Soles]]*0.1,BDAlquilerDepartamentos[[#This Row],[Prec. Soles]]*0.05)</f>
        <v>814</v>
      </c>
      <c r="I440" s="4">
        <v>3</v>
      </c>
      <c r="J440" s="4">
        <v>2</v>
      </c>
      <c r="K440" s="4" t="s">
        <v>3096</v>
      </c>
      <c r="L440" s="4" t="s">
        <v>3096</v>
      </c>
      <c r="M440" s="4">
        <v>210</v>
      </c>
      <c r="N440" s="4">
        <v>2009</v>
      </c>
      <c r="O440" s="4" t="str">
        <f>+IF(BDAlquilerDepartamentos[[#This Row],[Prec. Soles]]&gt;2500,"Caro","Economico")</f>
        <v>Caro</v>
      </c>
      <c r="P440" s="4" t="str">
        <f>+IF(AND(BDAlquilerDepartamentos[[#This Row],[N° de Dorm.]]&gt; 3,BDAlquilerDepartamentos[[#This Row],[Prec. Soles]]&lt;= 2500),"Buena Oferta", "Precio Estadar")</f>
        <v>Precio Estadar</v>
      </c>
      <c r="Q440" t="s">
        <v>1101</v>
      </c>
      <c r="R440" t="s">
        <v>1102</v>
      </c>
      <c r="S440" s="11">
        <v>45635</v>
      </c>
      <c r="T440" t="s">
        <v>2846</v>
      </c>
      <c r="U440" t="s">
        <v>1747</v>
      </c>
    </row>
    <row r="441" spans="2:21" x14ac:dyDescent="0.3">
      <c r="B441" t="s">
        <v>3113</v>
      </c>
      <c r="C441" t="s">
        <v>3114</v>
      </c>
      <c r="D441" t="s">
        <v>2436</v>
      </c>
      <c r="E441" t="s">
        <v>2580</v>
      </c>
      <c r="F441" t="s">
        <v>2580</v>
      </c>
      <c r="G441" s="8">
        <v>2312.5</v>
      </c>
      <c r="H441" s="8">
        <f>+IF(BDAlquilerDepartamentos[[#This Row],[Ciudad]]="Lima",BDAlquilerDepartamentos[[#This Row],[Prec. Soles]]*0.1,BDAlquilerDepartamentos[[#This Row],[Prec. Soles]]*0.05)</f>
        <v>231.25</v>
      </c>
      <c r="I441" s="4">
        <v>2</v>
      </c>
      <c r="J441" s="4">
        <v>1</v>
      </c>
      <c r="K441" s="4" t="s">
        <v>3096</v>
      </c>
      <c r="L441" s="4" t="s">
        <v>3095</v>
      </c>
      <c r="M441" s="4">
        <v>60</v>
      </c>
      <c r="N441" s="4">
        <v>2014</v>
      </c>
      <c r="O441" s="4" t="str">
        <f>+IF(BDAlquilerDepartamentos[[#This Row],[Prec. Soles]]&gt;2500,"Caro","Economico")</f>
        <v>Economico</v>
      </c>
      <c r="P441" s="4" t="str">
        <f>+IF(AND(BDAlquilerDepartamentos[[#This Row],[N° de Dorm.]]&gt; 3,BDAlquilerDepartamentos[[#This Row],[Prec. Soles]]&lt;= 2500),"Buena Oferta", "Precio Estadar")</f>
        <v>Precio Estadar</v>
      </c>
      <c r="Q441" t="s">
        <v>1101</v>
      </c>
      <c r="R441" t="s">
        <v>1102</v>
      </c>
      <c r="S441" s="11">
        <v>45519</v>
      </c>
      <c r="T441" t="s">
        <v>2981</v>
      </c>
      <c r="U441" t="s">
        <v>1748</v>
      </c>
    </row>
    <row r="442" spans="2:21" x14ac:dyDescent="0.3">
      <c r="B442" t="s">
        <v>1749</v>
      </c>
      <c r="C442" t="s">
        <v>2437</v>
      </c>
      <c r="D442" t="s">
        <v>2436</v>
      </c>
      <c r="E442" t="s">
        <v>2580</v>
      </c>
      <c r="F442" t="s">
        <v>2580</v>
      </c>
      <c r="G442" s="8">
        <v>12950</v>
      </c>
      <c r="H442" s="8">
        <f>+IF(BDAlquilerDepartamentos[[#This Row],[Ciudad]]="Lima",BDAlquilerDepartamentos[[#This Row],[Prec. Soles]]*0.1,BDAlquilerDepartamentos[[#This Row],[Prec. Soles]]*0.05)</f>
        <v>1295</v>
      </c>
      <c r="I442" s="4">
        <v>3</v>
      </c>
      <c r="J442" s="4">
        <v>3</v>
      </c>
      <c r="K442" s="4" t="s">
        <v>3095</v>
      </c>
      <c r="L442" s="4" t="s">
        <v>3095</v>
      </c>
      <c r="M442" s="4">
        <v>450</v>
      </c>
      <c r="N442" s="4">
        <v>2009</v>
      </c>
      <c r="O442" s="4" t="str">
        <f>+IF(BDAlquilerDepartamentos[[#This Row],[Prec. Soles]]&gt;2500,"Caro","Economico")</f>
        <v>Caro</v>
      </c>
      <c r="P442" s="4" t="str">
        <f>+IF(AND(BDAlquilerDepartamentos[[#This Row],[N° de Dorm.]]&gt; 3,BDAlquilerDepartamentos[[#This Row],[Prec. Soles]]&lt;= 2500),"Buena Oferta", "Precio Estadar")</f>
        <v>Precio Estadar</v>
      </c>
      <c r="Q442" t="s">
        <v>1113</v>
      </c>
      <c r="R442" t="s">
        <v>1102</v>
      </c>
      <c r="S442" s="11">
        <v>45578</v>
      </c>
      <c r="T442" t="s">
        <v>2982</v>
      </c>
      <c r="U442" t="s">
        <v>1750</v>
      </c>
    </row>
    <row r="443" spans="2:21" x14ac:dyDescent="0.3">
      <c r="B443" t="s">
        <v>1751</v>
      </c>
      <c r="C443" t="s">
        <v>2641</v>
      </c>
      <c r="D443" t="s">
        <v>2580</v>
      </c>
      <c r="E443" t="s">
        <v>2580</v>
      </c>
      <c r="F443" t="s">
        <v>2580</v>
      </c>
      <c r="G443" s="8">
        <v>9250</v>
      </c>
      <c r="H443" s="8">
        <f>+IF(BDAlquilerDepartamentos[[#This Row],[Ciudad]]="Lima",BDAlquilerDepartamentos[[#This Row],[Prec. Soles]]*0.1,BDAlquilerDepartamentos[[#This Row],[Prec. Soles]]*0.05)</f>
        <v>925</v>
      </c>
      <c r="I443" s="4">
        <v>3</v>
      </c>
      <c r="J443" s="4">
        <v>3</v>
      </c>
      <c r="K443" s="4" t="s">
        <v>3096</v>
      </c>
      <c r="L443" s="4" t="s">
        <v>3096</v>
      </c>
      <c r="M443" s="4">
        <v>267</v>
      </c>
      <c r="N443" s="4">
        <v>2011</v>
      </c>
      <c r="O443" s="4" t="str">
        <f>+IF(BDAlquilerDepartamentos[[#This Row],[Prec. Soles]]&gt;2500,"Caro","Economico")</f>
        <v>Caro</v>
      </c>
      <c r="P443" s="4" t="str">
        <f>+IF(AND(BDAlquilerDepartamentos[[#This Row],[N° de Dorm.]]&gt; 3,BDAlquilerDepartamentos[[#This Row],[Prec. Soles]]&lt;= 2500),"Buena Oferta", "Precio Estadar")</f>
        <v>Precio Estadar</v>
      </c>
      <c r="Q443" t="s">
        <v>1101</v>
      </c>
      <c r="R443" t="s">
        <v>1102</v>
      </c>
      <c r="S443" s="11">
        <v>45306</v>
      </c>
      <c r="T443" t="s">
        <v>2904</v>
      </c>
      <c r="U443" t="s">
        <v>1752</v>
      </c>
    </row>
    <row r="444" spans="2:21" x14ac:dyDescent="0.3">
      <c r="B444" t="s">
        <v>1753</v>
      </c>
      <c r="C444" t="s">
        <v>2423</v>
      </c>
      <c r="D444" t="s">
        <v>2580</v>
      </c>
      <c r="E444" t="s">
        <v>2580</v>
      </c>
      <c r="F444" t="s">
        <v>2580</v>
      </c>
      <c r="G444" s="8">
        <v>5180</v>
      </c>
      <c r="H444" s="8">
        <f>+IF(BDAlquilerDepartamentos[[#This Row],[Ciudad]]="Lima",BDAlquilerDepartamentos[[#This Row],[Prec. Soles]]*0.1,BDAlquilerDepartamentos[[#This Row],[Prec. Soles]]*0.05)</f>
        <v>518</v>
      </c>
      <c r="I444" s="4">
        <v>3</v>
      </c>
      <c r="J444" s="4">
        <v>3</v>
      </c>
      <c r="K444" s="4" t="s">
        <v>3096</v>
      </c>
      <c r="L444" s="4" t="s">
        <v>3095</v>
      </c>
      <c r="M444" s="4">
        <v>154</v>
      </c>
      <c r="N444" s="4">
        <v>2011</v>
      </c>
      <c r="O444" s="4" t="str">
        <f>+IF(BDAlquilerDepartamentos[[#This Row],[Prec. Soles]]&gt;2500,"Caro","Economico")</f>
        <v>Caro</v>
      </c>
      <c r="P444" s="4" t="str">
        <f>+IF(AND(BDAlquilerDepartamentos[[#This Row],[N° de Dorm.]]&gt; 3,BDAlquilerDepartamentos[[#This Row],[Prec. Soles]]&lt;= 2500),"Buena Oferta", "Precio Estadar")</f>
        <v>Precio Estadar</v>
      </c>
      <c r="Q444" t="s">
        <v>1101</v>
      </c>
      <c r="R444" t="s">
        <v>1102</v>
      </c>
      <c r="S444" s="11">
        <v>45312</v>
      </c>
      <c r="T444" t="s">
        <v>2983</v>
      </c>
      <c r="U444" t="s">
        <v>1754</v>
      </c>
    </row>
    <row r="445" spans="2:21" x14ac:dyDescent="0.3">
      <c r="B445" t="s">
        <v>1755</v>
      </c>
      <c r="C445" t="s">
        <v>2642</v>
      </c>
      <c r="D445" t="s">
        <v>2430</v>
      </c>
      <c r="E445" t="s">
        <v>2580</v>
      </c>
      <c r="F445" t="s">
        <v>2580</v>
      </c>
      <c r="G445" s="8">
        <v>1800</v>
      </c>
      <c r="H445" s="8">
        <f>+IF(BDAlquilerDepartamentos[[#This Row],[Ciudad]]="Lima",BDAlquilerDepartamentos[[#This Row],[Prec. Soles]]*0.1,BDAlquilerDepartamentos[[#This Row],[Prec. Soles]]*0.05)</f>
        <v>180</v>
      </c>
      <c r="I445" s="4">
        <v>1</v>
      </c>
      <c r="J445" s="4">
        <v>1</v>
      </c>
      <c r="K445" s="4" t="s">
        <v>3095</v>
      </c>
      <c r="L445" s="4" t="s">
        <v>3096</v>
      </c>
      <c r="M445" s="4">
        <v>59</v>
      </c>
      <c r="N445" s="4">
        <v>2004</v>
      </c>
      <c r="O445" s="4" t="str">
        <f>+IF(BDAlquilerDepartamentos[[#This Row],[Prec. Soles]]&gt;2500,"Caro","Economico")</f>
        <v>Economico</v>
      </c>
      <c r="P445" s="4" t="str">
        <f>+IF(AND(BDAlquilerDepartamentos[[#This Row],[N° de Dorm.]]&gt; 3,BDAlquilerDepartamentos[[#This Row],[Prec. Soles]]&lt;= 2500),"Buena Oferta", "Precio Estadar")</f>
        <v>Precio Estadar</v>
      </c>
      <c r="Q445" t="s">
        <v>1101</v>
      </c>
      <c r="R445" t="s">
        <v>1102</v>
      </c>
      <c r="S445" s="11">
        <v>45236</v>
      </c>
      <c r="T445" t="s">
        <v>2920</v>
      </c>
      <c r="U445" t="s">
        <v>1756</v>
      </c>
    </row>
    <row r="446" spans="2:21" x14ac:dyDescent="0.3">
      <c r="B446" t="s">
        <v>1143</v>
      </c>
      <c r="C446" t="s">
        <v>2441</v>
      </c>
      <c r="D446" t="s">
        <v>2428</v>
      </c>
      <c r="E446" t="s">
        <v>2580</v>
      </c>
      <c r="F446" t="s">
        <v>2580</v>
      </c>
      <c r="G446" s="8">
        <v>4440</v>
      </c>
      <c r="H446" s="8">
        <f>+IF(BDAlquilerDepartamentos[[#This Row],[Ciudad]]="Lima",BDAlquilerDepartamentos[[#This Row],[Prec. Soles]]*0.1,BDAlquilerDepartamentos[[#This Row],[Prec. Soles]]*0.05)</f>
        <v>444</v>
      </c>
      <c r="I446" s="4">
        <v>3</v>
      </c>
      <c r="J446" s="4">
        <v>3</v>
      </c>
      <c r="K446" s="4" t="s">
        <v>3096</v>
      </c>
      <c r="L446" s="4" t="s">
        <v>3095</v>
      </c>
      <c r="M446" s="4">
        <v>160</v>
      </c>
      <c r="N446" s="4">
        <v>2018</v>
      </c>
      <c r="O446" s="4" t="str">
        <f>+IF(BDAlquilerDepartamentos[[#This Row],[Prec. Soles]]&gt;2500,"Caro","Economico")</f>
        <v>Caro</v>
      </c>
      <c r="P446" s="4" t="str">
        <f>+IF(AND(BDAlquilerDepartamentos[[#This Row],[N° de Dorm.]]&gt; 3,BDAlquilerDepartamentos[[#This Row],[Prec. Soles]]&lt;= 2500),"Buena Oferta", "Precio Estadar")</f>
        <v>Precio Estadar</v>
      </c>
      <c r="Q446" t="s">
        <v>1101</v>
      </c>
      <c r="R446" t="s">
        <v>1102</v>
      </c>
      <c r="S446" s="11">
        <v>45151</v>
      </c>
      <c r="T446" t="s">
        <v>2962</v>
      </c>
      <c r="U446" t="s">
        <v>1757</v>
      </c>
    </row>
    <row r="447" spans="2:21" x14ac:dyDescent="0.3">
      <c r="B447" t="s">
        <v>1447</v>
      </c>
      <c r="C447" t="s">
        <v>2561</v>
      </c>
      <c r="D447" t="s">
        <v>2428</v>
      </c>
      <c r="E447" t="s">
        <v>2580</v>
      </c>
      <c r="F447" t="s">
        <v>2580</v>
      </c>
      <c r="G447" s="8">
        <v>5920</v>
      </c>
      <c r="H447" s="8">
        <f>+IF(BDAlquilerDepartamentos[[#This Row],[Ciudad]]="Lima",BDAlquilerDepartamentos[[#This Row],[Prec. Soles]]*0.1,BDAlquilerDepartamentos[[#This Row],[Prec. Soles]]*0.05)</f>
        <v>592</v>
      </c>
      <c r="I447" s="4">
        <v>3</v>
      </c>
      <c r="J447" s="4">
        <v>2</v>
      </c>
      <c r="K447" s="4" t="s">
        <v>3095</v>
      </c>
      <c r="L447" s="4" t="s">
        <v>3095</v>
      </c>
      <c r="M447" s="4">
        <v>205</v>
      </c>
      <c r="N447" s="4">
        <v>2010</v>
      </c>
      <c r="O447" s="4" t="str">
        <f>+IF(BDAlquilerDepartamentos[[#This Row],[Prec. Soles]]&gt;2500,"Caro","Economico")</f>
        <v>Caro</v>
      </c>
      <c r="P447" s="4" t="str">
        <f>+IF(AND(BDAlquilerDepartamentos[[#This Row],[N° de Dorm.]]&gt; 3,BDAlquilerDepartamentos[[#This Row],[Prec. Soles]]&lt;= 2500),"Buena Oferta", "Precio Estadar")</f>
        <v>Precio Estadar</v>
      </c>
      <c r="Q447" t="s">
        <v>1101</v>
      </c>
      <c r="R447" t="s">
        <v>1102</v>
      </c>
      <c r="S447" s="11">
        <v>44984</v>
      </c>
      <c r="T447" t="s">
        <v>2945</v>
      </c>
      <c r="U447" t="s">
        <v>1758</v>
      </c>
    </row>
    <row r="448" spans="2:21" x14ac:dyDescent="0.3">
      <c r="B448" t="s">
        <v>1143</v>
      </c>
      <c r="C448" t="s">
        <v>2441</v>
      </c>
      <c r="D448" t="s">
        <v>2428</v>
      </c>
      <c r="E448" t="s">
        <v>2580</v>
      </c>
      <c r="F448" t="s">
        <v>2580</v>
      </c>
      <c r="G448" s="8">
        <v>4440</v>
      </c>
      <c r="H448" s="8">
        <f>+IF(BDAlquilerDepartamentos[[#This Row],[Ciudad]]="Lima",BDAlquilerDepartamentos[[#This Row],[Prec. Soles]]*0.1,BDAlquilerDepartamentos[[#This Row],[Prec. Soles]]*0.05)</f>
        <v>444</v>
      </c>
      <c r="I448" s="4">
        <v>3</v>
      </c>
      <c r="J448" s="4">
        <v>2</v>
      </c>
      <c r="K448" s="4" t="s">
        <v>3096</v>
      </c>
      <c r="L448" s="4" t="s">
        <v>3096</v>
      </c>
      <c r="M448" s="4">
        <v>160</v>
      </c>
      <c r="N448" s="4">
        <v>2003</v>
      </c>
      <c r="O448" s="4" t="str">
        <f>+IF(BDAlquilerDepartamentos[[#This Row],[Prec. Soles]]&gt;2500,"Caro","Economico")</f>
        <v>Caro</v>
      </c>
      <c r="P448" s="4" t="str">
        <f>+IF(AND(BDAlquilerDepartamentos[[#This Row],[N° de Dorm.]]&gt; 3,BDAlquilerDepartamentos[[#This Row],[Prec. Soles]]&lt;= 2500),"Buena Oferta", "Precio Estadar")</f>
        <v>Precio Estadar</v>
      </c>
      <c r="Q448" t="s">
        <v>1101</v>
      </c>
      <c r="R448" t="s">
        <v>1102</v>
      </c>
      <c r="S448" s="11">
        <v>45412</v>
      </c>
      <c r="T448" t="s">
        <v>2962</v>
      </c>
      <c r="U448" t="s">
        <v>1759</v>
      </c>
    </row>
    <row r="449" spans="2:21" x14ac:dyDescent="0.3">
      <c r="B449" t="s">
        <v>1118</v>
      </c>
      <c r="C449" t="s">
        <v>2426</v>
      </c>
      <c r="D449" t="s">
        <v>2436</v>
      </c>
      <c r="E449" t="s">
        <v>2580</v>
      </c>
      <c r="F449" t="s">
        <v>2580</v>
      </c>
      <c r="G449" s="8">
        <v>6290</v>
      </c>
      <c r="H449" s="8">
        <f>+IF(BDAlquilerDepartamentos[[#This Row],[Ciudad]]="Lima",BDAlquilerDepartamentos[[#This Row],[Prec. Soles]]*0.1,BDAlquilerDepartamentos[[#This Row],[Prec. Soles]]*0.05)</f>
        <v>629</v>
      </c>
      <c r="I449" s="4">
        <v>4</v>
      </c>
      <c r="J449" s="4">
        <v>4</v>
      </c>
      <c r="K449" s="4" t="s">
        <v>3096</v>
      </c>
      <c r="L449" s="4" t="s">
        <v>3095</v>
      </c>
      <c r="M449" s="4">
        <v>210</v>
      </c>
      <c r="N449" s="4">
        <v>2004</v>
      </c>
      <c r="O449" s="4" t="str">
        <f>+IF(BDAlquilerDepartamentos[[#This Row],[Prec. Soles]]&gt;2500,"Caro","Economico")</f>
        <v>Caro</v>
      </c>
      <c r="P449" s="4" t="str">
        <f>+IF(AND(BDAlquilerDepartamentos[[#This Row],[N° de Dorm.]]&gt; 3,BDAlquilerDepartamentos[[#This Row],[Prec. Soles]]&lt;= 2500),"Buena Oferta", "Precio Estadar")</f>
        <v>Precio Estadar</v>
      </c>
      <c r="Q449" t="s">
        <v>1101</v>
      </c>
      <c r="R449" t="s">
        <v>1102</v>
      </c>
      <c r="S449" s="11">
        <v>45153</v>
      </c>
      <c r="T449" t="s">
        <v>2948</v>
      </c>
      <c r="U449" t="s">
        <v>1760</v>
      </c>
    </row>
    <row r="450" spans="2:21" x14ac:dyDescent="0.3">
      <c r="B450" t="s">
        <v>1761</v>
      </c>
      <c r="C450" t="s">
        <v>2643</v>
      </c>
      <c r="D450" t="s">
        <v>2422</v>
      </c>
      <c r="E450" t="s">
        <v>2580</v>
      </c>
      <c r="F450" t="s">
        <v>2580</v>
      </c>
      <c r="G450" s="8">
        <v>4070</v>
      </c>
      <c r="H450" s="8">
        <f>+IF(BDAlquilerDepartamentos[[#This Row],[Ciudad]]="Lima",BDAlquilerDepartamentos[[#This Row],[Prec. Soles]]*0.1,BDAlquilerDepartamentos[[#This Row],[Prec. Soles]]*0.05)</f>
        <v>407</v>
      </c>
      <c r="I450" s="4">
        <v>3</v>
      </c>
      <c r="J450" s="4">
        <v>2</v>
      </c>
      <c r="K450" s="4" t="s">
        <v>3096</v>
      </c>
      <c r="L450" s="4" t="s">
        <v>3096</v>
      </c>
      <c r="M450" s="4">
        <v>118</v>
      </c>
      <c r="N450" s="4">
        <v>2014</v>
      </c>
      <c r="O450" s="4" t="str">
        <f>+IF(BDAlquilerDepartamentos[[#This Row],[Prec. Soles]]&gt;2500,"Caro","Economico")</f>
        <v>Caro</v>
      </c>
      <c r="P450" s="4" t="str">
        <f>+IF(AND(BDAlquilerDepartamentos[[#This Row],[N° de Dorm.]]&gt; 3,BDAlquilerDepartamentos[[#This Row],[Prec. Soles]]&lt;= 2500),"Buena Oferta", "Precio Estadar")</f>
        <v>Precio Estadar</v>
      </c>
      <c r="Q450" t="s">
        <v>1101</v>
      </c>
      <c r="R450" t="s">
        <v>1102</v>
      </c>
      <c r="S450" s="11">
        <v>45589</v>
      </c>
      <c r="T450" t="s">
        <v>2884</v>
      </c>
      <c r="U450" t="s">
        <v>1762</v>
      </c>
    </row>
    <row r="451" spans="2:21" x14ac:dyDescent="0.3">
      <c r="B451" t="s">
        <v>1169</v>
      </c>
      <c r="C451" t="s">
        <v>2455</v>
      </c>
      <c r="D451" t="s">
        <v>2436</v>
      </c>
      <c r="E451" t="s">
        <v>2580</v>
      </c>
      <c r="F451" t="s">
        <v>2580</v>
      </c>
      <c r="G451" s="8">
        <v>3700</v>
      </c>
      <c r="H451" s="8">
        <f>+IF(BDAlquilerDepartamentos[[#This Row],[Ciudad]]="Lima",BDAlquilerDepartamentos[[#This Row],[Prec. Soles]]*0.1,BDAlquilerDepartamentos[[#This Row],[Prec. Soles]]*0.05)</f>
        <v>370</v>
      </c>
      <c r="I451" s="4">
        <v>2</v>
      </c>
      <c r="J451" s="4">
        <v>2</v>
      </c>
      <c r="K451" s="4" t="s">
        <v>3095</v>
      </c>
      <c r="L451" s="4" t="s">
        <v>3095</v>
      </c>
      <c r="M451" s="4">
        <v>80</v>
      </c>
      <c r="N451" s="4">
        <v>2015</v>
      </c>
      <c r="O451" s="4" t="str">
        <f>+IF(BDAlquilerDepartamentos[[#This Row],[Prec. Soles]]&gt;2500,"Caro","Economico")</f>
        <v>Caro</v>
      </c>
      <c r="P451" s="4" t="str">
        <f>+IF(AND(BDAlquilerDepartamentos[[#This Row],[N° de Dorm.]]&gt; 3,BDAlquilerDepartamentos[[#This Row],[Prec. Soles]]&lt;= 2500),"Buena Oferta", "Precio Estadar")</f>
        <v>Precio Estadar</v>
      </c>
      <c r="Q451" t="s">
        <v>1101</v>
      </c>
      <c r="R451" t="s">
        <v>1102</v>
      </c>
      <c r="S451" s="11">
        <v>45369</v>
      </c>
      <c r="T451" t="s">
        <v>2984</v>
      </c>
      <c r="U451" t="s">
        <v>1763</v>
      </c>
    </row>
    <row r="452" spans="2:21" x14ac:dyDescent="0.3">
      <c r="B452" t="s">
        <v>1764</v>
      </c>
      <c r="C452" t="s">
        <v>2489</v>
      </c>
      <c r="D452" t="s">
        <v>2428</v>
      </c>
      <c r="E452" t="s">
        <v>2580</v>
      </c>
      <c r="F452" t="s">
        <v>2580</v>
      </c>
      <c r="G452" s="8">
        <v>4810</v>
      </c>
      <c r="H452" s="8">
        <f>+IF(BDAlquilerDepartamentos[[#This Row],[Ciudad]]="Lima",BDAlquilerDepartamentos[[#This Row],[Prec. Soles]]*0.1,BDAlquilerDepartamentos[[#This Row],[Prec. Soles]]*0.05)</f>
        <v>481</v>
      </c>
      <c r="I452" s="4">
        <v>5</v>
      </c>
      <c r="J452" s="4">
        <v>2</v>
      </c>
      <c r="K452" s="4" t="s">
        <v>3095</v>
      </c>
      <c r="L452" s="4" t="s">
        <v>3095</v>
      </c>
      <c r="M452" s="4">
        <v>205</v>
      </c>
      <c r="N452" s="4">
        <v>2018</v>
      </c>
      <c r="O452" s="4" t="str">
        <f>+IF(BDAlquilerDepartamentos[[#This Row],[Prec. Soles]]&gt;2500,"Caro","Economico")</f>
        <v>Caro</v>
      </c>
      <c r="P452" s="4" t="str">
        <f>+IF(AND(BDAlquilerDepartamentos[[#This Row],[N° de Dorm.]]&gt; 3,BDAlquilerDepartamentos[[#This Row],[Prec. Soles]]&lt;= 2500),"Buena Oferta", "Precio Estadar")</f>
        <v>Precio Estadar</v>
      </c>
      <c r="Q452" t="s">
        <v>1113</v>
      </c>
      <c r="R452" t="s">
        <v>1102</v>
      </c>
      <c r="S452" s="11">
        <v>45443</v>
      </c>
      <c r="T452" t="s">
        <v>2985</v>
      </c>
      <c r="U452" t="s">
        <v>1765</v>
      </c>
    </row>
    <row r="453" spans="2:21" x14ac:dyDescent="0.3">
      <c r="B453" t="s">
        <v>1766</v>
      </c>
      <c r="C453" t="s">
        <v>2644</v>
      </c>
      <c r="D453" t="s">
        <v>2485</v>
      </c>
      <c r="E453" t="s">
        <v>2580</v>
      </c>
      <c r="F453" t="s">
        <v>2580</v>
      </c>
      <c r="G453" s="8">
        <v>2800</v>
      </c>
      <c r="H453" s="8">
        <f>+IF(BDAlquilerDepartamentos[[#This Row],[Ciudad]]="Lima",BDAlquilerDepartamentos[[#This Row],[Prec. Soles]]*0.1,BDAlquilerDepartamentos[[#This Row],[Prec. Soles]]*0.05)</f>
        <v>280</v>
      </c>
      <c r="I453" s="4">
        <v>3</v>
      </c>
      <c r="J453" s="4">
        <v>2</v>
      </c>
      <c r="K453" s="4" t="s">
        <v>3096</v>
      </c>
      <c r="L453" s="4" t="s">
        <v>3096</v>
      </c>
      <c r="M453" s="4">
        <v>144</v>
      </c>
      <c r="N453" s="4">
        <v>2012</v>
      </c>
      <c r="O453" s="4" t="str">
        <f>+IF(BDAlquilerDepartamentos[[#This Row],[Prec. Soles]]&gt;2500,"Caro","Economico")</f>
        <v>Caro</v>
      </c>
      <c r="P453" s="4" t="str">
        <f>+IF(AND(BDAlquilerDepartamentos[[#This Row],[N° de Dorm.]]&gt; 3,BDAlquilerDepartamentos[[#This Row],[Prec. Soles]]&lt;= 2500),"Buena Oferta", "Precio Estadar")</f>
        <v>Precio Estadar</v>
      </c>
      <c r="Q453" t="s">
        <v>1101</v>
      </c>
      <c r="R453" t="s">
        <v>1102</v>
      </c>
      <c r="S453" s="11">
        <v>45083</v>
      </c>
      <c r="T453" t="s">
        <v>2956</v>
      </c>
      <c r="U453" t="s">
        <v>1767</v>
      </c>
    </row>
    <row r="454" spans="2:21" x14ac:dyDescent="0.3">
      <c r="B454" t="s">
        <v>1298</v>
      </c>
      <c r="C454" t="s">
        <v>2511</v>
      </c>
      <c r="D454" t="s">
        <v>2444</v>
      </c>
      <c r="E454" t="s">
        <v>2580</v>
      </c>
      <c r="F454" t="s">
        <v>2580</v>
      </c>
      <c r="G454" s="8">
        <v>3000</v>
      </c>
      <c r="H454" s="8">
        <f>+IF(BDAlquilerDepartamentos[[#This Row],[Ciudad]]="Lima",BDAlquilerDepartamentos[[#This Row],[Prec. Soles]]*0.1,BDAlquilerDepartamentos[[#This Row],[Prec. Soles]]*0.05)</f>
        <v>300</v>
      </c>
      <c r="I454" s="4">
        <v>2</v>
      </c>
      <c r="J454" s="4">
        <v>2</v>
      </c>
      <c r="K454" s="4" t="s">
        <v>3096</v>
      </c>
      <c r="L454" s="4" t="s">
        <v>3095</v>
      </c>
      <c r="M454" s="4">
        <v>108</v>
      </c>
      <c r="N454" s="4">
        <v>2005</v>
      </c>
      <c r="O454" s="4" t="str">
        <f>+IF(BDAlquilerDepartamentos[[#This Row],[Prec. Soles]]&gt;2500,"Caro","Economico")</f>
        <v>Caro</v>
      </c>
      <c r="P454" s="4" t="str">
        <f>+IF(AND(BDAlquilerDepartamentos[[#This Row],[N° de Dorm.]]&gt; 3,BDAlquilerDepartamentos[[#This Row],[Prec. Soles]]&lt;= 2500),"Buena Oferta", "Precio Estadar")</f>
        <v>Precio Estadar</v>
      </c>
      <c r="Q454" t="s">
        <v>1101</v>
      </c>
      <c r="R454" t="s">
        <v>1102</v>
      </c>
      <c r="S454" s="11">
        <v>44962</v>
      </c>
      <c r="T454" t="s">
        <v>2986</v>
      </c>
      <c r="U454" t="s">
        <v>1768</v>
      </c>
    </row>
    <row r="455" spans="2:21" x14ac:dyDescent="0.3">
      <c r="B455" t="s">
        <v>1120</v>
      </c>
      <c r="C455" t="s">
        <v>2427</v>
      </c>
      <c r="D455" t="s">
        <v>2428</v>
      </c>
      <c r="E455" t="s">
        <v>2580</v>
      </c>
      <c r="F455" t="s">
        <v>2580</v>
      </c>
      <c r="G455" s="8">
        <v>4033</v>
      </c>
      <c r="H455" s="8">
        <f>+IF(BDAlquilerDepartamentos[[#This Row],[Ciudad]]="Lima",BDAlquilerDepartamentos[[#This Row],[Prec. Soles]]*0.1,BDAlquilerDepartamentos[[#This Row],[Prec. Soles]]*0.05)</f>
        <v>403.3</v>
      </c>
      <c r="I455" s="4">
        <v>3</v>
      </c>
      <c r="J455" s="4">
        <v>2</v>
      </c>
      <c r="K455" s="4" t="s">
        <v>3095</v>
      </c>
      <c r="L455" s="4" t="s">
        <v>3096</v>
      </c>
      <c r="M455" s="4">
        <v>168</v>
      </c>
      <c r="N455" s="4">
        <v>2003</v>
      </c>
      <c r="O455" s="4" t="str">
        <f>+IF(BDAlquilerDepartamentos[[#This Row],[Prec. Soles]]&gt;2500,"Caro","Economico")</f>
        <v>Caro</v>
      </c>
      <c r="P455" s="4" t="str">
        <f>+IF(AND(BDAlquilerDepartamentos[[#This Row],[N° de Dorm.]]&gt; 3,BDAlquilerDepartamentos[[#This Row],[Prec. Soles]]&lt;= 2500),"Buena Oferta", "Precio Estadar")</f>
        <v>Precio Estadar</v>
      </c>
      <c r="Q455" t="s">
        <v>1101</v>
      </c>
      <c r="R455" t="s">
        <v>1102</v>
      </c>
      <c r="S455" s="11">
        <v>45311</v>
      </c>
      <c r="T455" t="s">
        <v>2844</v>
      </c>
      <c r="U455" t="s">
        <v>1769</v>
      </c>
    </row>
    <row r="456" spans="2:21" x14ac:dyDescent="0.3">
      <c r="B456" t="s">
        <v>1770</v>
      </c>
      <c r="C456" t="s">
        <v>2645</v>
      </c>
      <c r="D456" t="s">
        <v>2485</v>
      </c>
      <c r="E456" t="s">
        <v>2580</v>
      </c>
      <c r="F456" t="s">
        <v>2580</v>
      </c>
      <c r="G456" s="8">
        <v>6105</v>
      </c>
      <c r="H456" s="8">
        <f>+IF(BDAlquilerDepartamentos[[#This Row],[Ciudad]]="Lima",BDAlquilerDepartamentos[[#This Row],[Prec. Soles]]*0.1,BDAlquilerDepartamentos[[#This Row],[Prec. Soles]]*0.05)</f>
        <v>610.5</v>
      </c>
      <c r="I456" s="4">
        <v>5</v>
      </c>
      <c r="J456" s="4">
        <v>5</v>
      </c>
      <c r="K456" s="4" t="s">
        <v>3095</v>
      </c>
      <c r="L456" s="4" t="s">
        <v>3096</v>
      </c>
      <c r="M456" s="4">
        <v>850</v>
      </c>
      <c r="N456" s="4">
        <v>2013</v>
      </c>
      <c r="O456" s="4" t="str">
        <f>+IF(BDAlquilerDepartamentos[[#This Row],[Prec. Soles]]&gt;2500,"Caro","Economico")</f>
        <v>Caro</v>
      </c>
      <c r="P456" s="4" t="str">
        <f>+IF(AND(BDAlquilerDepartamentos[[#This Row],[N° de Dorm.]]&gt; 3,BDAlquilerDepartamentos[[#This Row],[Prec. Soles]]&lt;= 2500),"Buena Oferta", "Precio Estadar")</f>
        <v>Precio Estadar</v>
      </c>
      <c r="Q456" t="s">
        <v>1113</v>
      </c>
      <c r="R456" t="s">
        <v>1102</v>
      </c>
      <c r="S456" s="11">
        <v>45599</v>
      </c>
      <c r="T456" t="s">
        <v>2873</v>
      </c>
      <c r="U456" t="s">
        <v>1771</v>
      </c>
    </row>
    <row r="457" spans="2:21" x14ac:dyDescent="0.3">
      <c r="B457" t="s">
        <v>1690</v>
      </c>
      <c r="C457" t="s">
        <v>2627</v>
      </c>
      <c r="D457" t="s">
        <v>2436</v>
      </c>
      <c r="E457" t="s">
        <v>2580</v>
      </c>
      <c r="F457" t="s">
        <v>2580</v>
      </c>
      <c r="G457" s="8">
        <v>1850</v>
      </c>
      <c r="H457" s="8">
        <f>+IF(BDAlquilerDepartamentos[[#This Row],[Ciudad]]="Lima",BDAlquilerDepartamentos[[#This Row],[Prec. Soles]]*0.1,BDAlquilerDepartamentos[[#This Row],[Prec. Soles]]*0.05)</f>
        <v>185</v>
      </c>
      <c r="I457" s="4">
        <v>1</v>
      </c>
      <c r="J457" s="4">
        <v>1</v>
      </c>
      <c r="K457" s="4" t="s">
        <v>3096</v>
      </c>
      <c r="L457" s="4" t="s">
        <v>3096</v>
      </c>
      <c r="M457" s="4">
        <v>50</v>
      </c>
      <c r="N457" s="4">
        <v>2011</v>
      </c>
      <c r="O457" s="4" t="str">
        <f>+IF(BDAlquilerDepartamentos[[#This Row],[Prec. Soles]]&gt;2500,"Caro","Economico")</f>
        <v>Economico</v>
      </c>
      <c r="P457" s="4" t="str">
        <f>+IF(AND(BDAlquilerDepartamentos[[#This Row],[N° de Dorm.]]&gt; 3,BDAlquilerDepartamentos[[#This Row],[Prec. Soles]]&lt;= 2500),"Buena Oferta", "Precio Estadar")</f>
        <v>Precio Estadar</v>
      </c>
      <c r="Q457" t="s">
        <v>1101</v>
      </c>
      <c r="R457" t="s">
        <v>1102</v>
      </c>
      <c r="S457" s="11">
        <v>45311</v>
      </c>
      <c r="T457" t="s">
        <v>2843</v>
      </c>
      <c r="U457" t="s">
        <v>1772</v>
      </c>
    </row>
    <row r="458" spans="2:21" x14ac:dyDescent="0.3">
      <c r="B458" t="s">
        <v>1773</v>
      </c>
      <c r="C458" t="s">
        <v>2646</v>
      </c>
      <c r="D458" t="s">
        <v>2647</v>
      </c>
      <c r="E458" t="s">
        <v>2580</v>
      </c>
      <c r="F458" t="s">
        <v>2580</v>
      </c>
      <c r="G458" s="8">
        <v>1200</v>
      </c>
      <c r="H458" s="8">
        <f>+IF(BDAlquilerDepartamentos[[#This Row],[Ciudad]]="Lima",BDAlquilerDepartamentos[[#This Row],[Prec. Soles]]*0.1,BDAlquilerDepartamentos[[#This Row],[Prec. Soles]]*0.05)</f>
        <v>120</v>
      </c>
      <c r="I458" s="4">
        <v>2</v>
      </c>
      <c r="J458" s="4">
        <v>1</v>
      </c>
      <c r="K458" s="4" t="s">
        <v>3095</v>
      </c>
      <c r="L458" s="4" t="s">
        <v>3095</v>
      </c>
      <c r="M458" s="4">
        <v>59</v>
      </c>
      <c r="N458" s="4">
        <v>2017</v>
      </c>
      <c r="O458" s="4" t="str">
        <f>+IF(BDAlquilerDepartamentos[[#This Row],[Prec. Soles]]&gt;2500,"Caro","Economico")</f>
        <v>Economico</v>
      </c>
      <c r="P458" s="4" t="str">
        <f>+IF(AND(BDAlquilerDepartamentos[[#This Row],[N° de Dorm.]]&gt; 3,BDAlquilerDepartamentos[[#This Row],[Prec. Soles]]&lt;= 2500),"Buena Oferta", "Precio Estadar")</f>
        <v>Precio Estadar</v>
      </c>
      <c r="Q458" t="s">
        <v>1101</v>
      </c>
      <c r="R458" t="s">
        <v>1102</v>
      </c>
      <c r="S458" s="11">
        <v>45069</v>
      </c>
      <c r="T458" t="s">
        <v>2987</v>
      </c>
      <c r="U458" t="s">
        <v>1774</v>
      </c>
    </row>
    <row r="459" spans="2:21" x14ac:dyDescent="0.3">
      <c r="B459" t="s">
        <v>1128</v>
      </c>
      <c r="C459" t="s">
        <v>2433</v>
      </c>
      <c r="D459" t="s">
        <v>2580</v>
      </c>
      <c r="E459" t="s">
        <v>2580</v>
      </c>
      <c r="F459" t="s">
        <v>2580</v>
      </c>
      <c r="G459" s="8">
        <v>2300</v>
      </c>
      <c r="H459" s="8">
        <f>+IF(BDAlquilerDepartamentos[[#This Row],[Ciudad]]="Lima",BDAlquilerDepartamentos[[#This Row],[Prec. Soles]]*0.1,BDAlquilerDepartamentos[[#This Row],[Prec. Soles]]*0.05)</f>
        <v>230</v>
      </c>
      <c r="I459" s="4">
        <v>3</v>
      </c>
      <c r="J459" s="4">
        <v>2</v>
      </c>
      <c r="K459" s="4" t="s">
        <v>3095</v>
      </c>
      <c r="L459" s="4" t="s">
        <v>3095</v>
      </c>
      <c r="M459" s="4">
        <v>77</v>
      </c>
      <c r="N459" s="4">
        <v>2003</v>
      </c>
      <c r="O459" s="4" t="str">
        <f>+IF(BDAlquilerDepartamentos[[#This Row],[Prec. Soles]]&gt;2500,"Caro","Economico")</f>
        <v>Economico</v>
      </c>
      <c r="P459" s="4" t="str">
        <f>+IF(AND(BDAlquilerDepartamentos[[#This Row],[N° de Dorm.]]&gt; 3,BDAlquilerDepartamentos[[#This Row],[Prec. Soles]]&lt;= 2500),"Buena Oferta", "Precio Estadar")</f>
        <v>Precio Estadar</v>
      </c>
      <c r="Q459" t="s">
        <v>1101</v>
      </c>
      <c r="R459" t="s">
        <v>1102</v>
      </c>
      <c r="S459" s="11">
        <v>44956</v>
      </c>
      <c r="T459" t="s">
        <v>2852</v>
      </c>
      <c r="U459" t="s">
        <v>1775</v>
      </c>
    </row>
    <row r="460" spans="2:21" x14ac:dyDescent="0.3">
      <c r="B460" t="s">
        <v>1169</v>
      </c>
      <c r="C460" t="s">
        <v>2455</v>
      </c>
      <c r="D460" t="s">
        <v>2436</v>
      </c>
      <c r="E460" t="s">
        <v>2580</v>
      </c>
      <c r="F460" t="s">
        <v>2580</v>
      </c>
      <c r="G460" s="8">
        <v>3145</v>
      </c>
      <c r="H460" s="8">
        <f>+IF(BDAlquilerDepartamentos[[#This Row],[Ciudad]]="Lima",BDAlquilerDepartamentos[[#This Row],[Prec. Soles]]*0.1,BDAlquilerDepartamentos[[#This Row],[Prec. Soles]]*0.05)</f>
        <v>314.5</v>
      </c>
      <c r="I460" s="4">
        <v>2</v>
      </c>
      <c r="J460" s="4">
        <v>2</v>
      </c>
      <c r="K460" s="4" t="s">
        <v>3096</v>
      </c>
      <c r="L460" s="4" t="s">
        <v>3095</v>
      </c>
      <c r="M460" s="4">
        <v>76</v>
      </c>
      <c r="N460" s="4">
        <v>2007</v>
      </c>
      <c r="O460" s="4" t="str">
        <f>+IF(BDAlquilerDepartamentos[[#This Row],[Prec. Soles]]&gt;2500,"Caro","Economico")</f>
        <v>Caro</v>
      </c>
      <c r="P460" s="4" t="str">
        <f>+IF(AND(BDAlquilerDepartamentos[[#This Row],[N° de Dorm.]]&gt; 3,BDAlquilerDepartamentos[[#This Row],[Prec. Soles]]&lt;= 2500),"Buena Oferta", "Precio Estadar")</f>
        <v>Precio Estadar</v>
      </c>
      <c r="Q460" t="s">
        <v>1101</v>
      </c>
      <c r="R460" t="s">
        <v>1102</v>
      </c>
      <c r="S460" s="11">
        <v>44983</v>
      </c>
      <c r="T460" t="s">
        <v>2846</v>
      </c>
      <c r="U460" t="s">
        <v>1776</v>
      </c>
    </row>
    <row r="461" spans="2:21" x14ac:dyDescent="0.3">
      <c r="B461" t="s">
        <v>1191</v>
      </c>
      <c r="C461" t="s">
        <v>2466</v>
      </c>
      <c r="D461" t="s">
        <v>2436</v>
      </c>
      <c r="E461" t="s">
        <v>2580</v>
      </c>
      <c r="F461" t="s">
        <v>2580</v>
      </c>
      <c r="G461" s="8">
        <v>3696.3</v>
      </c>
      <c r="H461" s="8">
        <f>+IF(BDAlquilerDepartamentos[[#This Row],[Ciudad]]="Lima",BDAlquilerDepartamentos[[#This Row],[Prec. Soles]]*0.1,BDAlquilerDepartamentos[[#This Row],[Prec. Soles]]*0.05)</f>
        <v>369.63000000000005</v>
      </c>
      <c r="I461" s="4">
        <v>2</v>
      </c>
      <c r="J461" s="4">
        <v>3</v>
      </c>
      <c r="K461" s="4" t="s">
        <v>3096</v>
      </c>
      <c r="L461" s="4" t="s">
        <v>3095</v>
      </c>
      <c r="M461" s="4">
        <v>126</v>
      </c>
      <c r="N461" s="4">
        <v>2003</v>
      </c>
      <c r="O461" s="4" t="str">
        <f>+IF(BDAlquilerDepartamentos[[#This Row],[Prec. Soles]]&gt;2500,"Caro","Economico")</f>
        <v>Caro</v>
      </c>
      <c r="P461" s="4" t="str">
        <f>+IF(AND(BDAlquilerDepartamentos[[#This Row],[N° de Dorm.]]&gt; 3,BDAlquilerDepartamentos[[#This Row],[Prec. Soles]]&lt;= 2500),"Buena Oferta", "Precio Estadar")</f>
        <v>Precio Estadar</v>
      </c>
      <c r="Q461" t="s">
        <v>1101</v>
      </c>
      <c r="R461" t="s">
        <v>1102</v>
      </c>
      <c r="S461" s="11">
        <v>45405</v>
      </c>
      <c r="T461" t="s">
        <v>2988</v>
      </c>
      <c r="U461" t="s">
        <v>1777</v>
      </c>
    </row>
    <row r="462" spans="2:21" x14ac:dyDescent="0.3">
      <c r="B462" t="s">
        <v>1432</v>
      </c>
      <c r="C462" t="s">
        <v>2556</v>
      </c>
      <c r="D462" t="s">
        <v>2420</v>
      </c>
      <c r="E462" t="s">
        <v>2580</v>
      </c>
      <c r="F462" t="s">
        <v>2580</v>
      </c>
      <c r="G462" s="8">
        <v>1900</v>
      </c>
      <c r="H462" s="8">
        <f>+IF(BDAlquilerDepartamentos[[#This Row],[Ciudad]]="Lima",BDAlquilerDepartamentos[[#This Row],[Prec. Soles]]*0.1,BDAlquilerDepartamentos[[#This Row],[Prec. Soles]]*0.05)</f>
        <v>190</v>
      </c>
      <c r="I462" s="4">
        <v>1</v>
      </c>
      <c r="J462" s="4">
        <v>1</v>
      </c>
      <c r="K462" s="4" t="s">
        <v>3095</v>
      </c>
      <c r="L462" s="4" t="s">
        <v>3095</v>
      </c>
      <c r="M462" s="4">
        <v>45</v>
      </c>
      <c r="N462" s="4">
        <v>2011</v>
      </c>
      <c r="O462" s="4" t="str">
        <f>+IF(BDAlquilerDepartamentos[[#This Row],[Prec. Soles]]&gt;2500,"Caro","Economico")</f>
        <v>Economico</v>
      </c>
      <c r="P462" s="4" t="str">
        <f>+IF(AND(BDAlquilerDepartamentos[[#This Row],[N° de Dorm.]]&gt; 3,BDAlquilerDepartamentos[[#This Row],[Prec. Soles]]&lt;= 2500),"Buena Oferta", "Precio Estadar")</f>
        <v>Precio Estadar</v>
      </c>
      <c r="Q462" t="s">
        <v>1101</v>
      </c>
      <c r="R462" t="s">
        <v>1102</v>
      </c>
      <c r="S462" s="11">
        <v>45436</v>
      </c>
      <c r="T462" t="s">
        <v>2835</v>
      </c>
      <c r="U462" t="s">
        <v>1778</v>
      </c>
    </row>
    <row r="463" spans="2:21" x14ac:dyDescent="0.3">
      <c r="B463" t="s">
        <v>1780</v>
      </c>
      <c r="C463" t="s">
        <v>2649</v>
      </c>
      <c r="D463" t="s">
        <v>2422</v>
      </c>
      <c r="E463" t="s">
        <v>2580</v>
      </c>
      <c r="F463" t="s">
        <v>2580</v>
      </c>
      <c r="G463" s="8">
        <v>8510</v>
      </c>
      <c r="H463" s="8">
        <f>+IF(BDAlquilerDepartamentos[[#This Row],[Ciudad]]="Lima",BDAlquilerDepartamentos[[#This Row],[Prec. Soles]]*0.1,BDAlquilerDepartamentos[[#This Row],[Prec. Soles]]*0.05)</f>
        <v>851</v>
      </c>
      <c r="I463" s="4">
        <v>3</v>
      </c>
      <c r="J463" s="4">
        <v>3</v>
      </c>
      <c r="K463" s="4" t="s">
        <v>3095</v>
      </c>
      <c r="L463" s="4" t="s">
        <v>3096</v>
      </c>
      <c r="M463" s="4">
        <v>285</v>
      </c>
      <c r="N463" s="4">
        <v>2008</v>
      </c>
      <c r="O463" s="4" t="str">
        <f>+IF(BDAlquilerDepartamentos[[#This Row],[Prec. Soles]]&gt;2500,"Caro","Economico")</f>
        <v>Caro</v>
      </c>
      <c r="P463" s="4" t="str">
        <f>+IF(AND(BDAlquilerDepartamentos[[#This Row],[N° de Dorm.]]&gt; 3,BDAlquilerDepartamentos[[#This Row],[Prec. Soles]]&lt;= 2500),"Buena Oferta", "Precio Estadar")</f>
        <v>Precio Estadar</v>
      </c>
      <c r="Q463" t="s">
        <v>1101</v>
      </c>
      <c r="R463" t="s">
        <v>1102</v>
      </c>
      <c r="S463" s="11">
        <v>44956</v>
      </c>
      <c r="T463" t="s">
        <v>2844</v>
      </c>
      <c r="U463" t="s">
        <v>1781</v>
      </c>
    </row>
    <row r="464" spans="2:21" x14ac:dyDescent="0.3">
      <c r="B464" t="s">
        <v>1154</v>
      </c>
      <c r="C464" t="s">
        <v>2448</v>
      </c>
      <c r="D464" t="s">
        <v>2804</v>
      </c>
      <c r="E464" t="s">
        <v>2580</v>
      </c>
      <c r="F464" t="s">
        <v>2580</v>
      </c>
      <c r="G464" s="8">
        <v>1500</v>
      </c>
      <c r="H464" s="8">
        <f>+IF(BDAlquilerDepartamentos[[#This Row],[Ciudad]]="Lima",BDAlquilerDepartamentos[[#This Row],[Prec. Soles]]*0.1,BDAlquilerDepartamentos[[#This Row],[Prec. Soles]]*0.05)</f>
        <v>150</v>
      </c>
      <c r="I464" s="4">
        <v>2</v>
      </c>
      <c r="J464" s="4">
        <v>1</v>
      </c>
      <c r="K464" s="4" t="s">
        <v>3095</v>
      </c>
      <c r="L464" s="4" t="s">
        <v>3095</v>
      </c>
      <c r="M464" s="4">
        <v>60</v>
      </c>
      <c r="N464" s="4">
        <v>2014</v>
      </c>
      <c r="O464" s="4" t="str">
        <f>+IF(BDAlquilerDepartamentos[[#This Row],[Prec. Soles]]&gt;2500,"Caro","Economico")</f>
        <v>Economico</v>
      </c>
      <c r="P464" s="4" t="str">
        <f>+IF(AND(BDAlquilerDepartamentos[[#This Row],[N° de Dorm.]]&gt; 3,BDAlquilerDepartamentos[[#This Row],[Prec. Soles]]&lt;= 2500),"Buena Oferta", "Precio Estadar")</f>
        <v>Precio Estadar</v>
      </c>
      <c r="Q464" t="s">
        <v>1101</v>
      </c>
      <c r="R464" t="s">
        <v>1102</v>
      </c>
      <c r="S464" s="11">
        <v>45333</v>
      </c>
      <c r="T464" t="s">
        <v>2823</v>
      </c>
      <c r="U464" t="s">
        <v>1782</v>
      </c>
    </row>
    <row r="465" spans="2:21" x14ac:dyDescent="0.3">
      <c r="B465" t="s">
        <v>1100</v>
      </c>
      <c r="C465" t="s">
        <v>2415</v>
      </c>
      <c r="D465" t="s">
        <v>2436</v>
      </c>
      <c r="E465" t="s">
        <v>2580</v>
      </c>
      <c r="F465" t="s">
        <v>2580</v>
      </c>
      <c r="G465" s="8">
        <v>2405</v>
      </c>
      <c r="H465" s="8">
        <f>+IF(BDAlquilerDepartamentos[[#This Row],[Ciudad]]="Lima",BDAlquilerDepartamentos[[#This Row],[Prec. Soles]]*0.1,BDAlquilerDepartamentos[[#This Row],[Prec. Soles]]*0.05)</f>
        <v>240.5</v>
      </c>
      <c r="I465" s="4">
        <v>2</v>
      </c>
      <c r="J465" s="4">
        <v>1</v>
      </c>
      <c r="K465" s="4" t="s">
        <v>3096</v>
      </c>
      <c r="L465" s="4" t="s">
        <v>3095</v>
      </c>
      <c r="M465" s="4">
        <v>115</v>
      </c>
      <c r="N465" s="4">
        <v>2010</v>
      </c>
      <c r="O465" s="4" t="str">
        <f>+IF(BDAlquilerDepartamentos[[#This Row],[Prec. Soles]]&gt;2500,"Caro","Economico")</f>
        <v>Economico</v>
      </c>
      <c r="P465" s="4" t="str">
        <f>+IF(AND(BDAlquilerDepartamentos[[#This Row],[N° de Dorm.]]&gt; 3,BDAlquilerDepartamentos[[#This Row],[Prec. Soles]]&lt;= 2500),"Buena Oferta", "Precio Estadar")</f>
        <v>Precio Estadar</v>
      </c>
      <c r="Q465" t="s">
        <v>1101</v>
      </c>
      <c r="R465" t="s">
        <v>1102</v>
      </c>
      <c r="S465" s="11">
        <v>45136</v>
      </c>
      <c r="T465" t="s">
        <v>2989</v>
      </c>
      <c r="U465" t="s">
        <v>1783</v>
      </c>
    </row>
    <row r="466" spans="2:21" x14ac:dyDescent="0.3">
      <c r="B466" t="s">
        <v>1189</v>
      </c>
      <c r="C466" t="s">
        <v>2465</v>
      </c>
      <c r="D466" t="s">
        <v>2418</v>
      </c>
      <c r="E466" t="s">
        <v>2580</v>
      </c>
      <c r="F466" t="s">
        <v>2580</v>
      </c>
      <c r="G466" s="8">
        <v>2500</v>
      </c>
      <c r="H466" s="8">
        <f>+IF(BDAlquilerDepartamentos[[#This Row],[Ciudad]]="Lima",BDAlquilerDepartamentos[[#This Row],[Prec. Soles]]*0.1,BDAlquilerDepartamentos[[#This Row],[Prec. Soles]]*0.05)</f>
        <v>250</v>
      </c>
      <c r="I466" s="4">
        <v>1</v>
      </c>
      <c r="J466" s="4">
        <v>1</v>
      </c>
      <c r="K466" s="4" t="s">
        <v>3095</v>
      </c>
      <c r="L466" s="4" t="s">
        <v>3095</v>
      </c>
      <c r="M466" s="4">
        <v>44</v>
      </c>
      <c r="N466" s="4">
        <v>2014</v>
      </c>
      <c r="O466" s="4" t="str">
        <f>+IF(BDAlquilerDepartamentos[[#This Row],[Prec. Soles]]&gt;2500,"Caro","Economico")</f>
        <v>Economico</v>
      </c>
      <c r="P466" s="4" t="str">
        <f>+IF(AND(BDAlquilerDepartamentos[[#This Row],[N° de Dorm.]]&gt; 3,BDAlquilerDepartamentos[[#This Row],[Prec. Soles]]&lt;= 2500),"Buena Oferta", "Precio Estadar")</f>
        <v>Precio Estadar</v>
      </c>
      <c r="Q466" t="s">
        <v>1101</v>
      </c>
      <c r="R466" t="s">
        <v>1102</v>
      </c>
      <c r="S466" s="11">
        <v>45402</v>
      </c>
      <c r="T466" t="s">
        <v>2903</v>
      </c>
      <c r="U466" t="s">
        <v>1784</v>
      </c>
    </row>
    <row r="467" spans="2:21" x14ac:dyDescent="0.3">
      <c r="B467" t="s">
        <v>1785</v>
      </c>
      <c r="C467" t="s">
        <v>2650</v>
      </c>
      <c r="D467" t="s">
        <v>2428</v>
      </c>
      <c r="E467" t="s">
        <v>2580</v>
      </c>
      <c r="F467" t="s">
        <v>2580</v>
      </c>
      <c r="G467" s="8">
        <v>2775</v>
      </c>
      <c r="H467" s="8">
        <f>+IF(BDAlquilerDepartamentos[[#This Row],[Ciudad]]="Lima",BDAlquilerDepartamentos[[#This Row],[Prec. Soles]]*0.1,BDAlquilerDepartamentos[[#This Row],[Prec. Soles]]*0.05)</f>
        <v>277.5</v>
      </c>
      <c r="I467" s="4">
        <v>1</v>
      </c>
      <c r="J467" s="4">
        <v>1</v>
      </c>
      <c r="K467" s="4" t="s">
        <v>3095</v>
      </c>
      <c r="L467" s="4" t="s">
        <v>3095</v>
      </c>
      <c r="M467" s="4">
        <v>55</v>
      </c>
      <c r="N467" s="4">
        <v>2009</v>
      </c>
      <c r="O467" s="4" t="str">
        <f>+IF(BDAlquilerDepartamentos[[#This Row],[Prec. Soles]]&gt;2500,"Caro","Economico")</f>
        <v>Caro</v>
      </c>
      <c r="P467" s="4" t="str">
        <f>+IF(AND(BDAlquilerDepartamentos[[#This Row],[N° de Dorm.]]&gt; 3,BDAlquilerDepartamentos[[#This Row],[Prec. Soles]]&lt;= 2500),"Buena Oferta", "Precio Estadar")</f>
        <v>Precio Estadar</v>
      </c>
      <c r="Q467" t="s">
        <v>1101</v>
      </c>
      <c r="R467" t="s">
        <v>1102</v>
      </c>
      <c r="S467" s="11">
        <v>45499</v>
      </c>
      <c r="T467" t="s">
        <v>2977</v>
      </c>
      <c r="U467" t="s">
        <v>1786</v>
      </c>
    </row>
    <row r="468" spans="2:21" x14ac:dyDescent="0.3">
      <c r="B468" t="s">
        <v>1787</v>
      </c>
      <c r="C468" t="s">
        <v>2651</v>
      </c>
      <c r="D468" t="s">
        <v>2435</v>
      </c>
      <c r="E468" t="s">
        <v>2580</v>
      </c>
      <c r="F468" t="s">
        <v>2580</v>
      </c>
      <c r="G468" s="8">
        <v>2500</v>
      </c>
      <c r="H468" s="8">
        <f>+IF(BDAlquilerDepartamentos[[#This Row],[Ciudad]]="Lima",BDAlquilerDepartamentos[[#This Row],[Prec. Soles]]*0.1,BDAlquilerDepartamentos[[#This Row],[Prec. Soles]]*0.05)</f>
        <v>250</v>
      </c>
      <c r="I468" s="4">
        <v>3</v>
      </c>
      <c r="J468" s="4">
        <v>2</v>
      </c>
      <c r="K468" s="4" t="s">
        <v>3096</v>
      </c>
      <c r="L468" s="4" t="s">
        <v>3095</v>
      </c>
      <c r="M468" s="4">
        <v>79</v>
      </c>
      <c r="N468" s="4">
        <v>2008</v>
      </c>
      <c r="O468" s="4" t="str">
        <f>+IF(BDAlquilerDepartamentos[[#This Row],[Prec. Soles]]&gt;2500,"Caro","Economico")</f>
        <v>Economico</v>
      </c>
      <c r="P468" s="4" t="str">
        <f>+IF(AND(BDAlquilerDepartamentos[[#This Row],[N° de Dorm.]]&gt; 3,BDAlquilerDepartamentos[[#This Row],[Prec. Soles]]&lt;= 2500),"Buena Oferta", "Precio Estadar")</f>
        <v>Precio Estadar</v>
      </c>
      <c r="Q468" t="s">
        <v>1101</v>
      </c>
      <c r="R468" t="s">
        <v>1102</v>
      </c>
      <c r="S468" s="11">
        <v>45602</v>
      </c>
      <c r="T468" t="s">
        <v>2990</v>
      </c>
      <c r="U468" t="s">
        <v>1788</v>
      </c>
    </row>
    <row r="469" spans="2:21" x14ac:dyDescent="0.3">
      <c r="B469" t="s">
        <v>1789</v>
      </c>
      <c r="C469" t="s">
        <v>2652</v>
      </c>
      <c r="D469" t="s">
        <v>2580</v>
      </c>
      <c r="E469" t="s">
        <v>2580</v>
      </c>
      <c r="F469" t="s">
        <v>2580</v>
      </c>
      <c r="G469" s="8">
        <v>2960</v>
      </c>
      <c r="H469" s="8">
        <f>+IF(BDAlquilerDepartamentos[[#This Row],[Ciudad]]="Lima",BDAlquilerDepartamentos[[#This Row],[Prec. Soles]]*0.1,BDAlquilerDepartamentos[[#This Row],[Prec. Soles]]*0.05)</f>
        <v>296</v>
      </c>
      <c r="I469" s="4">
        <v>3</v>
      </c>
      <c r="J469" s="4">
        <v>3</v>
      </c>
      <c r="K469" s="4" t="s">
        <v>3095</v>
      </c>
      <c r="L469" s="4" t="s">
        <v>3095</v>
      </c>
      <c r="M469" s="4">
        <v>150</v>
      </c>
      <c r="N469" s="4">
        <v>2006</v>
      </c>
      <c r="O469" s="4" t="str">
        <f>+IF(BDAlquilerDepartamentos[[#This Row],[Prec. Soles]]&gt;2500,"Caro","Economico")</f>
        <v>Caro</v>
      </c>
      <c r="P469" s="4" t="str">
        <f>+IF(AND(BDAlquilerDepartamentos[[#This Row],[N° de Dorm.]]&gt; 3,BDAlquilerDepartamentos[[#This Row],[Prec. Soles]]&lt;= 2500),"Buena Oferta", "Precio Estadar")</f>
        <v>Precio Estadar</v>
      </c>
      <c r="Q469" t="s">
        <v>1101</v>
      </c>
      <c r="R469" t="s">
        <v>1102</v>
      </c>
      <c r="S469" s="11">
        <v>45639</v>
      </c>
      <c r="T469" t="s">
        <v>2833</v>
      </c>
      <c r="U469" t="s">
        <v>1790</v>
      </c>
    </row>
    <row r="470" spans="2:21" x14ac:dyDescent="0.3">
      <c r="B470" t="s">
        <v>1568</v>
      </c>
      <c r="C470" t="s">
        <v>2593</v>
      </c>
      <c r="D470" t="s">
        <v>2594</v>
      </c>
      <c r="E470" t="s">
        <v>2580</v>
      </c>
      <c r="F470" t="s">
        <v>2580</v>
      </c>
      <c r="G470" s="8">
        <v>4806.3</v>
      </c>
      <c r="H470" s="8">
        <f>+IF(BDAlquilerDepartamentos[[#This Row],[Ciudad]]="Lima",BDAlquilerDepartamentos[[#This Row],[Prec. Soles]]*0.1,BDAlquilerDepartamentos[[#This Row],[Prec. Soles]]*0.05)</f>
        <v>480.63000000000005</v>
      </c>
      <c r="I470" s="4">
        <v>3</v>
      </c>
      <c r="J470" s="4">
        <v>2</v>
      </c>
      <c r="K470" s="4" t="s">
        <v>3096</v>
      </c>
      <c r="L470" s="4" t="s">
        <v>3095</v>
      </c>
      <c r="M470" s="4">
        <v>102</v>
      </c>
      <c r="N470" s="4">
        <v>2017</v>
      </c>
      <c r="O470" s="4" t="str">
        <f>+IF(BDAlquilerDepartamentos[[#This Row],[Prec. Soles]]&gt;2500,"Caro","Economico")</f>
        <v>Caro</v>
      </c>
      <c r="P470" s="4" t="str">
        <f>+IF(AND(BDAlquilerDepartamentos[[#This Row],[N° de Dorm.]]&gt; 3,BDAlquilerDepartamentos[[#This Row],[Prec. Soles]]&lt;= 2500),"Buena Oferta", "Precio Estadar")</f>
        <v>Precio Estadar</v>
      </c>
      <c r="Q470" t="s">
        <v>1101</v>
      </c>
      <c r="R470" t="s">
        <v>1102</v>
      </c>
      <c r="S470" s="11">
        <v>45183</v>
      </c>
      <c r="T470" t="s">
        <v>2908</v>
      </c>
      <c r="U470" t="s">
        <v>1791</v>
      </c>
    </row>
    <row r="471" spans="2:21" x14ac:dyDescent="0.3">
      <c r="B471" t="s">
        <v>1792</v>
      </c>
      <c r="C471" t="s">
        <v>2445</v>
      </c>
      <c r="D471" t="s">
        <v>2436</v>
      </c>
      <c r="E471" t="s">
        <v>2580</v>
      </c>
      <c r="F471" t="s">
        <v>2580</v>
      </c>
      <c r="G471" s="8">
        <v>1350</v>
      </c>
      <c r="H471" s="8">
        <f>+IF(BDAlquilerDepartamentos[[#This Row],[Ciudad]]="Lima",BDAlquilerDepartamentos[[#This Row],[Prec. Soles]]*0.1,BDAlquilerDepartamentos[[#This Row],[Prec. Soles]]*0.05)</f>
        <v>135</v>
      </c>
      <c r="I471" s="4">
        <v>1</v>
      </c>
      <c r="J471" s="4">
        <v>1</v>
      </c>
      <c r="K471" s="4" t="s">
        <v>3096</v>
      </c>
      <c r="L471" s="4" t="s">
        <v>3095</v>
      </c>
      <c r="M471" s="4">
        <v>20</v>
      </c>
      <c r="N471" s="4">
        <v>2007</v>
      </c>
      <c r="O471" s="4" t="str">
        <f>+IF(BDAlquilerDepartamentos[[#This Row],[Prec. Soles]]&gt;2500,"Caro","Economico")</f>
        <v>Economico</v>
      </c>
      <c r="P471" s="4" t="str">
        <f>+IF(AND(BDAlquilerDepartamentos[[#This Row],[N° de Dorm.]]&gt; 3,BDAlquilerDepartamentos[[#This Row],[Prec. Soles]]&lt;= 2500),"Buena Oferta", "Precio Estadar")</f>
        <v>Precio Estadar</v>
      </c>
      <c r="Q471" t="s">
        <v>1115</v>
      </c>
      <c r="R471" t="s">
        <v>1102</v>
      </c>
      <c r="S471" s="11">
        <v>45217</v>
      </c>
      <c r="T471" t="s">
        <v>2991</v>
      </c>
      <c r="U471" t="s">
        <v>1793</v>
      </c>
    </row>
    <row r="472" spans="2:21" x14ac:dyDescent="0.3">
      <c r="B472" t="s">
        <v>1794</v>
      </c>
      <c r="C472" t="s">
        <v>2627</v>
      </c>
      <c r="D472" t="s">
        <v>2436</v>
      </c>
      <c r="E472" t="s">
        <v>2580</v>
      </c>
      <c r="F472" t="s">
        <v>2580</v>
      </c>
      <c r="G472" s="8">
        <v>7289</v>
      </c>
      <c r="H472" s="8">
        <f>+IF(BDAlquilerDepartamentos[[#This Row],[Ciudad]]="Lima",BDAlquilerDepartamentos[[#This Row],[Prec. Soles]]*0.1,BDAlquilerDepartamentos[[#This Row],[Prec. Soles]]*0.05)</f>
        <v>728.90000000000009</v>
      </c>
      <c r="I472" s="4">
        <v>3</v>
      </c>
      <c r="J472" s="4">
        <v>3</v>
      </c>
      <c r="K472" s="4" t="s">
        <v>3095</v>
      </c>
      <c r="L472" s="4" t="s">
        <v>3095</v>
      </c>
      <c r="M472" s="4">
        <v>230</v>
      </c>
      <c r="N472" s="4">
        <v>2003</v>
      </c>
      <c r="O472" s="4" t="str">
        <f>+IF(BDAlquilerDepartamentos[[#This Row],[Prec. Soles]]&gt;2500,"Caro","Economico")</f>
        <v>Caro</v>
      </c>
      <c r="P472" s="4" t="str">
        <f>+IF(AND(BDAlquilerDepartamentos[[#This Row],[N° de Dorm.]]&gt; 3,BDAlquilerDepartamentos[[#This Row],[Prec. Soles]]&lt;= 2500),"Buena Oferta", "Precio Estadar")</f>
        <v>Precio Estadar</v>
      </c>
      <c r="Q472" t="s">
        <v>1113</v>
      </c>
      <c r="R472" t="s">
        <v>1102</v>
      </c>
      <c r="S472" s="11">
        <v>45547</v>
      </c>
      <c r="T472" t="s">
        <v>2826</v>
      </c>
      <c r="U472" t="s">
        <v>1795</v>
      </c>
    </row>
    <row r="473" spans="2:21" x14ac:dyDescent="0.3">
      <c r="B473" t="s">
        <v>1323</v>
      </c>
      <c r="C473" t="s">
        <v>2520</v>
      </c>
      <c r="D473" t="s">
        <v>2420</v>
      </c>
      <c r="E473" t="s">
        <v>2580</v>
      </c>
      <c r="F473" t="s">
        <v>2580</v>
      </c>
      <c r="G473" s="8">
        <v>2775</v>
      </c>
      <c r="H473" s="8">
        <f>+IF(BDAlquilerDepartamentos[[#This Row],[Ciudad]]="Lima",BDAlquilerDepartamentos[[#This Row],[Prec. Soles]]*0.1,BDAlquilerDepartamentos[[#This Row],[Prec. Soles]]*0.05)</f>
        <v>277.5</v>
      </c>
      <c r="I473" s="4">
        <v>2</v>
      </c>
      <c r="J473" s="4">
        <v>2</v>
      </c>
      <c r="K473" s="4" t="s">
        <v>3096</v>
      </c>
      <c r="L473" s="4" t="s">
        <v>3095</v>
      </c>
      <c r="M473" s="4">
        <v>71</v>
      </c>
      <c r="N473" s="4">
        <v>2017</v>
      </c>
      <c r="O473" s="4" t="str">
        <f>+IF(BDAlquilerDepartamentos[[#This Row],[Prec. Soles]]&gt;2500,"Caro","Economico")</f>
        <v>Caro</v>
      </c>
      <c r="P473" s="4" t="str">
        <f>+IF(AND(BDAlquilerDepartamentos[[#This Row],[N° de Dorm.]]&gt; 3,BDAlquilerDepartamentos[[#This Row],[Prec. Soles]]&lt;= 2500),"Buena Oferta", "Precio Estadar")</f>
        <v>Precio Estadar</v>
      </c>
      <c r="Q473" t="s">
        <v>1101</v>
      </c>
      <c r="R473" t="s">
        <v>1102</v>
      </c>
      <c r="S473" s="11">
        <v>45453</v>
      </c>
      <c r="T473" t="s">
        <v>2952</v>
      </c>
      <c r="U473" t="s">
        <v>1796</v>
      </c>
    </row>
    <row r="474" spans="2:21" x14ac:dyDescent="0.3">
      <c r="B474" t="s">
        <v>1461</v>
      </c>
      <c r="C474" t="s">
        <v>2564</v>
      </c>
      <c r="D474" t="s">
        <v>2485</v>
      </c>
      <c r="E474" t="s">
        <v>2580</v>
      </c>
      <c r="F474" t="s">
        <v>2580</v>
      </c>
      <c r="G474" s="8">
        <v>11100</v>
      </c>
      <c r="H474" s="8">
        <f>+IF(BDAlquilerDepartamentos[[#This Row],[Ciudad]]="Lima",BDAlquilerDepartamentos[[#This Row],[Prec. Soles]]*0.1,BDAlquilerDepartamentos[[#This Row],[Prec. Soles]]*0.05)</f>
        <v>1110</v>
      </c>
      <c r="I474" s="4">
        <v>4</v>
      </c>
      <c r="J474" s="4">
        <v>5</v>
      </c>
      <c r="K474" s="4" t="s">
        <v>3095</v>
      </c>
      <c r="L474" s="4" t="s">
        <v>3095</v>
      </c>
      <c r="M474" s="4">
        <v>650</v>
      </c>
      <c r="N474" s="4">
        <v>2012</v>
      </c>
      <c r="O474" s="4" t="str">
        <f>+IF(BDAlquilerDepartamentos[[#This Row],[Prec. Soles]]&gt;2500,"Caro","Economico")</f>
        <v>Caro</v>
      </c>
      <c r="P474" s="4" t="str">
        <f>+IF(AND(BDAlquilerDepartamentos[[#This Row],[N° de Dorm.]]&gt; 3,BDAlquilerDepartamentos[[#This Row],[Prec. Soles]]&lt;= 2500),"Buena Oferta", "Precio Estadar")</f>
        <v>Precio Estadar</v>
      </c>
      <c r="Q474" t="s">
        <v>1113</v>
      </c>
      <c r="R474" t="s">
        <v>1102</v>
      </c>
      <c r="S474" s="11">
        <v>45199</v>
      </c>
      <c r="T474" t="s">
        <v>2992</v>
      </c>
      <c r="U474" t="s">
        <v>1797</v>
      </c>
    </row>
    <row r="475" spans="2:21" x14ac:dyDescent="0.3">
      <c r="B475" t="s">
        <v>1154</v>
      </c>
      <c r="C475" t="s">
        <v>2448</v>
      </c>
      <c r="D475" t="s">
        <v>2804</v>
      </c>
      <c r="E475" t="s">
        <v>2580</v>
      </c>
      <c r="F475" t="s">
        <v>2580</v>
      </c>
      <c r="G475" s="8">
        <v>2400</v>
      </c>
      <c r="H475" s="8">
        <f>+IF(BDAlquilerDepartamentos[[#This Row],[Ciudad]]="Lima",BDAlquilerDepartamentos[[#This Row],[Prec. Soles]]*0.1,BDAlquilerDepartamentos[[#This Row],[Prec. Soles]]*0.05)</f>
        <v>240</v>
      </c>
      <c r="I475" s="4">
        <v>2</v>
      </c>
      <c r="J475" s="4">
        <v>2</v>
      </c>
      <c r="K475" s="4" t="s">
        <v>3096</v>
      </c>
      <c r="L475" s="4" t="s">
        <v>3096</v>
      </c>
      <c r="M475" s="4">
        <v>77</v>
      </c>
      <c r="N475" s="4">
        <v>2014</v>
      </c>
      <c r="O475" s="4" t="str">
        <f>+IF(BDAlquilerDepartamentos[[#This Row],[Prec. Soles]]&gt;2500,"Caro","Economico")</f>
        <v>Economico</v>
      </c>
      <c r="P475" s="4" t="str">
        <f>+IF(AND(BDAlquilerDepartamentos[[#This Row],[N° de Dorm.]]&gt; 3,BDAlquilerDepartamentos[[#This Row],[Prec. Soles]]&lt;= 2500),"Buena Oferta", "Precio Estadar")</f>
        <v>Precio Estadar</v>
      </c>
      <c r="Q475" t="s">
        <v>1101</v>
      </c>
      <c r="R475" t="s">
        <v>1102</v>
      </c>
      <c r="S475" s="11">
        <v>45346</v>
      </c>
      <c r="T475" t="s">
        <v>2873</v>
      </c>
      <c r="U475" t="s">
        <v>1798</v>
      </c>
    </row>
    <row r="476" spans="2:21" x14ac:dyDescent="0.3">
      <c r="B476" t="s">
        <v>1180</v>
      </c>
      <c r="C476" t="s">
        <v>2461</v>
      </c>
      <c r="D476" t="s">
        <v>2580</v>
      </c>
      <c r="E476" t="s">
        <v>2580</v>
      </c>
      <c r="F476" t="s">
        <v>2580</v>
      </c>
      <c r="G476" s="8">
        <v>4070</v>
      </c>
      <c r="H476" s="8">
        <f>+IF(BDAlquilerDepartamentos[[#This Row],[Ciudad]]="Lima",BDAlquilerDepartamentos[[#This Row],[Prec. Soles]]*0.1,BDAlquilerDepartamentos[[#This Row],[Prec. Soles]]*0.05)</f>
        <v>407</v>
      </c>
      <c r="I476" s="4">
        <v>4</v>
      </c>
      <c r="J476" s="4">
        <v>4</v>
      </c>
      <c r="K476" s="4" t="s">
        <v>3095</v>
      </c>
      <c r="L476" s="4" t="s">
        <v>3095</v>
      </c>
      <c r="M476" s="17">
        <v>1024</v>
      </c>
      <c r="N476" s="4">
        <v>2014</v>
      </c>
      <c r="O476" s="4" t="str">
        <f>+IF(BDAlquilerDepartamentos[[#This Row],[Prec. Soles]]&gt;2500,"Caro","Economico")</f>
        <v>Caro</v>
      </c>
      <c r="P476" s="4" t="str">
        <f>+IF(AND(BDAlquilerDepartamentos[[#This Row],[N° de Dorm.]]&gt; 3,BDAlquilerDepartamentos[[#This Row],[Prec. Soles]]&lt;= 2500),"Buena Oferta", "Precio Estadar")</f>
        <v>Precio Estadar</v>
      </c>
      <c r="Q476" t="s">
        <v>1113</v>
      </c>
      <c r="R476" t="s">
        <v>1102</v>
      </c>
      <c r="S476" s="11">
        <v>45348</v>
      </c>
      <c r="T476" t="s">
        <v>2897</v>
      </c>
      <c r="U476" t="s">
        <v>1799</v>
      </c>
    </row>
    <row r="477" spans="2:21" x14ac:dyDescent="0.3">
      <c r="B477" t="s">
        <v>1108</v>
      </c>
      <c r="C477" t="s">
        <v>2419</v>
      </c>
      <c r="D477" t="s">
        <v>2428</v>
      </c>
      <c r="E477" t="s">
        <v>2580</v>
      </c>
      <c r="F477" t="s">
        <v>2580</v>
      </c>
      <c r="G477" s="8">
        <v>3000</v>
      </c>
      <c r="H477" s="8">
        <f>+IF(BDAlquilerDepartamentos[[#This Row],[Ciudad]]="Lima",BDAlquilerDepartamentos[[#This Row],[Prec. Soles]]*0.1,BDAlquilerDepartamentos[[#This Row],[Prec. Soles]]*0.05)</f>
        <v>300</v>
      </c>
      <c r="I477" s="4">
        <v>3</v>
      </c>
      <c r="J477" s="4">
        <v>2</v>
      </c>
      <c r="K477" s="4" t="s">
        <v>3095</v>
      </c>
      <c r="L477" s="4" t="s">
        <v>3095</v>
      </c>
      <c r="M477" s="4">
        <v>110</v>
      </c>
      <c r="N477" s="4">
        <v>2015</v>
      </c>
      <c r="O477" s="4" t="str">
        <f>+IF(BDAlquilerDepartamentos[[#This Row],[Prec. Soles]]&gt;2500,"Caro","Economico")</f>
        <v>Caro</v>
      </c>
      <c r="P477" s="4" t="str">
        <f>+IF(AND(BDAlquilerDepartamentos[[#This Row],[N° de Dorm.]]&gt; 3,BDAlquilerDepartamentos[[#This Row],[Prec. Soles]]&lt;= 2500),"Buena Oferta", "Precio Estadar")</f>
        <v>Precio Estadar</v>
      </c>
      <c r="Q477" t="s">
        <v>1101</v>
      </c>
      <c r="R477" t="s">
        <v>1102</v>
      </c>
      <c r="S477" s="11">
        <v>45541</v>
      </c>
      <c r="T477" t="s">
        <v>2823</v>
      </c>
      <c r="U477" t="s">
        <v>1800</v>
      </c>
    </row>
    <row r="478" spans="2:21" x14ac:dyDescent="0.3">
      <c r="B478" t="s">
        <v>1801</v>
      </c>
      <c r="C478" t="s">
        <v>2653</v>
      </c>
      <c r="D478" t="s">
        <v>2444</v>
      </c>
      <c r="E478" t="s">
        <v>2580</v>
      </c>
      <c r="F478" t="s">
        <v>2580</v>
      </c>
      <c r="G478" s="8">
        <v>2000</v>
      </c>
      <c r="H478" s="8">
        <f>+IF(BDAlquilerDepartamentos[[#This Row],[Ciudad]]="Lima",BDAlquilerDepartamentos[[#This Row],[Prec. Soles]]*0.1,BDAlquilerDepartamentos[[#This Row],[Prec. Soles]]*0.05)</f>
        <v>200</v>
      </c>
      <c r="I478" s="4">
        <v>1</v>
      </c>
      <c r="J478" s="4">
        <v>1</v>
      </c>
      <c r="K478" s="4" t="s">
        <v>3095</v>
      </c>
      <c r="L478" s="4" t="s">
        <v>3095</v>
      </c>
      <c r="M478" s="4">
        <v>75</v>
      </c>
      <c r="N478" s="4">
        <v>2014</v>
      </c>
      <c r="O478" s="4" t="str">
        <f>+IF(BDAlquilerDepartamentos[[#This Row],[Prec. Soles]]&gt;2500,"Caro","Economico")</f>
        <v>Economico</v>
      </c>
      <c r="P478" s="4" t="str">
        <f>+IF(AND(BDAlquilerDepartamentos[[#This Row],[N° de Dorm.]]&gt; 3,BDAlquilerDepartamentos[[#This Row],[Prec. Soles]]&lt;= 2500),"Buena Oferta", "Precio Estadar")</f>
        <v>Precio Estadar</v>
      </c>
      <c r="Q478" t="s">
        <v>1101</v>
      </c>
      <c r="R478" t="s">
        <v>1102</v>
      </c>
      <c r="S478" s="11">
        <v>45120</v>
      </c>
      <c r="T478" t="s">
        <v>2823</v>
      </c>
      <c r="U478" t="s">
        <v>1802</v>
      </c>
    </row>
    <row r="479" spans="2:21" x14ac:dyDescent="0.3">
      <c r="B479" t="s">
        <v>1803</v>
      </c>
      <c r="C479" t="s">
        <v>2654</v>
      </c>
      <c r="D479" t="s">
        <v>2485</v>
      </c>
      <c r="E479" t="s">
        <v>2580</v>
      </c>
      <c r="F479" t="s">
        <v>2580</v>
      </c>
      <c r="G479" s="8">
        <v>1500</v>
      </c>
      <c r="H479" s="8">
        <f>+IF(BDAlquilerDepartamentos[[#This Row],[Ciudad]]="Lima",BDAlquilerDepartamentos[[#This Row],[Prec. Soles]]*0.1,BDAlquilerDepartamentos[[#This Row],[Prec. Soles]]*0.05)</f>
        <v>150</v>
      </c>
      <c r="I479" s="4">
        <v>2</v>
      </c>
      <c r="J479" s="4">
        <v>2</v>
      </c>
      <c r="K479" s="4" t="s">
        <v>3096</v>
      </c>
      <c r="L479" s="4" t="s">
        <v>3095</v>
      </c>
      <c r="M479" s="4">
        <v>80</v>
      </c>
      <c r="N479" s="4">
        <v>2014</v>
      </c>
      <c r="O479" s="4" t="str">
        <f>+IF(BDAlquilerDepartamentos[[#This Row],[Prec. Soles]]&gt;2500,"Caro","Economico")</f>
        <v>Economico</v>
      </c>
      <c r="P479" s="4" t="str">
        <f>+IF(AND(BDAlquilerDepartamentos[[#This Row],[N° de Dorm.]]&gt; 3,BDAlquilerDepartamentos[[#This Row],[Prec. Soles]]&lt;= 2500),"Buena Oferta", "Precio Estadar")</f>
        <v>Precio Estadar</v>
      </c>
      <c r="Q479" t="s">
        <v>1101</v>
      </c>
      <c r="R479" t="s">
        <v>1102</v>
      </c>
      <c r="S479" s="11">
        <v>44966</v>
      </c>
      <c r="T479" t="s">
        <v>2823</v>
      </c>
      <c r="U479" t="s">
        <v>1804</v>
      </c>
    </row>
    <row r="480" spans="2:21" x14ac:dyDescent="0.3">
      <c r="B480" t="s">
        <v>3122</v>
      </c>
      <c r="C480" t="s">
        <v>3114</v>
      </c>
      <c r="D480" t="s">
        <v>2436</v>
      </c>
      <c r="E480" t="s">
        <v>2580</v>
      </c>
      <c r="F480" t="s">
        <v>2580</v>
      </c>
      <c r="G480" s="8">
        <v>11100</v>
      </c>
      <c r="H480" s="8">
        <f>+IF(BDAlquilerDepartamentos[[#This Row],[Ciudad]]="Lima",BDAlquilerDepartamentos[[#This Row],[Prec. Soles]]*0.1,BDAlquilerDepartamentos[[#This Row],[Prec. Soles]]*0.05)</f>
        <v>1110</v>
      </c>
      <c r="I480" s="4">
        <v>3</v>
      </c>
      <c r="J480" s="4">
        <v>2</v>
      </c>
      <c r="K480" s="4" t="s">
        <v>3095</v>
      </c>
      <c r="L480" s="4" t="s">
        <v>3096</v>
      </c>
      <c r="M480" s="4">
        <v>153</v>
      </c>
      <c r="N480" s="4">
        <v>2018</v>
      </c>
      <c r="O480" s="4" t="str">
        <f>+IF(BDAlquilerDepartamentos[[#This Row],[Prec. Soles]]&gt;2500,"Caro","Economico")</f>
        <v>Caro</v>
      </c>
      <c r="P480" s="4" t="str">
        <f>+IF(AND(BDAlquilerDepartamentos[[#This Row],[N° de Dorm.]]&gt; 3,BDAlquilerDepartamentos[[#This Row],[Prec. Soles]]&lt;= 2500),"Buena Oferta", "Precio Estadar")</f>
        <v>Precio Estadar</v>
      </c>
      <c r="Q480" t="s">
        <v>1113</v>
      </c>
      <c r="R480" t="s">
        <v>1102</v>
      </c>
      <c r="S480" s="11">
        <v>45332</v>
      </c>
      <c r="T480" t="s">
        <v>2993</v>
      </c>
      <c r="U480" t="s">
        <v>1805</v>
      </c>
    </row>
    <row r="481" spans="2:21" x14ac:dyDescent="0.3">
      <c r="B481" t="s">
        <v>1806</v>
      </c>
      <c r="C481" t="s">
        <v>2655</v>
      </c>
      <c r="D481" t="s">
        <v>2444</v>
      </c>
      <c r="E481" t="s">
        <v>2580</v>
      </c>
      <c r="F481" t="s">
        <v>2580</v>
      </c>
      <c r="G481" s="8">
        <v>2590</v>
      </c>
      <c r="H481" s="8">
        <f>+IF(BDAlquilerDepartamentos[[#This Row],[Ciudad]]="Lima",BDAlquilerDepartamentos[[#This Row],[Prec. Soles]]*0.1,BDAlquilerDepartamentos[[#This Row],[Prec. Soles]]*0.05)</f>
        <v>259</v>
      </c>
      <c r="I481" s="4">
        <v>3</v>
      </c>
      <c r="J481" s="4">
        <v>2</v>
      </c>
      <c r="K481" s="4" t="s">
        <v>3095</v>
      </c>
      <c r="L481" s="4" t="s">
        <v>3095</v>
      </c>
      <c r="M481" s="4">
        <v>110</v>
      </c>
      <c r="N481" s="4">
        <v>2018</v>
      </c>
      <c r="O481" s="4" t="str">
        <f>+IF(BDAlquilerDepartamentos[[#This Row],[Prec. Soles]]&gt;2500,"Caro","Economico")</f>
        <v>Caro</v>
      </c>
      <c r="P481" s="4" t="str">
        <f>+IF(AND(BDAlquilerDepartamentos[[#This Row],[N° de Dorm.]]&gt; 3,BDAlquilerDepartamentos[[#This Row],[Prec. Soles]]&lt;= 2500),"Buena Oferta", "Precio Estadar")</f>
        <v>Precio Estadar</v>
      </c>
      <c r="Q481" t="s">
        <v>1101</v>
      </c>
      <c r="R481" t="s">
        <v>1102</v>
      </c>
      <c r="S481" s="11">
        <v>44994</v>
      </c>
      <c r="T481" t="s">
        <v>2994</v>
      </c>
      <c r="U481" t="s">
        <v>1807</v>
      </c>
    </row>
    <row r="482" spans="2:21" x14ac:dyDescent="0.3">
      <c r="B482" t="s">
        <v>1808</v>
      </c>
      <c r="C482" t="s">
        <v>2656</v>
      </c>
      <c r="D482" t="s">
        <v>2647</v>
      </c>
      <c r="E482" t="s">
        <v>2580</v>
      </c>
      <c r="F482" t="s">
        <v>2580</v>
      </c>
      <c r="G482" s="8">
        <v>1850</v>
      </c>
      <c r="H482" s="8">
        <f>+IF(BDAlquilerDepartamentos[[#This Row],[Ciudad]]="Lima",BDAlquilerDepartamentos[[#This Row],[Prec. Soles]]*0.1,BDAlquilerDepartamentos[[#This Row],[Prec. Soles]]*0.05)</f>
        <v>185</v>
      </c>
      <c r="I482" s="4">
        <v>3</v>
      </c>
      <c r="J482" s="4">
        <v>2</v>
      </c>
      <c r="K482" s="4" t="s">
        <v>3095</v>
      </c>
      <c r="L482" s="4" t="s">
        <v>3096</v>
      </c>
      <c r="M482" s="4">
        <v>70</v>
      </c>
      <c r="N482" s="4">
        <v>2012</v>
      </c>
      <c r="O482" s="4" t="str">
        <f>+IF(BDAlquilerDepartamentos[[#This Row],[Prec. Soles]]&gt;2500,"Caro","Economico")</f>
        <v>Economico</v>
      </c>
      <c r="P482" s="4" t="str">
        <f>+IF(AND(BDAlquilerDepartamentos[[#This Row],[N° de Dorm.]]&gt; 3,BDAlquilerDepartamentos[[#This Row],[Prec. Soles]]&lt;= 2500),"Buena Oferta", "Precio Estadar")</f>
        <v>Precio Estadar</v>
      </c>
      <c r="Q482" t="s">
        <v>1101</v>
      </c>
      <c r="R482" t="s">
        <v>1102</v>
      </c>
      <c r="S482" s="11">
        <v>45601</v>
      </c>
      <c r="T482" t="s">
        <v>2854</v>
      </c>
      <c r="U482" t="s">
        <v>1809</v>
      </c>
    </row>
    <row r="483" spans="2:21" x14ac:dyDescent="0.3">
      <c r="B483" t="s">
        <v>1277</v>
      </c>
      <c r="C483" t="s">
        <v>2503</v>
      </c>
      <c r="D483" t="s">
        <v>2422</v>
      </c>
      <c r="E483" t="s">
        <v>2580</v>
      </c>
      <c r="F483" t="s">
        <v>2580</v>
      </c>
      <c r="G483" s="8">
        <v>2000</v>
      </c>
      <c r="H483" s="8">
        <f>+IF(BDAlquilerDepartamentos[[#This Row],[Ciudad]]="Lima",BDAlquilerDepartamentos[[#This Row],[Prec. Soles]]*0.1,BDAlquilerDepartamentos[[#This Row],[Prec. Soles]]*0.05)</f>
        <v>200</v>
      </c>
      <c r="I483" s="4">
        <v>3</v>
      </c>
      <c r="J483" s="4">
        <v>2</v>
      </c>
      <c r="K483" s="4" t="s">
        <v>3095</v>
      </c>
      <c r="L483" s="4" t="s">
        <v>3095</v>
      </c>
      <c r="M483" s="4">
        <v>100</v>
      </c>
      <c r="N483" s="4">
        <v>2007</v>
      </c>
      <c r="O483" s="4" t="str">
        <f>+IF(BDAlquilerDepartamentos[[#This Row],[Prec. Soles]]&gt;2500,"Caro","Economico")</f>
        <v>Economico</v>
      </c>
      <c r="P483" s="4" t="str">
        <f>+IF(AND(BDAlquilerDepartamentos[[#This Row],[N° de Dorm.]]&gt; 3,BDAlquilerDepartamentos[[#This Row],[Prec. Soles]]&lt;= 2500),"Buena Oferta", "Precio Estadar")</f>
        <v>Precio Estadar</v>
      </c>
      <c r="Q483" t="s">
        <v>1101</v>
      </c>
      <c r="R483" t="s">
        <v>1102</v>
      </c>
      <c r="S483" s="11">
        <v>45439</v>
      </c>
      <c r="T483" t="s">
        <v>2823</v>
      </c>
      <c r="U483" t="s">
        <v>1810</v>
      </c>
    </row>
    <row r="484" spans="2:21" x14ac:dyDescent="0.3">
      <c r="B484" t="s">
        <v>1381</v>
      </c>
      <c r="C484" t="s">
        <v>2537</v>
      </c>
      <c r="D484" t="s">
        <v>2428</v>
      </c>
      <c r="E484" t="s">
        <v>2580</v>
      </c>
      <c r="F484" t="s">
        <v>2580</v>
      </c>
      <c r="G484" s="8">
        <v>2590</v>
      </c>
      <c r="H484" s="8">
        <f>+IF(BDAlquilerDepartamentos[[#This Row],[Ciudad]]="Lima",BDAlquilerDepartamentos[[#This Row],[Prec. Soles]]*0.1,BDAlquilerDepartamentos[[#This Row],[Prec. Soles]]*0.05)</f>
        <v>259</v>
      </c>
      <c r="I484" s="4">
        <v>1</v>
      </c>
      <c r="J484" s="4">
        <v>1</v>
      </c>
      <c r="K484" s="4" t="s">
        <v>3095</v>
      </c>
      <c r="L484" s="4" t="s">
        <v>3095</v>
      </c>
      <c r="M484" s="4">
        <v>45</v>
      </c>
      <c r="N484" s="4">
        <v>2013</v>
      </c>
      <c r="O484" s="4" t="str">
        <f>+IF(BDAlquilerDepartamentos[[#This Row],[Prec. Soles]]&gt;2500,"Caro","Economico")</f>
        <v>Caro</v>
      </c>
      <c r="P484" s="4" t="str">
        <f>+IF(AND(BDAlquilerDepartamentos[[#This Row],[N° de Dorm.]]&gt; 3,BDAlquilerDepartamentos[[#This Row],[Prec. Soles]]&lt;= 2500),"Buena Oferta", "Precio Estadar")</f>
        <v>Precio Estadar</v>
      </c>
      <c r="Q484" t="s">
        <v>1101</v>
      </c>
      <c r="R484" t="s">
        <v>1102</v>
      </c>
      <c r="S484" s="11">
        <v>45540</v>
      </c>
      <c r="T484" t="s">
        <v>2995</v>
      </c>
      <c r="U484" t="s">
        <v>1811</v>
      </c>
    </row>
    <row r="485" spans="2:21" x14ac:dyDescent="0.3">
      <c r="B485" t="s">
        <v>1418</v>
      </c>
      <c r="C485" t="s">
        <v>2551</v>
      </c>
      <c r="D485" t="s">
        <v>2452</v>
      </c>
      <c r="E485" t="s">
        <v>2580</v>
      </c>
      <c r="F485" t="s">
        <v>2580</v>
      </c>
      <c r="G485" s="8">
        <v>2300</v>
      </c>
      <c r="H485" s="8">
        <f>+IF(BDAlquilerDepartamentos[[#This Row],[Ciudad]]="Lima",BDAlquilerDepartamentos[[#This Row],[Prec. Soles]]*0.1,BDAlquilerDepartamentos[[#This Row],[Prec. Soles]]*0.05)</f>
        <v>230</v>
      </c>
      <c r="I485" s="4">
        <v>2</v>
      </c>
      <c r="J485" s="4">
        <v>2</v>
      </c>
      <c r="K485" s="4" t="s">
        <v>3095</v>
      </c>
      <c r="L485" s="4" t="s">
        <v>3095</v>
      </c>
      <c r="M485" s="4">
        <v>85</v>
      </c>
      <c r="N485" s="4">
        <v>2012</v>
      </c>
      <c r="O485" s="4" t="str">
        <f>+IF(BDAlquilerDepartamentos[[#This Row],[Prec. Soles]]&gt;2500,"Caro","Economico")</f>
        <v>Economico</v>
      </c>
      <c r="P485" s="4" t="str">
        <f>+IF(AND(BDAlquilerDepartamentos[[#This Row],[N° de Dorm.]]&gt; 3,BDAlquilerDepartamentos[[#This Row],[Prec. Soles]]&lt;= 2500),"Buena Oferta", "Precio Estadar")</f>
        <v>Precio Estadar</v>
      </c>
      <c r="Q485" t="s">
        <v>1101</v>
      </c>
      <c r="R485" t="s">
        <v>1102</v>
      </c>
      <c r="S485" s="11">
        <v>45064</v>
      </c>
      <c r="T485" t="s">
        <v>2966</v>
      </c>
      <c r="U485" t="s">
        <v>1812</v>
      </c>
    </row>
    <row r="486" spans="2:21" x14ac:dyDescent="0.3">
      <c r="B486" t="s">
        <v>1122</v>
      </c>
      <c r="C486" t="s">
        <v>2429</v>
      </c>
      <c r="D486" t="s">
        <v>2553</v>
      </c>
      <c r="E486" t="s">
        <v>2580</v>
      </c>
      <c r="F486" t="s">
        <v>2580</v>
      </c>
      <c r="G486" s="8">
        <v>3256</v>
      </c>
      <c r="H486" s="8">
        <f>+IF(BDAlquilerDepartamentos[[#This Row],[Ciudad]]="Lima",BDAlquilerDepartamentos[[#This Row],[Prec. Soles]]*0.1,BDAlquilerDepartamentos[[#This Row],[Prec. Soles]]*0.05)</f>
        <v>325.60000000000002</v>
      </c>
      <c r="I486" s="4">
        <v>3</v>
      </c>
      <c r="J486" s="4">
        <v>3</v>
      </c>
      <c r="K486" s="4" t="s">
        <v>3095</v>
      </c>
      <c r="L486" s="4" t="s">
        <v>3095</v>
      </c>
      <c r="M486" s="4">
        <v>94</v>
      </c>
      <c r="N486" s="4">
        <v>2010</v>
      </c>
      <c r="O486" s="4" t="str">
        <f>+IF(BDAlquilerDepartamentos[[#This Row],[Prec. Soles]]&gt;2500,"Caro","Economico")</f>
        <v>Caro</v>
      </c>
      <c r="P486" s="4" t="str">
        <f>+IF(AND(BDAlquilerDepartamentos[[#This Row],[N° de Dorm.]]&gt; 3,BDAlquilerDepartamentos[[#This Row],[Prec. Soles]]&lt;= 2500),"Buena Oferta", "Precio Estadar")</f>
        <v>Precio Estadar</v>
      </c>
      <c r="Q486" t="s">
        <v>1101</v>
      </c>
      <c r="R486" t="s">
        <v>1102</v>
      </c>
      <c r="S486" s="11">
        <v>45184</v>
      </c>
      <c r="T486" t="s">
        <v>2862</v>
      </c>
      <c r="U486" t="s">
        <v>1813</v>
      </c>
    </row>
    <row r="487" spans="2:21" x14ac:dyDescent="0.3">
      <c r="B487" t="s">
        <v>1814</v>
      </c>
      <c r="C487" t="s">
        <v>2657</v>
      </c>
      <c r="D487" t="s">
        <v>2527</v>
      </c>
      <c r="E487" t="s">
        <v>2580</v>
      </c>
      <c r="F487" t="s">
        <v>2580</v>
      </c>
      <c r="G487" s="8">
        <v>1500</v>
      </c>
      <c r="H487" s="8">
        <f>+IF(BDAlquilerDepartamentos[[#This Row],[Ciudad]]="Lima",BDAlquilerDepartamentos[[#This Row],[Prec. Soles]]*0.1,BDAlquilerDepartamentos[[#This Row],[Prec. Soles]]*0.05)</f>
        <v>150</v>
      </c>
      <c r="I487" s="4">
        <v>3</v>
      </c>
      <c r="J487" s="4">
        <v>1</v>
      </c>
      <c r="K487" s="4" t="s">
        <v>3095</v>
      </c>
      <c r="L487" s="4" t="s">
        <v>3096</v>
      </c>
      <c r="M487" s="4">
        <v>65</v>
      </c>
      <c r="N487" s="4">
        <v>2003</v>
      </c>
      <c r="O487" s="4" t="str">
        <f>+IF(BDAlquilerDepartamentos[[#This Row],[Prec. Soles]]&gt;2500,"Caro","Economico")</f>
        <v>Economico</v>
      </c>
      <c r="P487" s="4" t="str">
        <f>+IF(AND(BDAlquilerDepartamentos[[#This Row],[N° de Dorm.]]&gt; 3,BDAlquilerDepartamentos[[#This Row],[Prec. Soles]]&lt;= 2500),"Buena Oferta", "Precio Estadar")</f>
        <v>Precio Estadar</v>
      </c>
      <c r="Q487" t="s">
        <v>1101</v>
      </c>
      <c r="R487" t="s">
        <v>1102</v>
      </c>
      <c r="S487" s="11">
        <v>45085</v>
      </c>
      <c r="T487" t="s">
        <v>2821</v>
      </c>
      <c r="U487" t="s">
        <v>1815</v>
      </c>
    </row>
    <row r="488" spans="2:21" x14ac:dyDescent="0.3">
      <c r="B488" t="s">
        <v>1106</v>
      </c>
      <c r="C488" t="s">
        <v>2417</v>
      </c>
      <c r="D488" t="s">
        <v>2436</v>
      </c>
      <c r="E488" t="s">
        <v>2580</v>
      </c>
      <c r="F488" t="s">
        <v>2580</v>
      </c>
      <c r="G488" s="8">
        <v>4403</v>
      </c>
      <c r="H488" s="8">
        <f>+IF(BDAlquilerDepartamentos[[#This Row],[Ciudad]]="Lima",BDAlquilerDepartamentos[[#This Row],[Prec. Soles]]*0.1,BDAlquilerDepartamentos[[#This Row],[Prec. Soles]]*0.05)</f>
        <v>440.3</v>
      </c>
      <c r="I488" s="4">
        <v>2</v>
      </c>
      <c r="J488" s="4">
        <v>3</v>
      </c>
      <c r="K488" s="4" t="s">
        <v>3096</v>
      </c>
      <c r="L488" s="4" t="s">
        <v>3095</v>
      </c>
      <c r="M488" s="4">
        <v>121</v>
      </c>
      <c r="N488" s="4">
        <v>2017</v>
      </c>
      <c r="O488" s="4" t="str">
        <f>+IF(BDAlquilerDepartamentos[[#This Row],[Prec. Soles]]&gt;2500,"Caro","Economico")</f>
        <v>Caro</v>
      </c>
      <c r="P488" s="4" t="str">
        <f>+IF(AND(BDAlquilerDepartamentos[[#This Row],[N° de Dorm.]]&gt; 3,BDAlquilerDepartamentos[[#This Row],[Prec. Soles]]&lt;= 2500),"Buena Oferta", "Precio Estadar")</f>
        <v>Precio Estadar</v>
      </c>
      <c r="Q488" t="s">
        <v>1101</v>
      </c>
      <c r="R488" t="s">
        <v>1102</v>
      </c>
      <c r="S488" s="11">
        <v>45515</v>
      </c>
      <c r="T488" t="s">
        <v>2833</v>
      </c>
      <c r="U488" t="s">
        <v>1816</v>
      </c>
    </row>
    <row r="489" spans="2:21" x14ac:dyDescent="0.3">
      <c r="B489" t="s">
        <v>1817</v>
      </c>
      <c r="C489" t="s">
        <v>2507</v>
      </c>
      <c r="D489" t="s">
        <v>2422</v>
      </c>
      <c r="E489" t="s">
        <v>2580</v>
      </c>
      <c r="F489" t="s">
        <v>2580</v>
      </c>
      <c r="G489" s="8">
        <v>3626</v>
      </c>
      <c r="H489" s="8">
        <f>+IF(BDAlquilerDepartamentos[[#This Row],[Ciudad]]="Lima",BDAlquilerDepartamentos[[#This Row],[Prec. Soles]]*0.1,BDAlquilerDepartamentos[[#This Row],[Prec. Soles]]*0.05)</f>
        <v>362.6</v>
      </c>
      <c r="I489" s="4">
        <v>3</v>
      </c>
      <c r="J489" s="4">
        <v>4</v>
      </c>
      <c r="K489" s="4" t="s">
        <v>3096</v>
      </c>
      <c r="L489" s="4" t="s">
        <v>3095</v>
      </c>
      <c r="M489" s="4">
        <v>126</v>
      </c>
      <c r="N489" s="4">
        <v>2015</v>
      </c>
      <c r="O489" s="4" t="str">
        <f>+IF(BDAlquilerDepartamentos[[#This Row],[Prec. Soles]]&gt;2500,"Caro","Economico")</f>
        <v>Caro</v>
      </c>
      <c r="P489" s="4" t="str">
        <f>+IF(AND(BDAlquilerDepartamentos[[#This Row],[N° de Dorm.]]&gt; 3,BDAlquilerDepartamentos[[#This Row],[Prec. Soles]]&lt;= 2500),"Buena Oferta", "Precio Estadar")</f>
        <v>Precio Estadar</v>
      </c>
      <c r="Q489" t="s">
        <v>1101</v>
      </c>
      <c r="R489" t="s">
        <v>1102</v>
      </c>
      <c r="S489" s="11">
        <v>45337</v>
      </c>
      <c r="T489" t="s">
        <v>2862</v>
      </c>
      <c r="U489" t="s">
        <v>1818</v>
      </c>
    </row>
    <row r="490" spans="2:21" x14ac:dyDescent="0.3">
      <c r="B490" t="s">
        <v>1552</v>
      </c>
      <c r="C490" t="s">
        <v>2590</v>
      </c>
      <c r="D490" t="s">
        <v>2580</v>
      </c>
      <c r="E490" t="s">
        <v>2580</v>
      </c>
      <c r="F490" t="s">
        <v>2580</v>
      </c>
      <c r="G490" s="8">
        <v>10360</v>
      </c>
      <c r="H490" s="8">
        <f>+IF(BDAlquilerDepartamentos[[#This Row],[Ciudad]]="Lima",BDAlquilerDepartamentos[[#This Row],[Prec. Soles]]*0.1,BDAlquilerDepartamentos[[#This Row],[Prec. Soles]]*0.05)</f>
        <v>1036</v>
      </c>
      <c r="I490" s="4">
        <v>4</v>
      </c>
      <c r="J490" s="4">
        <v>5</v>
      </c>
      <c r="K490" s="4" t="s">
        <v>3096</v>
      </c>
      <c r="L490" s="4" t="s">
        <v>3096</v>
      </c>
      <c r="M490" s="4">
        <v>550</v>
      </c>
      <c r="N490" s="4">
        <v>2008</v>
      </c>
      <c r="O490" s="4" t="str">
        <f>+IF(BDAlquilerDepartamentos[[#This Row],[Prec. Soles]]&gt;2500,"Caro","Economico")</f>
        <v>Caro</v>
      </c>
      <c r="P490" s="4" t="str">
        <f>+IF(AND(BDAlquilerDepartamentos[[#This Row],[N° de Dorm.]]&gt; 3,BDAlquilerDepartamentos[[#This Row],[Prec. Soles]]&lt;= 2500),"Buena Oferta", "Precio Estadar")</f>
        <v>Precio Estadar</v>
      </c>
      <c r="Q490" t="s">
        <v>1113</v>
      </c>
      <c r="R490" t="s">
        <v>1102</v>
      </c>
      <c r="S490" s="11">
        <v>45390</v>
      </c>
      <c r="T490" t="s">
        <v>2818</v>
      </c>
      <c r="U490" t="s">
        <v>1819</v>
      </c>
    </row>
    <row r="491" spans="2:21" x14ac:dyDescent="0.3">
      <c r="B491" t="s">
        <v>1547</v>
      </c>
      <c r="C491" t="s">
        <v>2589</v>
      </c>
      <c r="D491" t="s">
        <v>2435</v>
      </c>
      <c r="E491" t="s">
        <v>2580</v>
      </c>
      <c r="F491" t="s">
        <v>2580</v>
      </c>
      <c r="G491" s="8">
        <v>2590</v>
      </c>
      <c r="H491" s="8">
        <f>+IF(BDAlquilerDepartamentos[[#This Row],[Ciudad]]="Lima",BDAlquilerDepartamentos[[#This Row],[Prec. Soles]]*0.1,BDAlquilerDepartamentos[[#This Row],[Prec. Soles]]*0.05)</f>
        <v>259</v>
      </c>
      <c r="I491" s="4">
        <v>3</v>
      </c>
      <c r="J491" s="4">
        <v>2</v>
      </c>
      <c r="K491" s="4" t="s">
        <v>3096</v>
      </c>
      <c r="L491" s="4" t="s">
        <v>3096</v>
      </c>
      <c r="M491" s="4">
        <v>71</v>
      </c>
      <c r="N491" s="4">
        <v>2008</v>
      </c>
      <c r="O491" s="4" t="str">
        <f>+IF(BDAlquilerDepartamentos[[#This Row],[Prec. Soles]]&gt;2500,"Caro","Economico")</f>
        <v>Caro</v>
      </c>
      <c r="P491" s="4" t="str">
        <f>+IF(AND(BDAlquilerDepartamentos[[#This Row],[N° de Dorm.]]&gt; 3,BDAlquilerDepartamentos[[#This Row],[Prec. Soles]]&lt;= 2500),"Buena Oferta", "Precio Estadar")</f>
        <v>Precio Estadar</v>
      </c>
      <c r="Q491" t="s">
        <v>1101</v>
      </c>
      <c r="R491" t="s">
        <v>1102</v>
      </c>
      <c r="S491" s="11">
        <v>44960</v>
      </c>
      <c r="T491" t="s">
        <v>2821</v>
      </c>
      <c r="U491" t="s">
        <v>1820</v>
      </c>
    </row>
    <row r="492" spans="2:21" x14ac:dyDescent="0.3">
      <c r="B492" t="s">
        <v>1447</v>
      </c>
      <c r="C492" t="s">
        <v>2561</v>
      </c>
      <c r="D492" t="s">
        <v>2428</v>
      </c>
      <c r="E492" t="s">
        <v>2580</v>
      </c>
      <c r="F492" t="s">
        <v>2580</v>
      </c>
      <c r="G492" s="8">
        <v>6105</v>
      </c>
      <c r="H492" s="8">
        <f>+IF(BDAlquilerDepartamentos[[#This Row],[Ciudad]]="Lima",BDAlquilerDepartamentos[[#This Row],[Prec. Soles]]*0.1,BDAlquilerDepartamentos[[#This Row],[Prec. Soles]]*0.05)</f>
        <v>610.5</v>
      </c>
      <c r="I492" s="4">
        <v>2</v>
      </c>
      <c r="J492" s="4">
        <v>2</v>
      </c>
      <c r="K492" s="4" t="s">
        <v>3095</v>
      </c>
      <c r="L492" s="4" t="s">
        <v>3095</v>
      </c>
      <c r="M492" s="4">
        <v>135</v>
      </c>
      <c r="N492" s="4">
        <v>2012</v>
      </c>
      <c r="O492" s="4" t="str">
        <f>+IF(BDAlquilerDepartamentos[[#This Row],[Prec. Soles]]&gt;2500,"Caro","Economico")</f>
        <v>Caro</v>
      </c>
      <c r="P492" s="4" t="str">
        <f>+IF(AND(BDAlquilerDepartamentos[[#This Row],[N° de Dorm.]]&gt; 3,BDAlquilerDepartamentos[[#This Row],[Prec. Soles]]&lt;= 2500),"Buena Oferta", "Precio Estadar")</f>
        <v>Precio Estadar</v>
      </c>
      <c r="Q492" t="s">
        <v>1101</v>
      </c>
      <c r="R492" t="s">
        <v>1102</v>
      </c>
      <c r="S492" s="11">
        <v>45544</v>
      </c>
      <c r="T492" t="s">
        <v>2882</v>
      </c>
      <c r="U492" t="s">
        <v>1821</v>
      </c>
    </row>
    <row r="493" spans="2:21" x14ac:dyDescent="0.3">
      <c r="B493" t="s">
        <v>1423</v>
      </c>
      <c r="C493" t="s">
        <v>2552</v>
      </c>
      <c r="D493" t="s">
        <v>3121</v>
      </c>
      <c r="E493" t="s">
        <v>2580</v>
      </c>
      <c r="F493" t="s">
        <v>2580</v>
      </c>
      <c r="G493" s="8">
        <v>3515</v>
      </c>
      <c r="H493" s="8">
        <f>+IF(BDAlquilerDepartamentos[[#This Row],[Ciudad]]="Lima",BDAlquilerDepartamentos[[#This Row],[Prec. Soles]]*0.1,BDAlquilerDepartamentos[[#This Row],[Prec. Soles]]*0.05)</f>
        <v>351.5</v>
      </c>
      <c r="I493" s="4">
        <v>3</v>
      </c>
      <c r="J493" s="4">
        <v>2</v>
      </c>
      <c r="K493" s="4" t="s">
        <v>3096</v>
      </c>
      <c r="L493" s="4" t="s">
        <v>3096</v>
      </c>
      <c r="M493" s="4">
        <v>116</v>
      </c>
      <c r="N493" s="4">
        <v>2003</v>
      </c>
      <c r="O493" s="4" t="str">
        <f>+IF(BDAlquilerDepartamentos[[#This Row],[Prec. Soles]]&gt;2500,"Caro","Economico")</f>
        <v>Caro</v>
      </c>
      <c r="P493" s="4" t="str">
        <f>+IF(AND(BDAlquilerDepartamentos[[#This Row],[N° de Dorm.]]&gt; 3,BDAlquilerDepartamentos[[#This Row],[Prec. Soles]]&lt;= 2500),"Buena Oferta", "Precio Estadar")</f>
        <v>Precio Estadar</v>
      </c>
      <c r="Q493" t="s">
        <v>1101</v>
      </c>
      <c r="R493" t="s">
        <v>1102</v>
      </c>
      <c r="S493" s="11">
        <v>45493</v>
      </c>
      <c r="T493" t="s">
        <v>2863</v>
      </c>
      <c r="U493" t="s">
        <v>1822</v>
      </c>
    </row>
    <row r="494" spans="2:21" x14ac:dyDescent="0.3">
      <c r="B494" t="s">
        <v>1100</v>
      </c>
      <c r="C494" t="s">
        <v>2415</v>
      </c>
      <c r="D494" t="s">
        <v>2436</v>
      </c>
      <c r="E494" t="s">
        <v>2580</v>
      </c>
      <c r="F494" t="s">
        <v>2580</v>
      </c>
      <c r="G494" s="8">
        <v>9246.3000000000011</v>
      </c>
      <c r="H494" s="8">
        <f>+IF(BDAlquilerDepartamentos[[#This Row],[Ciudad]]="Lima",BDAlquilerDepartamentos[[#This Row],[Prec. Soles]]*0.1,BDAlquilerDepartamentos[[#This Row],[Prec. Soles]]*0.05)</f>
        <v>924.63000000000011</v>
      </c>
      <c r="I494" s="4">
        <v>2</v>
      </c>
      <c r="J494" s="4">
        <v>2</v>
      </c>
      <c r="K494" s="4" t="s">
        <v>3095</v>
      </c>
      <c r="L494" s="4" t="s">
        <v>3095</v>
      </c>
      <c r="M494" s="4">
        <v>200</v>
      </c>
      <c r="N494" s="4">
        <v>2006</v>
      </c>
      <c r="O494" s="4" t="str">
        <f>+IF(BDAlquilerDepartamentos[[#This Row],[Prec. Soles]]&gt;2500,"Caro","Economico")</f>
        <v>Caro</v>
      </c>
      <c r="P494" s="4" t="str">
        <f>+IF(AND(BDAlquilerDepartamentos[[#This Row],[N° de Dorm.]]&gt; 3,BDAlquilerDepartamentos[[#This Row],[Prec. Soles]]&lt;= 2500),"Buena Oferta", "Precio Estadar")</f>
        <v>Precio Estadar</v>
      </c>
      <c r="Q494" t="s">
        <v>1101</v>
      </c>
      <c r="R494" t="s">
        <v>1102</v>
      </c>
      <c r="S494" s="11">
        <v>45076</v>
      </c>
      <c r="T494" t="s">
        <v>2861</v>
      </c>
      <c r="U494" t="s">
        <v>1823</v>
      </c>
    </row>
    <row r="495" spans="2:21" x14ac:dyDescent="0.3">
      <c r="B495" t="s">
        <v>1824</v>
      </c>
      <c r="C495" t="s">
        <v>2658</v>
      </c>
      <c r="D495" t="s">
        <v>2428</v>
      </c>
      <c r="E495" t="s">
        <v>2580</v>
      </c>
      <c r="F495" t="s">
        <v>2580</v>
      </c>
      <c r="G495" s="8">
        <v>12950</v>
      </c>
      <c r="H495" s="8">
        <f>+IF(BDAlquilerDepartamentos[[#This Row],[Ciudad]]="Lima",BDAlquilerDepartamentos[[#This Row],[Prec. Soles]]*0.1,BDAlquilerDepartamentos[[#This Row],[Prec. Soles]]*0.05)</f>
        <v>1295</v>
      </c>
      <c r="I495" s="4">
        <v>3</v>
      </c>
      <c r="J495" s="4">
        <v>3</v>
      </c>
      <c r="K495" s="4" t="s">
        <v>3096</v>
      </c>
      <c r="L495" s="4" t="s">
        <v>3095</v>
      </c>
      <c r="M495" s="4">
        <v>320</v>
      </c>
      <c r="N495" s="4">
        <v>2003</v>
      </c>
      <c r="O495" s="4" t="str">
        <f>+IF(BDAlquilerDepartamentos[[#This Row],[Prec. Soles]]&gt;2500,"Caro","Economico")</f>
        <v>Caro</v>
      </c>
      <c r="P495" s="4" t="str">
        <f>+IF(AND(BDAlquilerDepartamentos[[#This Row],[N° de Dorm.]]&gt; 3,BDAlquilerDepartamentos[[#This Row],[Prec. Soles]]&lt;= 2500),"Buena Oferta", "Precio Estadar")</f>
        <v>Precio Estadar</v>
      </c>
      <c r="Q495" t="s">
        <v>1101</v>
      </c>
      <c r="R495" t="s">
        <v>1102</v>
      </c>
      <c r="S495" s="11">
        <v>44995</v>
      </c>
      <c r="T495" t="s">
        <v>2996</v>
      </c>
      <c r="U495" t="s">
        <v>1825</v>
      </c>
    </row>
    <row r="496" spans="2:21" x14ac:dyDescent="0.3">
      <c r="B496" t="s">
        <v>1826</v>
      </c>
      <c r="C496" t="s">
        <v>2557</v>
      </c>
      <c r="D496" t="s">
        <v>2660</v>
      </c>
      <c r="E496" t="s">
        <v>2580</v>
      </c>
      <c r="F496" t="s">
        <v>2580</v>
      </c>
      <c r="G496" s="8">
        <v>29600</v>
      </c>
      <c r="H496" s="8">
        <f>+IF(BDAlquilerDepartamentos[[#This Row],[Ciudad]]="Lima",BDAlquilerDepartamentos[[#This Row],[Prec. Soles]]*0.1,BDAlquilerDepartamentos[[#This Row],[Prec. Soles]]*0.05)</f>
        <v>2960</v>
      </c>
      <c r="I496" s="4">
        <v>15</v>
      </c>
      <c r="J496" s="4">
        <v>10</v>
      </c>
      <c r="K496" s="4" t="s">
        <v>3096</v>
      </c>
      <c r="L496" s="4" t="s">
        <v>3096</v>
      </c>
      <c r="M496" s="4">
        <v>762</v>
      </c>
      <c r="N496" s="4">
        <v>2010</v>
      </c>
      <c r="O496" s="4" t="str">
        <f>+IF(BDAlquilerDepartamentos[[#This Row],[Prec. Soles]]&gt;2500,"Caro","Economico")</f>
        <v>Caro</v>
      </c>
      <c r="P496" s="4" t="str">
        <f>+IF(AND(BDAlquilerDepartamentos[[#This Row],[N° de Dorm.]]&gt; 3,BDAlquilerDepartamentos[[#This Row],[Prec. Soles]]&lt;= 2500),"Buena Oferta", "Precio Estadar")</f>
        <v>Precio Estadar</v>
      </c>
      <c r="Q496" t="s">
        <v>1164</v>
      </c>
      <c r="R496" t="s">
        <v>1102</v>
      </c>
      <c r="S496" s="11">
        <v>45257</v>
      </c>
      <c r="T496" t="s">
        <v>2997</v>
      </c>
      <c r="U496" t="s">
        <v>1827</v>
      </c>
    </row>
    <row r="497" spans="2:21" x14ac:dyDescent="0.3">
      <c r="B497" t="s">
        <v>1828</v>
      </c>
      <c r="C497" t="s">
        <v>2661</v>
      </c>
      <c r="D497" t="s">
        <v>2580</v>
      </c>
      <c r="E497" t="s">
        <v>2580</v>
      </c>
      <c r="F497" t="s">
        <v>2580</v>
      </c>
      <c r="G497" s="8">
        <v>5180</v>
      </c>
      <c r="H497" s="8">
        <f>+IF(BDAlquilerDepartamentos[[#This Row],[Ciudad]]="Lima",BDAlquilerDepartamentos[[#This Row],[Prec. Soles]]*0.1,BDAlquilerDepartamentos[[#This Row],[Prec. Soles]]*0.05)</f>
        <v>518</v>
      </c>
      <c r="I497" s="4">
        <v>3</v>
      </c>
      <c r="J497" s="4">
        <v>4</v>
      </c>
      <c r="K497" s="4" t="s">
        <v>3095</v>
      </c>
      <c r="L497" s="4" t="s">
        <v>3096</v>
      </c>
      <c r="M497" s="4">
        <v>185</v>
      </c>
      <c r="N497" s="4">
        <v>2012</v>
      </c>
      <c r="O497" s="4" t="str">
        <f>+IF(BDAlquilerDepartamentos[[#This Row],[Prec. Soles]]&gt;2500,"Caro","Economico")</f>
        <v>Caro</v>
      </c>
      <c r="P497" s="4" t="str">
        <f>+IF(AND(BDAlquilerDepartamentos[[#This Row],[N° de Dorm.]]&gt; 3,BDAlquilerDepartamentos[[#This Row],[Prec. Soles]]&lt;= 2500),"Buena Oferta", "Precio Estadar")</f>
        <v>Precio Estadar</v>
      </c>
      <c r="Q497" t="s">
        <v>1101</v>
      </c>
      <c r="R497" t="s">
        <v>1102</v>
      </c>
      <c r="S497" s="11">
        <v>45577</v>
      </c>
      <c r="T497" t="s">
        <v>2872</v>
      </c>
      <c r="U497" t="s">
        <v>1829</v>
      </c>
    </row>
    <row r="498" spans="2:21" x14ac:dyDescent="0.3">
      <c r="B498" t="s">
        <v>1830</v>
      </c>
      <c r="C498" t="s">
        <v>2662</v>
      </c>
      <c r="D498" t="s">
        <v>2506</v>
      </c>
      <c r="E498" t="s">
        <v>2580</v>
      </c>
      <c r="F498" t="s">
        <v>2580</v>
      </c>
      <c r="G498" s="8">
        <v>1500</v>
      </c>
      <c r="H498" s="8">
        <f>+IF(BDAlquilerDepartamentos[[#This Row],[Ciudad]]="Lima",BDAlquilerDepartamentos[[#This Row],[Prec. Soles]]*0.1,BDAlquilerDepartamentos[[#This Row],[Prec. Soles]]*0.05)</f>
        <v>150</v>
      </c>
      <c r="I498" s="4">
        <v>1</v>
      </c>
      <c r="J498" s="4">
        <v>1</v>
      </c>
      <c r="K498" s="4" t="s">
        <v>3096</v>
      </c>
      <c r="L498" s="4" t="s">
        <v>3096</v>
      </c>
      <c r="M498" s="4">
        <v>47</v>
      </c>
      <c r="N498" s="4">
        <v>2017</v>
      </c>
      <c r="O498" s="4" t="str">
        <f>+IF(BDAlquilerDepartamentos[[#This Row],[Prec. Soles]]&gt;2500,"Caro","Economico")</f>
        <v>Economico</v>
      </c>
      <c r="P498" s="4" t="str">
        <f>+IF(AND(BDAlquilerDepartamentos[[#This Row],[N° de Dorm.]]&gt; 3,BDAlquilerDepartamentos[[#This Row],[Prec. Soles]]&lt;= 2500),"Buena Oferta", "Precio Estadar")</f>
        <v>Precio Estadar</v>
      </c>
      <c r="Q498" t="s">
        <v>1101</v>
      </c>
      <c r="R498" t="s">
        <v>1102</v>
      </c>
      <c r="S498" s="11">
        <v>45379</v>
      </c>
      <c r="T498" t="s">
        <v>3091</v>
      </c>
      <c r="U498" t="s">
        <v>1831</v>
      </c>
    </row>
    <row r="499" spans="2:21" x14ac:dyDescent="0.3">
      <c r="B499" t="s">
        <v>1832</v>
      </c>
      <c r="C499" t="s">
        <v>2663</v>
      </c>
      <c r="D499" t="s">
        <v>2444</v>
      </c>
      <c r="E499" t="s">
        <v>2580</v>
      </c>
      <c r="F499" t="s">
        <v>2580</v>
      </c>
      <c r="G499" s="8">
        <v>6660</v>
      </c>
      <c r="H499" s="8">
        <f>+IF(BDAlquilerDepartamentos[[#This Row],[Ciudad]]="Lima",BDAlquilerDepartamentos[[#This Row],[Prec. Soles]]*0.1,BDAlquilerDepartamentos[[#This Row],[Prec. Soles]]*0.05)</f>
        <v>666</v>
      </c>
      <c r="I499" s="4">
        <v>3</v>
      </c>
      <c r="J499" s="4">
        <v>4</v>
      </c>
      <c r="K499" s="4" t="s">
        <v>3096</v>
      </c>
      <c r="L499" s="4" t="s">
        <v>3096</v>
      </c>
      <c r="M499" s="4">
        <v>300</v>
      </c>
      <c r="N499" s="4">
        <v>2010</v>
      </c>
      <c r="O499" s="4" t="str">
        <f>+IF(BDAlquilerDepartamentos[[#This Row],[Prec. Soles]]&gt;2500,"Caro","Economico")</f>
        <v>Caro</v>
      </c>
      <c r="P499" s="4" t="str">
        <f>+IF(AND(BDAlquilerDepartamentos[[#This Row],[N° de Dorm.]]&gt; 3,BDAlquilerDepartamentos[[#This Row],[Prec. Soles]]&lt;= 2500),"Buena Oferta", "Precio Estadar")</f>
        <v>Precio Estadar</v>
      </c>
      <c r="Q499" t="s">
        <v>1113</v>
      </c>
      <c r="R499" t="s">
        <v>1102</v>
      </c>
      <c r="S499" s="11">
        <v>44989</v>
      </c>
      <c r="T499" t="s">
        <v>2819</v>
      </c>
      <c r="U499" t="s">
        <v>1833</v>
      </c>
    </row>
    <row r="500" spans="2:21" x14ac:dyDescent="0.3">
      <c r="B500" t="s">
        <v>1834</v>
      </c>
      <c r="C500" t="s">
        <v>2611</v>
      </c>
      <c r="D500" t="s">
        <v>2428</v>
      </c>
      <c r="E500" t="s">
        <v>2580</v>
      </c>
      <c r="F500" t="s">
        <v>2580</v>
      </c>
      <c r="G500" s="8">
        <v>4440</v>
      </c>
      <c r="H500" s="8">
        <f>+IF(BDAlquilerDepartamentos[[#This Row],[Ciudad]]="Lima",BDAlquilerDepartamentos[[#This Row],[Prec. Soles]]*0.1,BDAlquilerDepartamentos[[#This Row],[Prec. Soles]]*0.05)</f>
        <v>444</v>
      </c>
      <c r="I500" s="4">
        <v>4</v>
      </c>
      <c r="J500" s="4">
        <v>4</v>
      </c>
      <c r="K500" s="4" t="s">
        <v>3095</v>
      </c>
      <c r="L500" s="4" t="s">
        <v>3095</v>
      </c>
      <c r="M500" s="4">
        <v>148</v>
      </c>
      <c r="N500" s="4">
        <v>2013</v>
      </c>
      <c r="O500" s="4" t="str">
        <f>+IF(BDAlquilerDepartamentos[[#This Row],[Prec. Soles]]&gt;2500,"Caro","Economico")</f>
        <v>Caro</v>
      </c>
      <c r="P500" s="4" t="str">
        <f>+IF(AND(BDAlquilerDepartamentos[[#This Row],[N° de Dorm.]]&gt; 3,BDAlquilerDepartamentos[[#This Row],[Prec. Soles]]&lt;= 2500),"Buena Oferta", "Precio Estadar")</f>
        <v>Precio Estadar</v>
      </c>
      <c r="Q500" t="s">
        <v>1101</v>
      </c>
      <c r="R500" t="s">
        <v>1102</v>
      </c>
      <c r="S500" s="11">
        <v>45617</v>
      </c>
      <c r="T500" t="s">
        <v>2833</v>
      </c>
      <c r="U500" t="s">
        <v>1835</v>
      </c>
    </row>
    <row r="501" spans="2:21" x14ac:dyDescent="0.3">
      <c r="B501" t="s">
        <v>1836</v>
      </c>
      <c r="C501" t="s">
        <v>2664</v>
      </c>
      <c r="D501" t="s">
        <v>2428</v>
      </c>
      <c r="E501" t="s">
        <v>2580</v>
      </c>
      <c r="F501" t="s">
        <v>2580</v>
      </c>
      <c r="G501" s="8">
        <v>2960</v>
      </c>
      <c r="H501" s="8">
        <f>+IF(BDAlquilerDepartamentos[[#This Row],[Ciudad]]="Lima",BDAlquilerDepartamentos[[#This Row],[Prec. Soles]]*0.1,BDAlquilerDepartamentos[[#This Row],[Prec. Soles]]*0.05)</f>
        <v>296</v>
      </c>
      <c r="I501" s="4">
        <v>3</v>
      </c>
      <c r="J501" s="4">
        <v>2</v>
      </c>
      <c r="K501" s="4" t="s">
        <v>3096</v>
      </c>
      <c r="L501" s="4" t="s">
        <v>3095</v>
      </c>
      <c r="M501" s="4">
        <v>180</v>
      </c>
      <c r="N501" s="4">
        <v>2005</v>
      </c>
      <c r="O501" s="4" t="str">
        <f>+IF(BDAlquilerDepartamentos[[#This Row],[Prec. Soles]]&gt;2500,"Caro","Economico")</f>
        <v>Caro</v>
      </c>
      <c r="P501" s="4" t="str">
        <f>+IF(AND(BDAlquilerDepartamentos[[#This Row],[N° de Dorm.]]&gt; 3,BDAlquilerDepartamentos[[#This Row],[Prec. Soles]]&lt;= 2500),"Buena Oferta", "Precio Estadar")</f>
        <v>Precio Estadar</v>
      </c>
      <c r="Q501" t="s">
        <v>1101</v>
      </c>
      <c r="R501" t="s">
        <v>1102</v>
      </c>
      <c r="S501" s="11">
        <v>45521</v>
      </c>
      <c r="T501" t="s">
        <v>2905</v>
      </c>
      <c r="U501" t="s">
        <v>1837</v>
      </c>
    </row>
    <row r="502" spans="2:21" x14ac:dyDescent="0.3">
      <c r="B502" t="s">
        <v>1381</v>
      </c>
      <c r="C502" t="s">
        <v>2537</v>
      </c>
      <c r="D502" t="s">
        <v>2428</v>
      </c>
      <c r="E502" t="s">
        <v>2580</v>
      </c>
      <c r="F502" t="s">
        <v>2580</v>
      </c>
      <c r="G502" s="8">
        <v>2220</v>
      </c>
      <c r="H502" s="8">
        <f>+IF(BDAlquilerDepartamentos[[#This Row],[Ciudad]]="Lima",BDAlquilerDepartamentos[[#This Row],[Prec. Soles]]*0.1,BDAlquilerDepartamentos[[#This Row],[Prec. Soles]]*0.05)</f>
        <v>222</v>
      </c>
      <c r="I502" s="4">
        <v>1</v>
      </c>
      <c r="J502" s="4">
        <v>1</v>
      </c>
      <c r="K502" s="4" t="s">
        <v>3095</v>
      </c>
      <c r="L502" s="4" t="s">
        <v>3096</v>
      </c>
      <c r="M502" s="4">
        <v>50</v>
      </c>
      <c r="N502" s="4">
        <v>2003</v>
      </c>
      <c r="O502" s="4" t="str">
        <f>+IF(BDAlquilerDepartamentos[[#This Row],[Prec. Soles]]&gt;2500,"Caro","Economico")</f>
        <v>Economico</v>
      </c>
      <c r="P502" s="4" t="str">
        <f>+IF(AND(BDAlquilerDepartamentos[[#This Row],[N° de Dorm.]]&gt; 3,BDAlquilerDepartamentos[[#This Row],[Prec. Soles]]&lt;= 2500),"Buena Oferta", "Precio Estadar")</f>
        <v>Precio Estadar</v>
      </c>
      <c r="Q502" t="s">
        <v>1101</v>
      </c>
      <c r="R502" t="s">
        <v>1102</v>
      </c>
      <c r="S502" s="11">
        <v>45286</v>
      </c>
      <c r="T502" t="s">
        <v>3086</v>
      </c>
      <c r="U502" t="s">
        <v>1838</v>
      </c>
    </row>
    <row r="503" spans="2:21" x14ac:dyDescent="0.3">
      <c r="B503" t="s">
        <v>1839</v>
      </c>
      <c r="C503" t="s">
        <v>2665</v>
      </c>
      <c r="D503" t="s">
        <v>3121</v>
      </c>
      <c r="E503" t="s">
        <v>2580</v>
      </c>
      <c r="F503" t="s">
        <v>2580</v>
      </c>
      <c r="G503" s="8">
        <v>3515</v>
      </c>
      <c r="H503" s="8">
        <f>+IF(BDAlquilerDepartamentos[[#This Row],[Ciudad]]="Lima",BDAlquilerDepartamentos[[#This Row],[Prec. Soles]]*0.1,BDAlquilerDepartamentos[[#This Row],[Prec. Soles]]*0.05)</f>
        <v>351.5</v>
      </c>
      <c r="I503" s="4">
        <v>2</v>
      </c>
      <c r="J503" s="4">
        <v>2</v>
      </c>
      <c r="K503" s="4" t="s">
        <v>3095</v>
      </c>
      <c r="L503" s="4" t="s">
        <v>3095</v>
      </c>
      <c r="M503" s="4">
        <v>84</v>
      </c>
      <c r="N503" s="4">
        <v>2017</v>
      </c>
      <c r="O503" s="4" t="str">
        <f>+IF(BDAlquilerDepartamentos[[#This Row],[Prec. Soles]]&gt;2500,"Caro","Economico")</f>
        <v>Caro</v>
      </c>
      <c r="P503" s="4" t="str">
        <f>+IF(AND(BDAlquilerDepartamentos[[#This Row],[N° de Dorm.]]&gt; 3,BDAlquilerDepartamentos[[#This Row],[Prec. Soles]]&lt;= 2500),"Buena Oferta", "Precio Estadar")</f>
        <v>Precio Estadar</v>
      </c>
      <c r="Q503" t="s">
        <v>1101</v>
      </c>
      <c r="R503" t="s">
        <v>1102</v>
      </c>
      <c r="S503" s="11">
        <v>45274</v>
      </c>
      <c r="T503" t="s">
        <v>3157</v>
      </c>
      <c r="U503" t="s">
        <v>1840</v>
      </c>
    </row>
    <row r="504" spans="2:21" x14ac:dyDescent="0.3">
      <c r="B504" t="s">
        <v>1169</v>
      </c>
      <c r="C504" t="s">
        <v>2455</v>
      </c>
      <c r="D504" t="s">
        <v>2436</v>
      </c>
      <c r="E504" t="s">
        <v>2580</v>
      </c>
      <c r="F504" t="s">
        <v>2580</v>
      </c>
      <c r="G504" s="8">
        <v>3330</v>
      </c>
      <c r="H504" s="8">
        <f>+IF(BDAlquilerDepartamentos[[#This Row],[Ciudad]]="Lima",BDAlquilerDepartamentos[[#This Row],[Prec. Soles]]*0.1,BDAlquilerDepartamentos[[#This Row],[Prec. Soles]]*0.05)</f>
        <v>333</v>
      </c>
      <c r="I504" s="4">
        <v>3</v>
      </c>
      <c r="J504" s="4">
        <v>2</v>
      </c>
      <c r="K504" s="4" t="s">
        <v>3096</v>
      </c>
      <c r="L504" s="4" t="s">
        <v>3095</v>
      </c>
      <c r="M504" s="4">
        <v>97</v>
      </c>
      <c r="N504" s="4">
        <v>2008</v>
      </c>
      <c r="O504" s="4" t="str">
        <f>+IF(BDAlquilerDepartamentos[[#This Row],[Prec. Soles]]&gt;2500,"Caro","Economico")</f>
        <v>Caro</v>
      </c>
      <c r="P504" s="4" t="str">
        <f>+IF(AND(BDAlquilerDepartamentos[[#This Row],[N° de Dorm.]]&gt; 3,BDAlquilerDepartamentos[[#This Row],[Prec. Soles]]&lt;= 2500),"Buena Oferta", "Precio Estadar")</f>
        <v>Precio Estadar</v>
      </c>
      <c r="Q504" t="s">
        <v>1101</v>
      </c>
      <c r="R504" t="s">
        <v>1102</v>
      </c>
      <c r="S504" s="11">
        <v>45201</v>
      </c>
      <c r="T504" t="s">
        <v>2833</v>
      </c>
      <c r="U504" t="s">
        <v>1841</v>
      </c>
    </row>
    <row r="505" spans="2:21" x14ac:dyDescent="0.3">
      <c r="B505" t="s">
        <v>1133</v>
      </c>
      <c r="C505" t="s">
        <v>2437</v>
      </c>
      <c r="D505" t="s">
        <v>2436</v>
      </c>
      <c r="E505" t="s">
        <v>2580</v>
      </c>
      <c r="F505" t="s">
        <v>2580</v>
      </c>
      <c r="G505" s="8">
        <v>3515</v>
      </c>
      <c r="H505" s="8">
        <f>+IF(BDAlquilerDepartamentos[[#This Row],[Ciudad]]="Lima",BDAlquilerDepartamentos[[#This Row],[Prec. Soles]]*0.1,BDAlquilerDepartamentos[[#This Row],[Prec. Soles]]*0.05)</f>
        <v>351.5</v>
      </c>
      <c r="I505" s="4">
        <v>2</v>
      </c>
      <c r="J505" s="4">
        <v>3</v>
      </c>
      <c r="K505" s="4" t="s">
        <v>3096</v>
      </c>
      <c r="L505" s="4" t="s">
        <v>3095</v>
      </c>
      <c r="M505" s="4">
        <v>165</v>
      </c>
      <c r="N505" s="4">
        <v>2014</v>
      </c>
      <c r="O505" s="4" t="str">
        <f>+IF(BDAlquilerDepartamentos[[#This Row],[Prec. Soles]]&gt;2500,"Caro","Economico")</f>
        <v>Caro</v>
      </c>
      <c r="P505" s="4" t="str">
        <f>+IF(AND(BDAlquilerDepartamentos[[#This Row],[N° de Dorm.]]&gt; 3,BDAlquilerDepartamentos[[#This Row],[Prec. Soles]]&lt;= 2500),"Buena Oferta", "Precio Estadar")</f>
        <v>Precio Estadar</v>
      </c>
      <c r="Q505" t="s">
        <v>1101</v>
      </c>
      <c r="R505" t="s">
        <v>1102</v>
      </c>
      <c r="S505" s="11">
        <v>45112</v>
      </c>
      <c r="T505" t="s">
        <v>2998</v>
      </c>
      <c r="U505" t="s">
        <v>1842</v>
      </c>
    </row>
    <row r="506" spans="2:21" x14ac:dyDescent="0.3">
      <c r="B506" t="s">
        <v>1843</v>
      </c>
      <c r="C506" t="s">
        <v>2666</v>
      </c>
      <c r="D506" t="s">
        <v>2580</v>
      </c>
      <c r="E506" t="s">
        <v>2580</v>
      </c>
      <c r="F506" t="s">
        <v>2580</v>
      </c>
      <c r="G506" s="8">
        <v>14800</v>
      </c>
      <c r="H506" s="8">
        <f>+IF(BDAlquilerDepartamentos[[#This Row],[Ciudad]]="Lima",BDAlquilerDepartamentos[[#This Row],[Prec. Soles]]*0.1,BDAlquilerDepartamentos[[#This Row],[Prec. Soles]]*0.05)</f>
        <v>1480</v>
      </c>
      <c r="I506" s="4">
        <v>3</v>
      </c>
      <c r="J506" s="4">
        <v>3</v>
      </c>
      <c r="K506" s="4" t="s">
        <v>3096</v>
      </c>
      <c r="L506" s="4" t="s">
        <v>3096</v>
      </c>
      <c r="M506" s="4">
        <v>224</v>
      </c>
      <c r="N506" s="4">
        <v>2013</v>
      </c>
      <c r="O506" s="4" t="str">
        <f>+IF(BDAlquilerDepartamentos[[#This Row],[Prec. Soles]]&gt;2500,"Caro","Economico")</f>
        <v>Caro</v>
      </c>
      <c r="P506" s="4" t="str">
        <f>+IF(AND(BDAlquilerDepartamentos[[#This Row],[N° de Dorm.]]&gt; 3,BDAlquilerDepartamentos[[#This Row],[Prec. Soles]]&lt;= 2500),"Buena Oferta", "Precio Estadar")</f>
        <v>Precio Estadar</v>
      </c>
      <c r="Q506" t="s">
        <v>1101</v>
      </c>
      <c r="R506" t="s">
        <v>1102</v>
      </c>
      <c r="S506" s="11">
        <v>45068</v>
      </c>
      <c r="T506" t="s">
        <v>2978</v>
      </c>
      <c r="U506" t="s">
        <v>1844</v>
      </c>
    </row>
    <row r="507" spans="2:21" x14ac:dyDescent="0.3">
      <c r="B507" t="s">
        <v>1845</v>
      </c>
      <c r="C507" t="s">
        <v>2667</v>
      </c>
      <c r="D507" t="s">
        <v>2689</v>
      </c>
      <c r="E507" t="s">
        <v>2689</v>
      </c>
      <c r="F507" t="s">
        <v>2689</v>
      </c>
      <c r="G507" s="8">
        <v>6000</v>
      </c>
      <c r="H507" s="8">
        <f>+IF(BDAlquilerDepartamentos[[#This Row],[Ciudad]]="Lima",BDAlquilerDepartamentos[[#This Row],[Prec. Soles]]*0.1,BDAlquilerDepartamentos[[#This Row],[Prec. Soles]]*0.05)</f>
        <v>300</v>
      </c>
      <c r="I507" s="4">
        <v>8</v>
      </c>
      <c r="J507" s="4">
        <v>6</v>
      </c>
      <c r="K507" s="4" t="s">
        <v>3096</v>
      </c>
      <c r="L507" s="4" t="s">
        <v>3096</v>
      </c>
      <c r="M507" s="4">
        <v>266</v>
      </c>
      <c r="N507" s="4">
        <v>2004</v>
      </c>
      <c r="O507" s="4" t="str">
        <f>+IF(BDAlquilerDepartamentos[[#This Row],[Prec. Soles]]&gt;2500,"Caro","Economico")</f>
        <v>Caro</v>
      </c>
      <c r="P507" s="4" t="str">
        <f>+IF(AND(BDAlquilerDepartamentos[[#This Row],[N° de Dorm.]]&gt; 3,BDAlquilerDepartamentos[[#This Row],[Prec. Soles]]&lt;= 2500),"Buena Oferta", "Precio Estadar")</f>
        <v>Precio Estadar</v>
      </c>
      <c r="Q507" t="s">
        <v>1113</v>
      </c>
      <c r="R507" t="s">
        <v>1102</v>
      </c>
      <c r="S507" s="11">
        <v>45436</v>
      </c>
      <c r="T507" t="s">
        <v>3130</v>
      </c>
      <c r="U507" t="s">
        <v>1846</v>
      </c>
    </row>
    <row r="508" spans="2:21" x14ac:dyDescent="0.3">
      <c r="B508" t="s">
        <v>1100</v>
      </c>
      <c r="C508" t="s">
        <v>2415</v>
      </c>
      <c r="D508" t="s">
        <v>2436</v>
      </c>
      <c r="E508" t="s">
        <v>2580</v>
      </c>
      <c r="F508" t="s">
        <v>2580</v>
      </c>
      <c r="G508" s="8">
        <v>1500</v>
      </c>
      <c r="H508" s="8">
        <f>+IF(BDAlquilerDepartamentos[[#This Row],[Ciudad]]="Lima",BDAlquilerDepartamentos[[#This Row],[Prec. Soles]]*0.1,BDAlquilerDepartamentos[[#This Row],[Prec. Soles]]*0.05)</f>
        <v>150</v>
      </c>
      <c r="I508" s="4">
        <v>1</v>
      </c>
      <c r="J508" s="4">
        <v>1</v>
      </c>
      <c r="K508" s="4" t="s">
        <v>3095</v>
      </c>
      <c r="L508" s="4" t="s">
        <v>3095</v>
      </c>
      <c r="M508" s="4">
        <v>42</v>
      </c>
      <c r="N508" s="4">
        <v>2018</v>
      </c>
      <c r="O508" s="4" t="str">
        <f>+IF(BDAlquilerDepartamentos[[#This Row],[Prec. Soles]]&gt;2500,"Caro","Economico")</f>
        <v>Economico</v>
      </c>
      <c r="P508" s="4" t="str">
        <f>+IF(AND(BDAlquilerDepartamentos[[#This Row],[N° de Dorm.]]&gt; 3,BDAlquilerDepartamentos[[#This Row],[Prec. Soles]]&lt;= 2500),"Buena Oferta", "Precio Estadar")</f>
        <v>Precio Estadar</v>
      </c>
      <c r="Q508" t="s">
        <v>1101</v>
      </c>
      <c r="R508" t="s">
        <v>1102</v>
      </c>
      <c r="S508" s="11">
        <v>45093</v>
      </c>
      <c r="T508" t="s">
        <v>2999</v>
      </c>
      <c r="U508" t="s">
        <v>1847</v>
      </c>
    </row>
    <row r="509" spans="2:21" x14ac:dyDescent="0.3">
      <c r="B509" t="s">
        <v>1848</v>
      </c>
      <c r="C509" t="s">
        <v>2632</v>
      </c>
      <c r="D509" t="s">
        <v>2501</v>
      </c>
      <c r="E509" t="s">
        <v>2580</v>
      </c>
      <c r="F509" t="s">
        <v>2580</v>
      </c>
      <c r="G509" s="8">
        <v>6900</v>
      </c>
      <c r="H509" s="8">
        <f>+IF(BDAlquilerDepartamentos[[#This Row],[Ciudad]]="Lima",BDAlquilerDepartamentos[[#This Row],[Prec. Soles]]*0.1,BDAlquilerDepartamentos[[#This Row],[Prec. Soles]]*0.05)</f>
        <v>690</v>
      </c>
      <c r="I509" s="4">
        <v>4</v>
      </c>
      <c r="J509" s="4">
        <v>3</v>
      </c>
      <c r="K509" s="4" t="s">
        <v>3095</v>
      </c>
      <c r="L509" s="4" t="s">
        <v>3096</v>
      </c>
      <c r="M509" s="4">
        <v>214</v>
      </c>
      <c r="N509" s="4">
        <v>2005</v>
      </c>
      <c r="O509" s="4" t="str">
        <f>+IF(BDAlquilerDepartamentos[[#This Row],[Prec. Soles]]&gt;2500,"Caro","Economico")</f>
        <v>Caro</v>
      </c>
      <c r="P509" s="4" t="str">
        <f>+IF(AND(BDAlquilerDepartamentos[[#This Row],[N° de Dorm.]]&gt; 3,BDAlquilerDepartamentos[[#This Row],[Prec. Soles]]&lt;= 2500),"Buena Oferta", "Precio Estadar")</f>
        <v>Precio Estadar</v>
      </c>
      <c r="Q509" t="s">
        <v>1113</v>
      </c>
      <c r="R509" t="s">
        <v>1102</v>
      </c>
      <c r="S509" s="11">
        <v>45272</v>
      </c>
      <c r="T509" t="s">
        <v>3000</v>
      </c>
      <c r="U509" t="s">
        <v>1849</v>
      </c>
    </row>
    <row r="510" spans="2:21" x14ac:dyDescent="0.3">
      <c r="B510" t="s">
        <v>1850</v>
      </c>
      <c r="C510" t="s">
        <v>2668</v>
      </c>
      <c r="D510" t="s">
        <v>2689</v>
      </c>
      <c r="E510" t="s">
        <v>3129</v>
      </c>
      <c r="F510" t="s">
        <v>3129</v>
      </c>
      <c r="G510" s="8">
        <v>3200</v>
      </c>
      <c r="H510" s="8">
        <f>+IF(BDAlquilerDepartamentos[[#This Row],[Ciudad]]="Lima",BDAlquilerDepartamentos[[#This Row],[Prec. Soles]]*0.1,BDAlquilerDepartamentos[[#This Row],[Prec. Soles]]*0.05)</f>
        <v>160</v>
      </c>
      <c r="I510" s="4">
        <v>4</v>
      </c>
      <c r="J510" s="4">
        <v>4</v>
      </c>
      <c r="K510" s="4" t="s">
        <v>3095</v>
      </c>
      <c r="L510" s="4" t="s">
        <v>3096</v>
      </c>
      <c r="M510" s="4">
        <v>192</v>
      </c>
      <c r="N510" s="4">
        <v>2009</v>
      </c>
      <c r="O510" s="4" t="str">
        <f>+IF(BDAlquilerDepartamentos[[#This Row],[Prec. Soles]]&gt;2500,"Caro","Economico")</f>
        <v>Caro</v>
      </c>
      <c r="P510" s="4" t="str">
        <f>+IF(AND(BDAlquilerDepartamentos[[#This Row],[N° de Dorm.]]&gt; 3,BDAlquilerDepartamentos[[#This Row],[Prec. Soles]]&lt;= 2500),"Buena Oferta", "Precio Estadar")</f>
        <v>Precio Estadar</v>
      </c>
      <c r="Q510" t="s">
        <v>1113</v>
      </c>
      <c r="R510" t="s">
        <v>1102</v>
      </c>
      <c r="S510" s="11">
        <v>45560</v>
      </c>
      <c r="T510" t="s">
        <v>3130</v>
      </c>
      <c r="U510" t="s">
        <v>1851</v>
      </c>
    </row>
    <row r="511" spans="2:21" x14ac:dyDescent="0.3">
      <c r="B511" t="s">
        <v>1817</v>
      </c>
      <c r="C511" t="s">
        <v>2507</v>
      </c>
      <c r="D511" t="s">
        <v>2422</v>
      </c>
      <c r="E511" t="s">
        <v>2580</v>
      </c>
      <c r="F511" t="s">
        <v>2580</v>
      </c>
      <c r="G511" s="8">
        <v>3145</v>
      </c>
      <c r="H511" s="8">
        <f>+IF(BDAlquilerDepartamentos[[#This Row],[Ciudad]]="Lima",BDAlquilerDepartamentos[[#This Row],[Prec. Soles]]*0.1,BDAlquilerDepartamentos[[#This Row],[Prec. Soles]]*0.05)</f>
        <v>314.5</v>
      </c>
      <c r="I511" s="4">
        <v>3</v>
      </c>
      <c r="J511" s="4">
        <v>4</v>
      </c>
      <c r="K511" s="4" t="s">
        <v>3096</v>
      </c>
      <c r="L511" s="4" t="s">
        <v>3096</v>
      </c>
      <c r="M511" s="4">
        <v>120</v>
      </c>
      <c r="N511" s="4">
        <v>2013</v>
      </c>
      <c r="O511" s="4" t="str">
        <f>+IF(BDAlquilerDepartamentos[[#This Row],[Prec. Soles]]&gt;2500,"Caro","Economico")</f>
        <v>Caro</v>
      </c>
      <c r="P511" s="4" t="str">
        <f>+IF(AND(BDAlquilerDepartamentos[[#This Row],[N° de Dorm.]]&gt; 3,BDAlquilerDepartamentos[[#This Row],[Prec. Soles]]&lt;= 2500),"Buena Oferta", "Precio Estadar")</f>
        <v>Precio Estadar</v>
      </c>
      <c r="Q511" t="s">
        <v>1101</v>
      </c>
      <c r="R511" t="s">
        <v>1102</v>
      </c>
      <c r="S511" s="11">
        <v>45381</v>
      </c>
      <c r="T511" t="s">
        <v>2821</v>
      </c>
      <c r="U511" t="s">
        <v>1852</v>
      </c>
    </row>
    <row r="512" spans="2:21" x14ac:dyDescent="0.3">
      <c r="B512" t="s">
        <v>1853</v>
      </c>
      <c r="C512" t="s">
        <v>2669</v>
      </c>
      <c r="D512" t="s">
        <v>2422</v>
      </c>
      <c r="E512" t="s">
        <v>2580</v>
      </c>
      <c r="F512" t="s">
        <v>2580</v>
      </c>
      <c r="G512" s="8">
        <v>1550</v>
      </c>
      <c r="H512" s="8">
        <f>+IF(BDAlquilerDepartamentos[[#This Row],[Ciudad]]="Lima",BDAlquilerDepartamentos[[#This Row],[Prec. Soles]]*0.1,BDAlquilerDepartamentos[[#This Row],[Prec. Soles]]*0.05)</f>
        <v>155</v>
      </c>
      <c r="I512" s="4">
        <v>2</v>
      </c>
      <c r="J512" s="4">
        <v>2</v>
      </c>
      <c r="K512" s="4" t="s">
        <v>3095</v>
      </c>
      <c r="L512" s="4" t="s">
        <v>3095</v>
      </c>
      <c r="M512" s="4">
        <v>92</v>
      </c>
      <c r="N512" s="4">
        <v>2016</v>
      </c>
      <c r="O512" s="4" t="str">
        <f>+IF(BDAlquilerDepartamentos[[#This Row],[Prec. Soles]]&gt;2500,"Caro","Economico")</f>
        <v>Economico</v>
      </c>
      <c r="P512" s="4" t="str">
        <f>+IF(AND(BDAlquilerDepartamentos[[#This Row],[N° de Dorm.]]&gt; 3,BDAlquilerDepartamentos[[#This Row],[Prec. Soles]]&lt;= 2500),"Buena Oferta", "Precio Estadar")</f>
        <v>Precio Estadar</v>
      </c>
      <c r="Q512" t="s">
        <v>1101</v>
      </c>
      <c r="R512" t="s">
        <v>1102</v>
      </c>
      <c r="S512" s="11">
        <v>45521</v>
      </c>
      <c r="T512" t="s">
        <v>3001</v>
      </c>
      <c r="U512" t="s">
        <v>1854</v>
      </c>
    </row>
    <row r="513" spans="2:21" x14ac:dyDescent="0.3">
      <c r="B513" t="s">
        <v>1855</v>
      </c>
      <c r="C513" t="s">
        <v>2670</v>
      </c>
      <c r="D513" t="s">
        <v>2463</v>
      </c>
      <c r="E513" t="s">
        <v>2580</v>
      </c>
      <c r="F513" t="s">
        <v>2580</v>
      </c>
      <c r="G513" s="8">
        <v>2300</v>
      </c>
      <c r="H513" s="8">
        <f>+IF(BDAlquilerDepartamentos[[#This Row],[Ciudad]]="Lima",BDAlquilerDepartamentos[[#This Row],[Prec. Soles]]*0.1,BDAlquilerDepartamentos[[#This Row],[Prec. Soles]]*0.05)</f>
        <v>230</v>
      </c>
      <c r="I513" s="4">
        <v>2</v>
      </c>
      <c r="J513" s="4">
        <v>3</v>
      </c>
      <c r="K513" s="4" t="s">
        <v>3095</v>
      </c>
      <c r="L513" s="4" t="s">
        <v>3096</v>
      </c>
      <c r="M513" s="4">
        <v>70</v>
      </c>
      <c r="N513" s="4">
        <v>2005</v>
      </c>
      <c r="O513" s="4" t="str">
        <f>+IF(BDAlquilerDepartamentos[[#This Row],[Prec. Soles]]&gt;2500,"Caro","Economico")</f>
        <v>Economico</v>
      </c>
      <c r="P513" s="4" t="str">
        <f>+IF(AND(BDAlquilerDepartamentos[[#This Row],[N° de Dorm.]]&gt; 3,BDAlquilerDepartamentos[[#This Row],[Prec. Soles]]&lt;= 2500),"Buena Oferta", "Precio Estadar")</f>
        <v>Precio Estadar</v>
      </c>
      <c r="Q513" t="s">
        <v>1101</v>
      </c>
      <c r="R513" t="s">
        <v>1102</v>
      </c>
      <c r="S513" s="11">
        <v>45475</v>
      </c>
      <c r="T513" t="s">
        <v>3002</v>
      </c>
      <c r="U513" t="s">
        <v>1856</v>
      </c>
    </row>
    <row r="514" spans="2:21" x14ac:dyDescent="0.3">
      <c r="B514" t="s">
        <v>1857</v>
      </c>
      <c r="C514" t="s">
        <v>2671</v>
      </c>
      <c r="D514" t="s">
        <v>2422</v>
      </c>
      <c r="E514" t="s">
        <v>2580</v>
      </c>
      <c r="F514" t="s">
        <v>2580</v>
      </c>
      <c r="G514" s="8">
        <v>1900</v>
      </c>
      <c r="H514" s="8">
        <f>+IF(BDAlquilerDepartamentos[[#This Row],[Ciudad]]="Lima",BDAlquilerDepartamentos[[#This Row],[Prec. Soles]]*0.1,BDAlquilerDepartamentos[[#This Row],[Prec. Soles]]*0.05)</f>
        <v>190</v>
      </c>
      <c r="I514" s="4">
        <v>2</v>
      </c>
      <c r="J514" s="4">
        <v>1</v>
      </c>
      <c r="K514" s="4" t="s">
        <v>3095</v>
      </c>
      <c r="L514" s="4" t="s">
        <v>3096</v>
      </c>
      <c r="M514" s="4">
        <v>65</v>
      </c>
      <c r="N514" s="4">
        <v>2016</v>
      </c>
      <c r="O514" s="4" t="str">
        <f>+IF(BDAlquilerDepartamentos[[#This Row],[Prec. Soles]]&gt;2500,"Caro","Economico")</f>
        <v>Economico</v>
      </c>
      <c r="P514" s="4" t="str">
        <f>+IF(AND(BDAlquilerDepartamentos[[#This Row],[N° de Dorm.]]&gt; 3,BDAlquilerDepartamentos[[#This Row],[Prec. Soles]]&lt;= 2500),"Buena Oferta", "Precio Estadar")</f>
        <v>Precio Estadar</v>
      </c>
      <c r="Q514" t="s">
        <v>1101</v>
      </c>
      <c r="R514" t="s">
        <v>1102</v>
      </c>
      <c r="S514" s="11">
        <v>45393</v>
      </c>
      <c r="T514" t="s">
        <v>3002</v>
      </c>
      <c r="U514" t="s">
        <v>1858</v>
      </c>
    </row>
    <row r="515" spans="2:21" x14ac:dyDescent="0.3">
      <c r="B515" t="s">
        <v>1195</v>
      </c>
      <c r="C515" t="s">
        <v>2468</v>
      </c>
      <c r="D515" t="s">
        <v>2428</v>
      </c>
      <c r="E515" t="s">
        <v>2580</v>
      </c>
      <c r="F515" t="s">
        <v>2580</v>
      </c>
      <c r="G515" s="8">
        <v>3700</v>
      </c>
      <c r="H515" s="8">
        <f>+IF(BDAlquilerDepartamentos[[#This Row],[Ciudad]]="Lima",BDAlquilerDepartamentos[[#This Row],[Prec. Soles]]*0.1,BDAlquilerDepartamentos[[#This Row],[Prec. Soles]]*0.05)</f>
        <v>370</v>
      </c>
      <c r="I515" s="4">
        <v>2</v>
      </c>
      <c r="J515" s="4">
        <v>2</v>
      </c>
      <c r="K515" s="4" t="s">
        <v>3095</v>
      </c>
      <c r="L515" s="4" t="s">
        <v>3095</v>
      </c>
      <c r="M515" s="4">
        <v>61</v>
      </c>
      <c r="N515" s="4">
        <v>2015</v>
      </c>
      <c r="O515" s="4" t="str">
        <f>+IF(BDAlquilerDepartamentos[[#This Row],[Prec. Soles]]&gt;2500,"Caro","Economico")</f>
        <v>Caro</v>
      </c>
      <c r="P515" s="4" t="str">
        <f>+IF(AND(BDAlquilerDepartamentos[[#This Row],[N° de Dorm.]]&gt; 3,BDAlquilerDepartamentos[[#This Row],[Prec. Soles]]&lt;= 2500),"Buena Oferta", "Precio Estadar")</f>
        <v>Precio Estadar</v>
      </c>
      <c r="Q515" t="s">
        <v>1101</v>
      </c>
      <c r="R515" t="s">
        <v>1102</v>
      </c>
      <c r="S515" s="11">
        <v>45304</v>
      </c>
      <c r="T515" t="s">
        <v>3002</v>
      </c>
      <c r="U515" t="s">
        <v>1859</v>
      </c>
    </row>
    <row r="516" spans="2:21" x14ac:dyDescent="0.3">
      <c r="B516" t="s">
        <v>1860</v>
      </c>
      <c r="C516" t="s">
        <v>2672</v>
      </c>
      <c r="D516" t="s">
        <v>3117</v>
      </c>
      <c r="E516" t="s">
        <v>2580</v>
      </c>
      <c r="F516" t="s">
        <v>2580</v>
      </c>
      <c r="G516" s="8">
        <v>1200</v>
      </c>
      <c r="H516" s="8">
        <f>+IF(BDAlquilerDepartamentos[[#This Row],[Ciudad]]="Lima",BDAlquilerDepartamentos[[#This Row],[Prec. Soles]]*0.1,BDAlquilerDepartamentos[[#This Row],[Prec. Soles]]*0.05)</f>
        <v>120</v>
      </c>
      <c r="I516" s="4">
        <v>2</v>
      </c>
      <c r="J516" s="4">
        <v>1</v>
      </c>
      <c r="K516" s="4" t="s">
        <v>3095</v>
      </c>
      <c r="L516" s="4" t="s">
        <v>3095</v>
      </c>
      <c r="M516" s="4">
        <v>78</v>
      </c>
      <c r="N516" s="4">
        <v>2015</v>
      </c>
      <c r="O516" s="4" t="str">
        <f>+IF(BDAlquilerDepartamentos[[#This Row],[Prec. Soles]]&gt;2500,"Caro","Economico")</f>
        <v>Economico</v>
      </c>
      <c r="P516" s="4" t="str">
        <f>+IF(AND(BDAlquilerDepartamentos[[#This Row],[N° de Dorm.]]&gt; 3,BDAlquilerDepartamentos[[#This Row],[Prec. Soles]]&lt;= 2500),"Buena Oferta", "Precio Estadar")</f>
        <v>Precio Estadar</v>
      </c>
      <c r="Q516" t="s">
        <v>1101</v>
      </c>
      <c r="R516" t="s">
        <v>1102</v>
      </c>
      <c r="S516" s="11">
        <v>45073</v>
      </c>
      <c r="T516" t="s">
        <v>2854</v>
      </c>
      <c r="U516" t="s">
        <v>1861</v>
      </c>
    </row>
    <row r="517" spans="2:21" x14ac:dyDescent="0.3">
      <c r="B517" t="s">
        <v>1862</v>
      </c>
      <c r="C517" t="s">
        <v>2673</v>
      </c>
      <c r="D517" t="s">
        <v>2485</v>
      </c>
      <c r="E517" t="s">
        <v>2580</v>
      </c>
      <c r="F517" t="s">
        <v>2580</v>
      </c>
      <c r="G517" s="8">
        <v>2450</v>
      </c>
      <c r="H517" s="8">
        <f>+IF(BDAlquilerDepartamentos[[#This Row],[Ciudad]]="Lima",BDAlquilerDepartamentos[[#This Row],[Prec. Soles]]*0.1,BDAlquilerDepartamentos[[#This Row],[Prec. Soles]]*0.05)</f>
        <v>245</v>
      </c>
      <c r="I517" s="4">
        <v>3</v>
      </c>
      <c r="J517" s="4">
        <v>3</v>
      </c>
      <c r="K517" s="4" t="s">
        <v>3095</v>
      </c>
      <c r="L517" s="4" t="s">
        <v>3095</v>
      </c>
      <c r="M517" s="4">
        <v>79</v>
      </c>
      <c r="N517" s="4">
        <v>2008</v>
      </c>
      <c r="O517" s="4" t="str">
        <f>+IF(BDAlquilerDepartamentos[[#This Row],[Prec. Soles]]&gt;2500,"Caro","Economico")</f>
        <v>Economico</v>
      </c>
      <c r="P517" s="4" t="str">
        <f>+IF(AND(BDAlquilerDepartamentos[[#This Row],[N° de Dorm.]]&gt; 3,BDAlquilerDepartamentos[[#This Row],[Prec. Soles]]&lt;= 2500),"Buena Oferta", "Precio Estadar")</f>
        <v>Precio Estadar</v>
      </c>
      <c r="Q517" t="s">
        <v>1101</v>
      </c>
      <c r="R517" t="s">
        <v>1102</v>
      </c>
      <c r="S517" s="11">
        <v>45060</v>
      </c>
      <c r="T517" t="s">
        <v>2854</v>
      </c>
      <c r="U517" t="s">
        <v>1863</v>
      </c>
    </row>
    <row r="518" spans="2:21" x14ac:dyDescent="0.3">
      <c r="B518" t="s">
        <v>1165</v>
      </c>
      <c r="C518" t="s">
        <v>2453</v>
      </c>
      <c r="D518" t="s">
        <v>2580</v>
      </c>
      <c r="E518" t="s">
        <v>2580</v>
      </c>
      <c r="F518" t="s">
        <v>2580</v>
      </c>
      <c r="G518" s="8">
        <v>5550</v>
      </c>
      <c r="H518" s="8">
        <f>+IF(BDAlquilerDepartamentos[[#This Row],[Ciudad]]="Lima",BDAlquilerDepartamentos[[#This Row],[Prec. Soles]]*0.1,BDAlquilerDepartamentos[[#This Row],[Prec. Soles]]*0.05)</f>
        <v>555</v>
      </c>
      <c r="I518" s="4">
        <v>3</v>
      </c>
      <c r="J518" s="4">
        <v>2</v>
      </c>
      <c r="K518" s="4" t="s">
        <v>3095</v>
      </c>
      <c r="L518" s="4" t="s">
        <v>3095</v>
      </c>
      <c r="M518" s="4">
        <v>155</v>
      </c>
      <c r="N518" s="4">
        <v>2004</v>
      </c>
      <c r="O518" s="4" t="str">
        <f>+IF(BDAlquilerDepartamentos[[#This Row],[Prec. Soles]]&gt;2500,"Caro","Economico")</f>
        <v>Caro</v>
      </c>
      <c r="P518" s="4" t="str">
        <f>+IF(AND(BDAlquilerDepartamentos[[#This Row],[N° de Dorm.]]&gt; 3,BDAlquilerDepartamentos[[#This Row],[Prec. Soles]]&lt;= 2500),"Buena Oferta", "Precio Estadar")</f>
        <v>Precio Estadar</v>
      </c>
      <c r="Q518" t="s">
        <v>1101</v>
      </c>
      <c r="R518" t="s">
        <v>1102</v>
      </c>
      <c r="S518" s="11">
        <v>45050</v>
      </c>
      <c r="T518" t="s">
        <v>2846</v>
      </c>
      <c r="U518" t="s">
        <v>1864</v>
      </c>
    </row>
    <row r="519" spans="2:21" x14ac:dyDescent="0.3">
      <c r="B519" t="s">
        <v>1118</v>
      </c>
      <c r="C519" t="s">
        <v>2426</v>
      </c>
      <c r="D519" t="s">
        <v>2436</v>
      </c>
      <c r="E519" t="s">
        <v>2580</v>
      </c>
      <c r="F519" t="s">
        <v>2580</v>
      </c>
      <c r="G519" s="8">
        <v>3515</v>
      </c>
      <c r="H519" s="8">
        <f>+IF(BDAlquilerDepartamentos[[#This Row],[Ciudad]]="Lima",BDAlquilerDepartamentos[[#This Row],[Prec. Soles]]*0.1,BDAlquilerDepartamentos[[#This Row],[Prec. Soles]]*0.05)</f>
        <v>351.5</v>
      </c>
      <c r="I519" s="4">
        <v>3</v>
      </c>
      <c r="J519" s="4">
        <v>2</v>
      </c>
      <c r="K519" s="4" t="s">
        <v>3095</v>
      </c>
      <c r="L519" s="4" t="s">
        <v>3095</v>
      </c>
      <c r="M519" s="4">
        <v>95</v>
      </c>
      <c r="N519" s="4">
        <v>2013</v>
      </c>
      <c r="O519" s="4" t="str">
        <f>+IF(BDAlquilerDepartamentos[[#This Row],[Prec. Soles]]&gt;2500,"Caro","Economico")</f>
        <v>Caro</v>
      </c>
      <c r="P519" s="4" t="str">
        <f>+IF(AND(BDAlquilerDepartamentos[[#This Row],[N° de Dorm.]]&gt; 3,BDAlquilerDepartamentos[[#This Row],[Prec. Soles]]&lt;= 2500),"Buena Oferta", "Precio Estadar")</f>
        <v>Precio Estadar</v>
      </c>
      <c r="Q519" t="s">
        <v>1101</v>
      </c>
      <c r="R519" t="s">
        <v>1102</v>
      </c>
      <c r="S519" s="11">
        <v>45044</v>
      </c>
      <c r="T519" t="s">
        <v>3003</v>
      </c>
      <c r="U519" t="s">
        <v>1865</v>
      </c>
    </row>
    <row r="520" spans="2:21" x14ac:dyDescent="0.3">
      <c r="B520" t="s">
        <v>1404</v>
      </c>
      <c r="C520" t="s">
        <v>2545</v>
      </c>
      <c r="D520" t="s">
        <v>2580</v>
      </c>
      <c r="E520" t="s">
        <v>2580</v>
      </c>
      <c r="F520" t="s">
        <v>2580</v>
      </c>
      <c r="G520" s="8">
        <v>1400</v>
      </c>
      <c r="H520" s="8">
        <f>+IF(BDAlquilerDepartamentos[[#This Row],[Ciudad]]="Lima",BDAlquilerDepartamentos[[#This Row],[Prec. Soles]]*0.1,BDAlquilerDepartamentos[[#This Row],[Prec. Soles]]*0.05)</f>
        <v>140</v>
      </c>
      <c r="I520" s="4">
        <v>3</v>
      </c>
      <c r="J520" s="4">
        <v>2</v>
      </c>
      <c r="K520" s="4" t="s">
        <v>3095</v>
      </c>
      <c r="L520" s="4" t="s">
        <v>3095</v>
      </c>
      <c r="M520" s="4">
        <v>81</v>
      </c>
      <c r="N520" s="4">
        <v>2007</v>
      </c>
      <c r="O520" s="4" t="str">
        <f>+IF(BDAlquilerDepartamentos[[#This Row],[Prec. Soles]]&gt;2500,"Caro","Economico")</f>
        <v>Economico</v>
      </c>
      <c r="P520" s="4" t="str">
        <f>+IF(AND(BDAlquilerDepartamentos[[#This Row],[N° de Dorm.]]&gt; 3,BDAlquilerDepartamentos[[#This Row],[Prec. Soles]]&lt;= 2500),"Buena Oferta", "Precio Estadar")</f>
        <v>Precio Estadar</v>
      </c>
      <c r="Q520" t="s">
        <v>1101</v>
      </c>
      <c r="R520" t="s">
        <v>1102</v>
      </c>
      <c r="S520" s="11">
        <v>45065</v>
      </c>
      <c r="T520" t="s">
        <v>2852</v>
      </c>
      <c r="U520" t="s">
        <v>1866</v>
      </c>
    </row>
    <row r="521" spans="2:21" x14ac:dyDescent="0.3">
      <c r="B521" t="s">
        <v>1867</v>
      </c>
      <c r="C521" t="s">
        <v>2674</v>
      </c>
      <c r="D521" t="s">
        <v>2473</v>
      </c>
      <c r="E521" t="s">
        <v>2474</v>
      </c>
      <c r="F521" t="s">
        <v>2474</v>
      </c>
      <c r="G521" s="8">
        <v>1100</v>
      </c>
      <c r="H521" s="8">
        <f>+IF(BDAlquilerDepartamentos[[#This Row],[Ciudad]]="Lima",BDAlquilerDepartamentos[[#This Row],[Prec. Soles]]*0.1,BDAlquilerDepartamentos[[#This Row],[Prec. Soles]]*0.05)</f>
        <v>55</v>
      </c>
      <c r="I521" s="4">
        <v>2</v>
      </c>
      <c r="J521" s="4">
        <v>2</v>
      </c>
      <c r="K521" s="4" t="s">
        <v>3096</v>
      </c>
      <c r="L521" s="4" t="s">
        <v>3095</v>
      </c>
      <c r="M521" s="4">
        <v>65</v>
      </c>
      <c r="N521" s="4">
        <v>2013</v>
      </c>
      <c r="O521" s="4" t="str">
        <f>+IF(BDAlquilerDepartamentos[[#This Row],[Prec. Soles]]&gt;2500,"Caro","Economico")</f>
        <v>Economico</v>
      </c>
      <c r="P521" s="4" t="str">
        <f>+IF(AND(BDAlquilerDepartamentos[[#This Row],[N° de Dorm.]]&gt; 3,BDAlquilerDepartamentos[[#This Row],[Prec. Soles]]&lt;= 2500),"Buena Oferta", "Precio Estadar")</f>
        <v>Precio Estadar</v>
      </c>
      <c r="Q521" t="s">
        <v>1101</v>
      </c>
      <c r="R521" t="s">
        <v>1102</v>
      </c>
      <c r="S521" s="11">
        <v>45510</v>
      </c>
      <c r="T521" t="s">
        <v>3004</v>
      </c>
      <c r="U521" t="s">
        <v>1868</v>
      </c>
    </row>
    <row r="522" spans="2:21" x14ac:dyDescent="0.3">
      <c r="B522" t="s">
        <v>1298</v>
      </c>
      <c r="C522" t="s">
        <v>2511</v>
      </c>
      <c r="D522" t="s">
        <v>2444</v>
      </c>
      <c r="E522" t="s">
        <v>2580</v>
      </c>
      <c r="F522" t="s">
        <v>2580</v>
      </c>
      <c r="G522" s="8">
        <v>2400</v>
      </c>
      <c r="H522" s="8">
        <f>+IF(BDAlquilerDepartamentos[[#This Row],[Ciudad]]="Lima",BDAlquilerDepartamentos[[#This Row],[Prec. Soles]]*0.1,BDAlquilerDepartamentos[[#This Row],[Prec. Soles]]*0.05)</f>
        <v>240</v>
      </c>
      <c r="I522" s="4">
        <v>3</v>
      </c>
      <c r="J522" s="4">
        <v>1</v>
      </c>
      <c r="K522" s="4" t="s">
        <v>3096</v>
      </c>
      <c r="L522" s="4" t="s">
        <v>3096</v>
      </c>
      <c r="M522" s="4">
        <v>100</v>
      </c>
      <c r="N522" s="4">
        <v>2018</v>
      </c>
      <c r="O522" s="4" t="str">
        <f>+IF(BDAlquilerDepartamentos[[#This Row],[Prec. Soles]]&gt;2500,"Caro","Economico")</f>
        <v>Economico</v>
      </c>
      <c r="P522" s="4" t="str">
        <f>+IF(AND(BDAlquilerDepartamentos[[#This Row],[N° de Dorm.]]&gt; 3,BDAlquilerDepartamentos[[#This Row],[Prec. Soles]]&lt;= 2500),"Buena Oferta", "Precio Estadar")</f>
        <v>Precio Estadar</v>
      </c>
      <c r="Q522" t="s">
        <v>1101</v>
      </c>
      <c r="R522" t="s">
        <v>1102</v>
      </c>
      <c r="S522" s="11">
        <v>45224</v>
      </c>
      <c r="T522" t="s">
        <v>3086</v>
      </c>
      <c r="U522" t="s">
        <v>1869</v>
      </c>
    </row>
    <row r="523" spans="2:21" x14ac:dyDescent="0.3">
      <c r="B523" t="s">
        <v>3113</v>
      </c>
      <c r="C523" t="s">
        <v>3114</v>
      </c>
      <c r="D523" t="s">
        <v>2436</v>
      </c>
      <c r="E523" t="s">
        <v>2580</v>
      </c>
      <c r="F523" t="s">
        <v>2580</v>
      </c>
      <c r="G523" s="8">
        <v>3330</v>
      </c>
      <c r="H523" s="8">
        <f>+IF(BDAlquilerDepartamentos[[#This Row],[Ciudad]]="Lima",BDAlquilerDepartamentos[[#This Row],[Prec. Soles]]*0.1,BDAlquilerDepartamentos[[#This Row],[Prec. Soles]]*0.05)</f>
        <v>333</v>
      </c>
      <c r="I523" s="4">
        <v>2</v>
      </c>
      <c r="J523" s="4">
        <v>2</v>
      </c>
      <c r="K523" s="4" t="s">
        <v>3095</v>
      </c>
      <c r="L523" s="4" t="s">
        <v>3095</v>
      </c>
      <c r="M523" s="4">
        <v>104</v>
      </c>
      <c r="N523" s="4">
        <v>2016</v>
      </c>
      <c r="O523" s="4" t="str">
        <f>+IF(BDAlquilerDepartamentos[[#This Row],[Prec. Soles]]&gt;2500,"Caro","Economico")</f>
        <v>Caro</v>
      </c>
      <c r="P523" s="4" t="str">
        <f>+IF(AND(BDAlquilerDepartamentos[[#This Row],[N° de Dorm.]]&gt; 3,BDAlquilerDepartamentos[[#This Row],[Prec. Soles]]&lt;= 2500),"Buena Oferta", "Precio Estadar")</f>
        <v>Precio Estadar</v>
      </c>
      <c r="Q523" t="s">
        <v>1101</v>
      </c>
      <c r="R523" t="s">
        <v>1102</v>
      </c>
      <c r="S523" s="11">
        <v>45104</v>
      </c>
      <c r="T523" t="s">
        <v>2860</v>
      </c>
      <c r="U523" t="s">
        <v>1870</v>
      </c>
    </row>
    <row r="524" spans="2:21" x14ac:dyDescent="0.3">
      <c r="B524" t="s">
        <v>1447</v>
      </c>
      <c r="C524" t="s">
        <v>2561</v>
      </c>
      <c r="D524" t="s">
        <v>2428</v>
      </c>
      <c r="E524" t="s">
        <v>2580</v>
      </c>
      <c r="F524" t="s">
        <v>2580</v>
      </c>
      <c r="G524" s="8">
        <v>7770</v>
      </c>
      <c r="H524" s="8">
        <f>+IF(BDAlquilerDepartamentos[[#This Row],[Ciudad]]="Lima",BDAlquilerDepartamentos[[#This Row],[Prec. Soles]]*0.1,BDAlquilerDepartamentos[[#This Row],[Prec. Soles]]*0.05)</f>
        <v>777</v>
      </c>
      <c r="I524" s="4">
        <v>4</v>
      </c>
      <c r="J524" s="4">
        <v>2</v>
      </c>
      <c r="K524" s="4" t="s">
        <v>3096</v>
      </c>
      <c r="L524" s="4" t="s">
        <v>3095</v>
      </c>
      <c r="M524" s="4">
        <v>295</v>
      </c>
      <c r="N524" s="4">
        <v>2003</v>
      </c>
      <c r="O524" s="4" t="str">
        <f>+IF(BDAlquilerDepartamentos[[#This Row],[Prec. Soles]]&gt;2500,"Caro","Economico")</f>
        <v>Caro</v>
      </c>
      <c r="P524" s="4" t="str">
        <f>+IF(AND(BDAlquilerDepartamentos[[#This Row],[N° de Dorm.]]&gt; 3,BDAlquilerDepartamentos[[#This Row],[Prec. Soles]]&lt;= 2500),"Buena Oferta", "Precio Estadar")</f>
        <v>Precio Estadar</v>
      </c>
      <c r="Q524" t="s">
        <v>1101</v>
      </c>
      <c r="R524" t="s">
        <v>1102</v>
      </c>
      <c r="S524" s="11">
        <v>45214</v>
      </c>
      <c r="T524" t="s">
        <v>3157</v>
      </c>
      <c r="U524" t="s">
        <v>1871</v>
      </c>
    </row>
    <row r="525" spans="2:21" x14ac:dyDescent="0.3">
      <c r="B525" t="s">
        <v>1824</v>
      </c>
      <c r="C525" t="s">
        <v>2658</v>
      </c>
      <c r="D525" t="s">
        <v>2428</v>
      </c>
      <c r="E525" t="s">
        <v>2580</v>
      </c>
      <c r="F525" t="s">
        <v>2580</v>
      </c>
      <c r="G525" s="8">
        <v>6105</v>
      </c>
      <c r="H525" s="8">
        <f>+IF(BDAlquilerDepartamentos[[#This Row],[Ciudad]]="Lima",BDAlquilerDepartamentos[[#This Row],[Prec. Soles]]*0.1,BDAlquilerDepartamentos[[#This Row],[Prec. Soles]]*0.05)</f>
        <v>610.5</v>
      </c>
      <c r="I525" s="4">
        <v>3</v>
      </c>
      <c r="J525" s="4">
        <v>2</v>
      </c>
      <c r="K525" s="4" t="s">
        <v>3096</v>
      </c>
      <c r="L525" s="4" t="s">
        <v>3095</v>
      </c>
      <c r="M525" s="4">
        <v>180</v>
      </c>
      <c r="N525" s="4">
        <v>2012</v>
      </c>
      <c r="O525" s="4" t="str">
        <f>+IF(BDAlquilerDepartamentos[[#This Row],[Prec. Soles]]&gt;2500,"Caro","Economico")</f>
        <v>Caro</v>
      </c>
      <c r="P525" s="4" t="str">
        <f>+IF(AND(BDAlquilerDepartamentos[[#This Row],[N° de Dorm.]]&gt; 3,BDAlquilerDepartamentos[[#This Row],[Prec. Soles]]&lt;= 2500),"Buena Oferta", "Precio Estadar")</f>
        <v>Precio Estadar</v>
      </c>
      <c r="Q525" t="s">
        <v>1101</v>
      </c>
      <c r="R525" t="s">
        <v>1102</v>
      </c>
      <c r="S525" s="11">
        <v>45176</v>
      </c>
      <c r="T525" t="s">
        <v>2875</v>
      </c>
      <c r="U525" t="s">
        <v>1872</v>
      </c>
    </row>
    <row r="526" spans="2:21" x14ac:dyDescent="0.3">
      <c r="B526" t="s">
        <v>1873</v>
      </c>
      <c r="C526" t="s">
        <v>2676</v>
      </c>
      <c r="D526" t="s">
        <v>2689</v>
      </c>
      <c r="E526" t="s">
        <v>2689</v>
      </c>
      <c r="F526" t="s">
        <v>2689</v>
      </c>
      <c r="G526" s="8">
        <v>11100</v>
      </c>
      <c r="H526" s="8">
        <f>+IF(BDAlquilerDepartamentos[[#This Row],[Ciudad]]="Lima",BDAlquilerDepartamentos[[#This Row],[Prec. Soles]]*0.1,BDAlquilerDepartamentos[[#This Row],[Prec. Soles]]*0.05)</f>
        <v>555</v>
      </c>
      <c r="I526" s="4">
        <v>5</v>
      </c>
      <c r="J526" s="4">
        <v>7</v>
      </c>
      <c r="K526" s="4" t="s">
        <v>3095</v>
      </c>
      <c r="L526" s="4" t="s">
        <v>3095</v>
      </c>
      <c r="N526" s="4">
        <v>2003</v>
      </c>
      <c r="O526" s="4" t="str">
        <f>+IF(BDAlquilerDepartamentos[[#This Row],[Prec. Soles]]&gt;2500,"Caro","Economico")</f>
        <v>Caro</v>
      </c>
      <c r="P526" s="4" t="str">
        <f>+IF(AND(BDAlquilerDepartamentos[[#This Row],[N° de Dorm.]]&gt; 3,BDAlquilerDepartamentos[[#This Row],[Prec. Soles]]&lt;= 2500),"Buena Oferta", "Precio Estadar")</f>
        <v>Precio Estadar</v>
      </c>
      <c r="Q526" t="s">
        <v>1113</v>
      </c>
      <c r="R526" t="s">
        <v>1102</v>
      </c>
      <c r="S526" s="11">
        <v>45494</v>
      </c>
      <c r="T526" t="s">
        <v>2951</v>
      </c>
      <c r="U526" t="s">
        <v>1874</v>
      </c>
    </row>
    <row r="527" spans="2:21" x14ac:dyDescent="0.3">
      <c r="B527" t="s">
        <v>1875</v>
      </c>
      <c r="C527" t="s">
        <v>2677</v>
      </c>
      <c r="D527" t="s">
        <v>2422</v>
      </c>
      <c r="E527" t="s">
        <v>2580</v>
      </c>
      <c r="F527" t="s">
        <v>2580</v>
      </c>
      <c r="G527" s="8">
        <v>8140</v>
      </c>
      <c r="H527" s="8">
        <f>+IF(BDAlquilerDepartamentos[[#This Row],[Ciudad]]="Lima",BDAlquilerDepartamentos[[#This Row],[Prec. Soles]]*0.1,BDAlquilerDepartamentos[[#This Row],[Prec. Soles]]*0.05)</f>
        <v>814</v>
      </c>
      <c r="I527" s="4">
        <v>4</v>
      </c>
      <c r="J527" s="4">
        <v>4</v>
      </c>
      <c r="K527" s="4" t="s">
        <v>3095</v>
      </c>
      <c r="L527" s="4" t="s">
        <v>3096</v>
      </c>
      <c r="M527" s="4">
        <v>300</v>
      </c>
      <c r="N527" s="4">
        <v>2006</v>
      </c>
      <c r="O527" s="4" t="str">
        <f>+IF(BDAlquilerDepartamentos[[#This Row],[Prec. Soles]]&gt;2500,"Caro","Economico")</f>
        <v>Caro</v>
      </c>
      <c r="P527" s="4" t="str">
        <f>+IF(AND(BDAlquilerDepartamentos[[#This Row],[N° de Dorm.]]&gt; 3,BDAlquilerDepartamentos[[#This Row],[Prec. Soles]]&lt;= 2500),"Buena Oferta", "Precio Estadar")</f>
        <v>Precio Estadar</v>
      </c>
      <c r="Q527" t="s">
        <v>1101</v>
      </c>
      <c r="R527" t="s">
        <v>1102</v>
      </c>
      <c r="S527" s="11">
        <v>45267</v>
      </c>
      <c r="T527" t="s">
        <v>2901</v>
      </c>
      <c r="U527" t="s">
        <v>1876</v>
      </c>
    </row>
    <row r="528" spans="2:21" x14ac:dyDescent="0.3">
      <c r="B528" t="s">
        <v>3105</v>
      </c>
      <c r="C528" t="s">
        <v>3106</v>
      </c>
      <c r="D528" t="s">
        <v>2435</v>
      </c>
      <c r="E528" t="s">
        <v>2580</v>
      </c>
      <c r="F528" t="s">
        <v>2580</v>
      </c>
      <c r="G528" s="8">
        <v>2000</v>
      </c>
      <c r="H528" s="8">
        <f>+IF(BDAlquilerDepartamentos[[#This Row],[Ciudad]]="Lima",BDAlquilerDepartamentos[[#This Row],[Prec. Soles]]*0.1,BDAlquilerDepartamentos[[#This Row],[Prec. Soles]]*0.05)</f>
        <v>200</v>
      </c>
      <c r="I528" s="4">
        <v>2</v>
      </c>
      <c r="J528" s="4">
        <v>2</v>
      </c>
      <c r="K528" s="4" t="s">
        <v>3096</v>
      </c>
      <c r="L528" s="4" t="s">
        <v>3095</v>
      </c>
      <c r="M528" s="4">
        <v>76</v>
      </c>
      <c r="N528" s="4">
        <v>2008</v>
      </c>
      <c r="O528" s="4" t="str">
        <f>+IF(BDAlquilerDepartamentos[[#This Row],[Prec. Soles]]&gt;2500,"Caro","Economico")</f>
        <v>Economico</v>
      </c>
      <c r="P528" s="4" t="str">
        <f>+IF(AND(BDAlquilerDepartamentos[[#This Row],[N° de Dorm.]]&gt; 3,BDAlquilerDepartamentos[[#This Row],[Prec. Soles]]&lt;= 2500),"Buena Oferta", "Precio Estadar")</f>
        <v>Precio Estadar</v>
      </c>
      <c r="Q528" t="s">
        <v>1101</v>
      </c>
      <c r="R528" t="s">
        <v>1102</v>
      </c>
      <c r="S528" s="11">
        <v>45460</v>
      </c>
      <c r="T528" t="s">
        <v>3003</v>
      </c>
      <c r="U528" t="s">
        <v>1877</v>
      </c>
    </row>
    <row r="529" spans="2:21" x14ac:dyDescent="0.3">
      <c r="B529" t="s">
        <v>1118</v>
      </c>
      <c r="C529" t="s">
        <v>2426</v>
      </c>
      <c r="D529" t="s">
        <v>2436</v>
      </c>
      <c r="E529" t="s">
        <v>2580</v>
      </c>
      <c r="F529" t="s">
        <v>2580</v>
      </c>
      <c r="G529" s="8">
        <v>4403</v>
      </c>
      <c r="H529" s="8">
        <f>+IF(BDAlquilerDepartamentos[[#This Row],[Ciudad]]="Lima",BDAlquilerDepartamentos[[#This Row],[Prec. Soles]]*0.1,BDAlquilerDepartamentos[[#This Row],[Prec. Soles]]*0.05)</f>
        <v>440.3</v>
      </c>
      <c r="I529" s="4">
        <v>3</v>
      </c>
      <c r="J529" s="4">
        <v>3</v>
      </c>
      <c r="K529" s="4" t="s">
        <v>3095</v>
      </c>
      <c r="L529" s="4" t="s">
        <v>3095</v>
      </c>
      <c r="M529" s="4">
        <v>160</v>
      </c>
      <c r="N529" s="4">
        <v>2005</v>
      </c>
      <c r="O529" s="4" t="str">
        <f>+IF(BDAlquilerDepartamentos[[#This Row],[Prec. Soles]]&gt;2500,"Caro","Economico")</f>
        <v>Caro</v>
      </c>
      <c r="P529" s="4" t="str">
        <f>+IF(AND(BDAlquilerDepartamentos[[#This Row],[N° de Dorm.]]&gt; 3,BDAlquilerDepartamentos[[#This Row],[Prec. Soles]]&lt;= 2500),"Buena Oferta", "Precio Estadar")</f>
        <v>Precio Estadar</v>
      </c>
      <c r="Q529" t="s">
        <v>1101</v>
      </c>
      <c r="R529" t="s">
        <v>1102</v>
      </c>
      <c r="S529" s="11">
        <v>45546</v>
      </c>
      <c r="T529" t="s">
        <v>2821</v>
      </c>
      <c r="U529" t="s">
        <v>1878</v>
      </c>
    </row>
    <row r="530" spans="2:21" x14ac:dyDescent="0.3">
      <c r="B530" t="s">
        <v>1879</v>
      </c>
      <c r="C530" t="s">
        <v>2678</v>
      </c>
      <c r="D530" t="s">
        <v>2799</v>
      </c>
      <c r="E530" t="s">
        <v>2580</v>
      </c>
      <c r="F530" t="s">
        <v>2580</v>
      </c>
      <c r="G530" s="8">
        <v>1550</v>
      </c>
      <c r="H530" s="8">
        <f>+IF(BDAlquilerDepartamentos[[#This Row],[Ciudad]]="Lima",BDAlquilerDepartamentos[[#This Row],[Prec. Soles]]*0.1,BDAlquilerDepartamentos[[#This Row],[Prec. Soles]]*0.05)</f>
        <v>155</v>
      </c>
      <c r="I530" s="4">
        <v>3</v>
      </c>
      <c r="J530" s="4">
        <v>2</v>
      </c>
      <c r="K530" s="4" t="s">
        <v>3095</v>
      </c>
      <c r="L530" s="4" t="s">
        <v>3096</v>
      </c>
      <c r="M530" s="4">
        <v>93</v>
      </c>
      <c r="N530" s="4">
        <v>2011</v>
      </c>
      <c r="O530" s="4" t="str">
        <f>+IF(BDAlquilerDepartamentos[[#This Row],[Prec. Soles]]&gt;2500,"Caro","Economico")</f>
        <v>Economico</v>
      </c>
      <c r="P530" s="4" t="str">
        <f>+IF(AND(BDAlquilerDepartamentos[[#This Row],[N° de Dorm.]]&gt; 3,BDAlquilerDepartamentos[[#This Row],[Prec. Soles]]&lt;= 2500),"Buena Oferta", "Precio Estadar")</f>
        <v>Precio Estadar</v>
      </c>
      <c r="Q530" t="s">
        <v>1101</v>
      </c>
      <c r="R530" t="s">
        <v>1102</v>
      </c>
      <c r="S530" s="11">
        <v>45642</v>
      </c>
      <c r="T530" t="s">
        <v>2860</v>
      </c>
      <c r="U530" t="s">
        <v>1880</v>
      </c>
    </row>
    <row r="531" spans="2:21" x14ac:dyDescent="0.3">
      <c r="B531" t="s">
        <v>1881</v>
      </c>
      <c r="C531" t="s">
        <v>2679</v>
      </c>
      <c r="D531" t="s">
        <v>2422</v>
      </c>
      <c r="E531" t="s">
        <v>2580</v>
      </c>
      <c r="F531" t="s">
        <v>2580</v>
      </c>
      <c r="G531" s="8">
        <v>9250</v>
      </c>
      <c r="H531" s="8">
        <f>+IF(BDAlquilerDepartamentos[[#This Row],[Ciudad]]="Lima",BDAlquilerDepartamentos[[#This Row],[Prec. Soles]]*0.1,BDAlquilerDepartamentos[[#This Row],[Prec. Soles]]*0.05)</f>
        <v>925</v>
      </c>
      <c r="I531" s="4">
        <v>4</v>
      </c>
      <c r="J531" s="4">
        <v>4</v>
      </c>
      <c r="K531" s="4" t="s">
        <v>3095</v>
      </c>
      <c r="L531" s="4" t="s">
        <v>3095</v>
      </c>
      <c r="M531" s="4">
        <v>217</v>
      </c>
      <c r="N531" s="4">
        <v>2003</v>
      </c>
      <c r="O531" s="4" t="str">
        <f>+IF(BDAlquilerDepartamentos[[#This Row],[Prec. Soles]]&gt;2500,"Caro","Economico")</f>
        <v>Caro</v>
      </c>
      <c r="P531" s="4" t="str">
        <f>+IF(AND(BDAlquilerDepartamentos[[#This Row],[N° de Dorm.]]&gt; 3,BDAlquilerDepartamentos[[#This Row],[Prec. Soles]]&lt;= 2500),"Buena Oferta", "Precio Estadar")</f>
        <v>Precio Estadar</v>
      </c>
      <c r="Q531" t="s">
        <v>1101</v>
      </c>
      <c r="R531" t="s">
        <v>1102</v>
      </c>
      <c r="S531" s="11">
        <v>45467</v>
      </c>
      <c r="T531" t="s">
        <v>3002</v>
      </c>
      <c r="U531" t="s">
        <v>1882</v>
      </c>
    </row>
    <row r="532" spans="2:21" x14ac:dyDescent="0.3">
      <c r="B532" t="s">
        <v>1883</v>
      </c>
      <c r="C532" t="s">
        <v>2621</v>
      </c>
      <c r="D532" t="s">
        <v>2689</v>
      </c>
      <c r="E532" t="s">
        <v>3129</v>
      </c>
      <c r="F532" t="s">
        <v>3129</v>
      </c>
      <c r="G532" s="8">
        <v>6290</v>
      </c>
      <c r="H532" s="8">
        <f>+IF(BDAlquilerDepartamentos[[#This Row],[Ciudad]]="Lima",BDAlquilerDepartamentos[[#This Row],[Prec. Soles]]*0.1,BDAlquilerDepartamentos[[#This Row],[Prec. Soles]]*0.05)</f>
        <v>314.5</v>
      </c>
      <c r="I532" s="4">
        <v>4</v>
      </c>
      <c r="J532" s="4">
        <v>3</v>
      </c>
      <c r="K532" s="4" t="s">
        <v>3096</v>
      </c>
      <c r="L532" s="4" t="s">
        <v>3096</v>
      </c>
      <c r="M532" s="4">
        <v>220</v>
      </c>
      <c r="N532" s="4">
        <v>2009</v>
      </c>
      <c r="O532" s="4" t="str">
        <f>+IF(BDAlquilerDepartamentos[[#This Row],[Prec. Soles]]&gt;2500,"Caro","Economico")</f>
        <v>Caro</v>
      </c>
      <c r="P532" s="4" t="str">
        <f>+IF(AND(BDAlquilerDepartamentos[[#This Row],[N° de Dorm.]]&gt; 3,BDAlquilerDepartamentos[[#This Row],[Prec. Soles]]&lt;= 2500),"Buena Oferta", "Precio Estadar")</f>
        <v>Precio Estadar</v>
      </c>
      <c r="Q532" t="s">
        <v>1113</v>
      </c>
      <c r="R532" t="s">
        <v>1102</v>
      </c>
      <c r="S532" s="11">
        <v>45430</v>
      </c>
      <c r="T532" t="s">
        <v>2937</v>
      </c>
      <c r="U532" t="s">
        <v>1884</v>
      </c>
    </row>
    <row r="533" spans="2:21" x14ac:dyDescent="0.3">
      <c r="B533" t="s">
        <v>1199</v>
      </c>
      <c r="C533" t="s">
        <v>2606</v>
      </c>
      <c r="D533" t="s">
        <v>2689</v>
      </c>
      <c r="E533" t="s">
        <v>3129</v>
      </c>
      <c r="F533" t="s">
        <v>3129</v>
      </c>
      <c r="G533" s="8">
        <v>4440</v>
      </c>
      <c r="H533" s="8">
        <f>+IF(BDAlquilerDepartamentos[[#This Row],[Ciudad]]="Lima",BDAlquilerDepartamentos[[#This Row],[Prec. Soles]]*0.1,BDAlquilerDepartamentos[[#This Row],[Prec. Soles]]*0.05)</f>
        <v>222</v>
      </c>
      <c r="I533" s="4">
        <v>3</v>
      </c>
      <c r="J533" s="4">
        <v>3</v>
      </c>
      <c r="K533" s="4" t="s">
        <v>3096</v>
      </c>
      <c r="L533" s="4" t="s">
        <v>3096</v>
      </c>
      <c r="M533" s="4">
        <v>110</v>
      </c>
      <c r="N533" s="4">
        <v>2013</v>
      </c>
      <c r="O533" s="4" t="str">
        <f>+IF(BDAlquilerDepartamentos[[#This Row],[Prec. Soles]]&gt;2500,"Caro","Economico")</f>
        <v>Caro</v>
      </c>
      <c r="P533" s="4" t="str">
        <f>+IF(AND(BDAlquilerDepartamentos[[#This Row],[N° de Dorm.]]&gt; 3,BDAlquilerDepartamentos[[#This Row],[Prec. Soles]]&lt;= 2500),"Buena Oferta", "Precio Estadar")</f>
        <v>Precio Estadar</v>
      </c>
      <c r="Q533" t="s">
        <v>1101</v>
      </c>
      <c r="R533" t="s">
        <v>1102</v>
      </c>
      <c r="S533" s="11">
        <v>45482</v>
      </c>
      <c r="T533" t="s">
        <v>2937</v>
      </c>
      <c r="U533" t="s">
        <v>1885</v>
      </c>
    </row>
    <row r="534" spans="2:21" x14ac:dyDescent="0.3">
      <c r="B534" t="s">
        <v>1717</v>
      </c>
      <c r="C534" t="s">
        <v>2635</v>
      </c>
      <c r="D534" t="s">
        <v>2580</v>
      </c>
      <c r="E534" t="s">
        <v>2580</v>
      </c>
      <c r="F534" t="s">
        <v>2580</v>
      </c>
      <c r="G534" s="8">
        <v>2405</v>
      </c>
      <c r="H534" s="8">
        <f>+IF(BDAlquilerDepartamentos[[#This Row],[Ciudad]]="Lima",BDAlquilerDepartamentos[[#This Row],[Prec. Soles]]*0.1,BDAlquilerDepartamentos[[#This Row],[Prec. Soles]]*0.05)</f>
        <v>240.5</v>
      </c>
      <c r="I534" s="4">
        <v>1</v>
      </c>
      <c r="J534" s="4">
        <v>1</v>
      </c>
      <c r="K534" s="4" t="s">
        <v>3096</v>
      </c>
      <c r="L534" s="4" t="s">
        <v>3096</v>
      </c>
      <c r="M534" s="4">
        <v>55</v>
      </c>
      <c r="N534" s="4">
        <v>2012</v>
      </c>
      <c r="O534" s="4" t="str">
        <f>+IF(BDAlquilerDepartamentos[[#This Row],[Prec. Soles]]&gt;2500,"Caro","Economico")</f>
        <v>Economico</v>
      </c>
      <c r="P534" s="4" t="str">
        <f>+IF(AND(BDAlquilerDepartamentos[[#This Row],[N° de Dorm.]]&gt; 3,BDAlquilerDepartamentos[[#This Row],[Prec. Soles]]&lt;= 2500),"Buena Oferta", "Precio Estadar")</f>
        <v>Precio Estadar</v>
      </c>
      <c r="Q534" t="s">
        <v>1101</v>
      </c>
      <c r="R534" t="s">
        <v>1102</v>
      </c>
      <c r="S534" s="11">
        <v>45149</v>
      </c>
      <c r="T534" t="s">
        <v>2958</v>
      </c>
      <c r="U534" t="s">
        <v>1886</v>
      </c>
    </row>
    <row r="535" spans="2:21" x14ac:dyDescent="0.3">
      <c r="B535" t="s">
        <v>3159</v>
      </c>
      <c r="C535" t="s">
        <v>3160</v>
      </c>
      <c r="D535" t="s">
        <v>2527</v>
      </c>
      <c r="E535" t="s">
        <v>2580</v>
      </c>
      <c r="F535" t="s">
        <v>2580</v>
      </c>
      <c r="G535" s="8">
        <v>1400</v>
      </c>
      <c r="H535" s="8">
        <f>+IF(BDAlquilerDepartamentos[[#This Row],[Ciudad]]="Lima",BDAlquilerDepartamentos[[#This Row],[Prec. Soles]]*0.1,BDAlquilerDepartamentos[[#This Row],[Prec. Soles]]*0.05)</f>
        <v>140</v>
      </c>
      <c r="I535" s="4">
        <v>2</v>
      </c>
      <c r="J535" s="4">
        <v>2</v>
      </c>
      <c r="K535" s="4" t="s">
        <v>3096</v>
      </c>
      <c r="L535" s="4" t="s">
        <v>3095</v>
      </c>
      <c r="M535" s="4">
        <v>110</v>
      </c>
      <c r="N535" s="4">
        <v>2016</v>
      </c>
      <c r="O535" s="4" t="str">
        <f>+IF(BDAlquilerDepartamentos[[#This Row],[Prec. Soles]]&gt;2500,"Caro","Economico")</f>
        <v>Economico</v>
      </c>
      <c r="P535" s="4" t="str">
        <f>+IF(AND(BDAlquilerDepartamentos[[#This Row],[N° de Dorm.]]&gt; 3,BDAlquilerDepartamentos[[#This Row],[Prec. Soles]]&lt;= 2500),"Buena Oferta", "Precio Estadar")</f>
        <v>Precio Estadar</v>
      </c>
      <c r="Q535" t="s">
        <v>1101</v>
      </c>
      <c r="R535" t="s">
        <v>1102</v>
      </c>
      <c r="S535" s="11">
        <v>45333</v>
      </c>
      <c r="T535" t="s">
        <v>2832</v>
      </c>
      <c r="U535" t="s">
        <v>1888</v>
      </c>
    </row>
    <row r="536" spans="2:21" x14ac:dyDescent="0.3">
      <c r="B536" t="s">
        <v>1889</v>
      </c>
      <c r="C536" t="s">
        <v>2680</v>
      </c>
      <c r="D536" t="s">
        <v>2463</v>
      </c>
      <c r="E536" t="s">
        <v>2580</v>
      </c>
      <c r="F536" t="s">
        <v>2580</v>
      </c>
      <c r="G536" s="8">
        <v>1400</v>
      </c>
      <c r="H536" s="8">
        <f>+IF(BDAlquilerDepartamentos[[#This Row],[Ciudad]]="Lima",BDAlquilerDepartamentos[[#This Row],[Prec. Soles]]*0.1,BDAlquilerDepartamentos[[#This Row],[Prec. Soles]]*0.05)</f>
        <v>140</v>
      </c>
      <c r="I536" s="4">
        <v>2</v>
      </c>
      <c r="J536" s="4">
        <v>2</v>
      </c>
      <c r="K536" s="4" t="s">
        <v>3096</v>
      </c>
      <c r="L536" s="4" t="s">
        <v>3095</v>
      </c>
      <c r="M536" s="4">
        <v>70</v>
      </c>
      <c r="N536" s="4">
        <v>2018</v>
      </c>
      <c r="O536" s="4" t="str">
        <f>+IF(BDAlquilerDepartamentos[[#This Row],[Prec. Soles]]&gt;2500,"Caro","Economico")</f>
        <v>Economico</v>
      </c>
      <c r="P536" s="4" t="str">
        <f>+IF(AND(BDAlquilerDepartamentos[[#This Row],[N° de Dorm.]]&gt; 3,BDAlquilerDepartamentos[[#This Row],[Prec. Soles]]&lt;= 2500),"Buena Oferta", "Precio Estadar")</f>
        <v>Precio Estadar</v>
      </c>
      <c r="Q536" t="s">
        <v>1101</v>
      </c>
      <c r="R536" t="s">
        <v>1102</v>
      </c>
      <c r="S536" s="11">
        <v>45633</v>
      </c>
      <c r="T536" t="s">
        <v>3005</v>
      </c>
      <c r="U536" t="s">
        <v>1890</v>
      </c>
    </row>
    <row r="537" spans="2:21" x14ac:dyDescent="0.3">
      <c r="B537" t="s">
        <v>1883</v>
      </c>
      <c r="C537" t="s">
        <v>2621</v>
      </c>
      <c r="D537" t="s">
        <v>2689</v>
      </c>
      <c r="E537" t="s">
        <v>3129</v>
      </c>
      <c r="F537" t="s">
        <v>3129</v>
      </c>
      <c r="G537" s="8">
        <v>5000</v>
      </c>
      <c r="H537" s="8">
        <f>+IF(BDAlquilerDepartamentos[[#This Row],[Ciudad]]="Lima",BDAlquilerDepartamentos[[#This Row],[Prec. Soles]]*0.1,BDAlquilerDepartamentos[[#This Row],[Prec. Soles]]*0.05)</f>
        <v>250</v>
      </c>
      <c r="I537" s="4">
        <v>3</v>
      </c>
      <c r="J537" s="4">
        <v>3</v>
      </c>
      <c r="K537" s="4" t="s">
        <v>3096</v>
      </c>
      <c r="L537" s="4" t="s">
        <v>3096</v>
      </c>
      <c r="N537" s="4">
        <v>2011</v>
      </c>
      <c r="O537" s="4" t="str">
        <f>+IF(BDAlquilerDepartamentos[[#This Row],[Prec. Soles]]&gt;2500,"Caro","Economico")</f>
        <v>Caro</v>
      </c>
      <c r="P537" s="4" t="str">
        <f>+IF(AND(BDAlquilerDepartamentos[[#This Row],[N° de Dorm.]]&gt; 3,BDAlquilerDepartamentos[[#This Row],[Prec. Soles]]&lt;= 2500),"Buena Oferta", "Precio Estadar")</f>
        <v>Precio Estadar</v>
      </c>
      <c r="Q537" t="s">
        <v>1113</v>
      </c>
      <c r="R537" t="s">
        <v>1102</v>
      </c>
      <c r="S537" s="11">
        <v>45117</v>
      </c>
      <c r="T537" t="s">
        <v>2937</v>
      </c>
      <c r="U537" t="s">
        <v>1891</v>
      </c>
    </row>
    <row r="538" spans="2:21" x14ac:dyDescent="0.3">
      <c r="B538" t="s">
        <v>1892</v>
      </c>
      <c r="C538" t="s">
        <v>2681</v>
      </c>
      <c r="D538" t="s">
        <v>3098</v>
      </c>
      <c r="E538" t="s">
        <v>2580</v>
      </c>
      <c r="F538" t="s">
        <v>2580</v>
      </c>
      <c r="G538" s="8">
        <v>1000</v>
      </c>
      <c r="H538" s="8">
        <f>+IF(BDAlquilerDepartamentos[[#This Row],[Ciudad]]="Lima",BDAlquilerDepartamentos[[#This Row],[Prec. Soles]]*0.1,BDAlquilerDepartamentos[[#This Row],[Prec. Soles]]*0.05)</f>
        <v>100</v>
      </c>
      <c r="I538" s="4">
        <v>3</v>
      </c>
      <c r="J538" s="4">
        <v>2</v>
      </c>
      <c r="K538" s="4" t="s">
        <v>3096</v>
      </c>
      <c r="L538" s="4" t="s">
        <v>3095</v>
      </c>
      <c r="M538" s="4">
        <v>90</v>
      </c>
      <c r="N538" s="4">
        <v>2009</v>
      </c>
      <c r="O538" s="4" t="str">
        <f>+IF(BDAlquilerDepartamentos[[#This Row],[Prec. Soles]]&gt;2500,"Caro","Economico")</f>
        <v>Economico</v>
      </c>
      <c r="P538" s="4" t="str">
        <f>+IF(AND(BDAlquilerDepartamentos[[#This Row],[N° de Dorm.]]&gt; 3,BDAlquilerDepartamentos[[#This Row],[Prec. Soles]]&lt;= 2500),"Buena Oferta", "Precio Estadar")</f>
        <v>Precio Estadar</v>
      </c>
      <c r="Q538" t="s">
        <v>1101</v>
      </c>
      <c r="R538" t="s">
        <v>1102</v>
      </c>
      <c r="S538" s="11">
        <v>45451</v>
      </c>
      <c r="T538" t="s">
        <v>2833</v>
      </c>
      <c r="U538" t="s">
        <v>1893</v>
      </c>
    </row>
    <row r="539" spans="2:21" x14ac:dyDescent="0.3">
      <c r="B539" t="s">
        <v>1106</v>
      </c>
      <c r="C539" t="s">
        <v>2417</v>
      </c>
      <c r="D539" t="s">
        <v>2436</v>
      </c>
      <c r="E539" t="s">
        <v>2580</v>
      </c>
      <c r="F539" t="s">
        <v>2580</v>
      </c>
      <c r="G539" s="8">
        <v>8140</v>
      </c>
      <c r="H539" s="8">
        <f>+IF(BDAlquilerDepartamentos[[#This Row],[Ciudad]]="Lima",BDAlquilerDepartamentos[[#This Row],[Prec. Soles]]*0.1,BDAlquilerDepartamentos[[#This Row],[Prec. Soles]]*0.05)</f>
        <v>814</v>
      </c>
      <c r="I539" s="4">
        <v>3</v>
      </c>
      <c r="J539" s="4">
        <v>3</v>
      </c>
      <c r="K539" s="4" t="s">
        <v>3095</v>
      </c>
      <c r="L539" s="4" t="s">
        <v>3095</v>
      </c>
      <c r="M539" s="4">
        <v>332</v>
      </c>
      <c r="N539" s="4">
        <v>2017</v>
      </c>
      <c r="O539" s="4" t="str">
        <f>+IF(BDAlquilerDepartamentos[[#This Row],[Prec. Soles]]&gt;2500,"Caro","Economico")</f>
        <v>Caro</v>
      </c>
      <c r="P539" s="4" t="str">
        <f>+IF(AND(BDAlquilerDepartamentos[[#This Row],[N° de Dorm.]]&gt; 3,BDAlquilerDepartamentos[[#This Row],[Prec. Soles]]&lt;= 2500),"Buena Oferta", "Precio Estadar")</f>
        <v>Precio Estadar</v>
      </c>
      <c r="Q539" t="s">
        <v>1101</v>
      </c>
      <c r="R539" t="s">
        <v>1102</v>
      </c>
      <c r="S539" s="11">
        <v>45578</v>
      </c>
      <c r="T539" t="s">
        <v>3157</v>
      </c>
      <c r="U539" t="s">
        <v>1894</v>
      </c>
    </row>
    <row r="540" spans="2:21" x14ac:dyDescent="0.3">
      <c r="B540" t="s">
        <v>1895</v>
      </c>
      <c r="C540" t="s">
        <v>2682</v>
      </c>
      <c r="D540" t="s">
        <v>2463</v>
      </c>
      <c r="E540" t="s">
        <v>2580</v>
      </c>
      <c r="F540" t="s">
        <v>2580</v>
      </c>
      <c r="G540" s="8">
        <v>1800</v>
      </c>
      <c r="H540" s="8">
        <f>+IF(BDAlquilerDepartamentos[[#This Row],[Ciudad]]="Lima",BDAlquilerDepartamentos[[#This Row],[Prec. Soles]]*0.1,BDAlquilerDepartamentos[[#This Row],[Prec. Soles]]*0.05)</f>
        <v>180</v>
      </c>
      <c r="I540" s="4">
        <v>2</v>
      </c>
      <c r="J540" s="4">
        <v>2</v>
      </c>
      <c r="K540" s="4" t="s">
        <v>3096</v>
      </c>
      <c r="L540" s="4" t="s">
        <v>3096</v>
      </c>
      <c r="M540" s="4">
        <v>69</v>
      </c>
      <c r="N540" s="4">
        <v>2017</v>
      </c>
      <c r="O540" s="4" t="str">
        <f>+IF(BDAlquilerDepartamentos[[#This Row],[Prec. Soles]]&gt;2500,"Caro","Economico")</f>
        <v>Economico</v>
      </c>
      <c r="P540" s="4" t="str">
        <f>+IF(AND(BDAlquilerDepartamentos[[#This Row],[N° de Dorm.]]&gt; 3,BDAlquilerDepartamentos[[#This Row],[Prec. Soles]]&lt;= 2500),"Buena Oferta", "Precio Estadar")</f>
        <v>Precio Estadar</v>
      </c>
      <c r="Q540" t="s">
        <v>1101</v>
      </c>
      <c r="R540" t="s">
        <v>1102</v>
      </c>
      <c r="S540" s="11">
        <v>45340</v>
      </c>
      <c r="T540" t="s">
        <v>2833</v>
      </c>
      <c r="U540" t="s">
        <v>1896</v>
      </c>
    </row>
    <row r="541" spans="2:21" x14ac:dyDescent="0.3">
      <c r="B541" t="s">
        <v>1133</v>
      </c>
      <c r="C541" t="s">
        <v>2437</v>
      </c>
      <c r="D541" t="s">
        <v>2436</v>
      </c>
      <c r="E541" t="s">
        <v>2580</v>
      </c>
      <c r="F541" t="s">
        <v>2580</v>
      </c>
      <c r="G541" s="8">
        <v>5550</v>
      </c>
      <c r="H541" s="8">
        <f>+IF(BDAlquilerDepartamentos[[#This Row],[Ciudad]]="Lima",BDAlquilerDepartamentos[[#This Row],[Prec. Soles]]*0.1,BDAlquilerDepartamentos[[#This Row],[Prec. Soles]]*0.05)</f>
        <v>555</v>
      </c>
      <c r="I541" s="4">
        <v>3</v>
      </c>
      <c r="J541" s="4">
        <v>3</v>
      </c>
      <c r="K541" s="4" t="s">
        <v>3095</v>
      </c>
      <c r="L541" s="4" t="s">
        <v>3095</v>
      </c>
      <c r="M541" s="4">
        <v>155</v>
      </c>
      <c r="N541" s="4">
        <v>2015</v>
      </c>
      <c r="O541" s="4" t="str">
        <f>+IF(BDAlquilerDepartamentos[[#This Row],[Prec. Soles]]&gt;2500,"Caro","Economico")</f>
        <v>Caro</v>
      </c>
      <c r="P541" s="4" t="str">
        <f>+IF(AND(BDAlquilerDepartamentos[[#This Row],[N° de Dorm.]]&gt; 3,BDAlquilerDepartamentos[[#This Row],[Prec. Soles]]&lt;= 2500),"Buena Oferta", "Precio Estadar")</f>
        <v>Precio Estadar</v>
      </c>
      <c r="Q541" t="s">
        <v>1101</v>
      </c>
      <c r="R541" t="s">
        <v>1102</v>
      </c>
      <c r="S541" s="11">
        <v>44939</v>
      </c>
      <c r="T541" t="s">
        <v>3006</v>
      </c>
      <c r="U541" t="s">
        <v>1897</v>
      </c>
    </row>
    <row r="542" spans="2:21" x14ac:dyDescent="0.3">
      <c r="B542" t="s">
        <v>1191</v>
      </c>
      <c r="C542" t="s">
        <v>2466</v>
      </c>
      <c r="D542" t="s">
        <v>2436</v>
      </c>
      <c r="E542" t="s">
        <v>2580</v>
      </c>
      <c r="F542" t="s">
        <v>2580</v>
      </c>
      <c r="G542" s="8">
        <v>2405</v>
      </c>
      <c r="H542" s="8">
        <f>+IF(BDAlquilerDepartamentos[[#This Row],[Ciudad]]="Lima",BDAlquilerDepartamentos[[#This Row],[Prec. Soles]]*0.1,BDAlquilerDepartamentos[[#This Row],[Prec. Soles]]*0.05)</f>
        <v>240.5</v>
      </c>
      <c r="I542" s="4">
        <v>2</v>
      </c>
      <c r="J542" s="4">
        <v>2</v>
      </c>
      <c r="K542" s="4" t="s">
        <v>3095</v>
      </c>
      <c r="L542" s="4" t="s">
        <v>3095</v>
      </c>
      <c r="M542" s="4">
        <v>80</v>
      </c>
      <c r="N542" s="4">
        <v>2006</v>
      </c>
      <c r="O542" s="4" t="str">
        <f>+IF(BDAlquilerDepartamentos[[#This Row],[Prec. Soles]]&gt;2500,"Caro","Economico")</f>
        <v>Economico</v>
      </c>
      <c r="P542" s="4" t="str">
        <f>+IF(AND(BDAlquilerDepartamentos[[#This Row],[N° de Dorm.]]&gt; 3,BDAlquilerDepartamentos[[#This Row],[Prec. Soles]]&lt;= 2500),"Buena Oferta", "Precio Estadar")</f>
        <v>Precio Estadar</v>
      </c>
      <c r="Q542" t="s">
        <v>1101</v>
      </c>
      <c r="R542" t="s">
        <v>1102</v>
      </c>
      <c r="S542" s="11">
        <v>45000</v>
      </c>
      <c r="T542" t="s">
        <v>2828</v>
      </c>
      <c r="U542" t="s">
        <v>1898</v>
      </c>
    </row>
    <row r="543" spans="2:21" x14ac:dyDescent="0.3">
      <c r="B543" t="s">
        <v>1191</v>
      </c>
      <c r="C543" t="s">
        <v>2466</v>
      </c>
      <c r="D543" t="s">
        <v>2436</v>
      </c>
      <c r="E543" t="s">
        <v>2580</v>
      </c>
      <c r="F543" t="s">
        <v>2580</v>
      </c>
      <c r="G543" s="8">
        <v>2400</v>
      </c>
      <c r="H543" s="8">
        <f>+IF(BDAlquilerDepartamentos[[#This Row],[Ciudad]]="Lima",BDAlquilerDepartamentos[[#This Row],[Prec. Soles]]*0.1,BDAlquilerDepartamentos[[#This Row],[Prec. Soles]]*0.05)</f>
        <v>240</v>
      </c>
      <c r="I543" s="4">
        <v>2</v>
      </c>
      <c r="J543" s="4">
        <v>2</v>
      </c>
      <c r="K543" s="4" t="s">
        <v>3095</v>
      </c>
      <c r="L543" s="4" t="s">
        <v>3095</v>
      </c>
      <c r="M543" s="4">
        <v>90</v>
      </c>
      <c r="N543" s="4">
        <v>2009</v>
      </c>
      <c r="O543" s="4" t="str">
        <f>+IF(BDAlquilerDepartamentos[[#This Row],[Prec. Soles]]&gt;2500,"Caro","Economico")</f>
        <v>Economico</v>
      </c>
      <c r="P543" s="4" t="str">
        <f>+IF(AND(BDAlquilerDepartamentos[[#This Row],[N° de Dorm.]]&gt; 3,BDAlquilerDepartamentos[[#This Row],[Prec. Soles]]&lt;= 2500),"Buena Oferta", "Precio Estadar")</f>
        <v>Precio Estadar</v>
      </c>
      <c r="Q543" t="s">
        <v>1101</v>
      </c>
      <c r="R543" t="s">
        <v>1102</v>
      </c>
      <c r="S543" s="11">
        <v>45349</v>
      </c>
      <c r="T543" t="s">
        <v>2947</v>
      </c>
      <c r="U543" t="s">
        <v>1899</v>
      </c>
    </row>
    <row r="544" spans="2:21" x14ac:dyDescent="0.3">
      <c r="B544" t="s">
        <v>1900</v>
      </c>
      <c r="C544" t="s">
        <v>2683</v>
      </c>
      <c r="D544" t="s">
        <v>2422</v>
      </c>
      <c r="E544" t="s">
        <v>2580</v>
      </c>
      <c r="F544" t="s">
        <v>2580</v>
      </c>
      <c r="G544" s="8">
        <v>1900</v>
      </c>
      <c r="H544" s="8">
        <f>+IF(BDAlquilerDepartamentos[[#This Row],[Ciudad]]="Lima",BDAlquilerDepartamentos[[#This Row],[Prec. Soles]]*0.1,BDAlquilerDepartamentos[[#This Row],[Prec. Soles]]*0.05)</f>
        <v>190</v>
      </c>
      <c r="I544" s="4">
        <v>1</v>
      </c>
      <c r="J544" s="4">
        <v>1</v>
      </c>
      <c r="K544" s="4" t="s">
        <v>3095</v>
      </c>
      <c r="L544" s="4" t="s">
        <v>3095</v>
      </c>
      <c r="M544" s="4">
        <v>56</v>
      </c>
      <c r="N544" s="4">
        <v>2011</v>
      </c>
      <c r="O544" s="4" t="str">
        <f>+IF(BDAlquilerDepartamentos[[#This Row],[Prec. Soles]]&gt;2500,"Caro","Economico")</f>
        <v>Economico</v>
      </c>
      <c r="P544" s="4" t="str">
        <f>+IF(AND(BDAlquilerDepartamentos[[#This Row],[N° de Dorm.]]&gt; 3,BDAlquilerDepartamentos[[#This Row],[Prec. Soles]]&lt;= 2500),"Buena Oferta", "Precio Estadar")</f>
        <v>Precio Estadar</v>
      </c>
      <c r="Q544" t="s">
        <v>1101</v>
      </c>
      <c r="R544" t="s">
        <v>1102</v>
      </c>
      <c r="S544" s="11">
        <v>45230</v>
      </c>
      <c r="T544" t="s">
        <v>2843</v>
      </c>
      <c r="U544" t="s">
        <v>1901</v>
      </c>
    </row>
    <row r="545" spans="2:21" x14ac:dyDescent="0.3">
      <c r="B545" t="s">
        <v>1154</v>
      </c>
      <c r="C545" t="s">
        <v>2448</v>
      </c>
      <c r="D545" t="s">
        <v>2452</v>
      </c>
      <c r="E545" t="s">
        <v>2580</v>
      </c>
      <c r="F545" t="s">
        <v>2580</v>
      </c>
      <c r="G545" s="8">
        <v>3700</v>
      </c>
      <c r="H545" s="8">
        <f>+IF(BDAlquilerDepartamentos[[#This Row],[Ciudad]]="Lima",BDAlquilerDepartamentos[[#This Row],[Prec. Soles]]*0.1,BDAlquilerDepartamentos[[#This Row],[Prec. Soles]]*0.05)</f>
        <v>370</v>
      </c>
      <c r="I545" s="4">
        <v>3</v>
      </c>
      <c r="J545" s="4">
        <v>2</v>
      </c>
      <c r="K545" s="4" t="s">
        <v>3095</v>
      </c>
      <c r="L545" s="4" t="s">
        <v>3096</v>
      </c>
      <c r="M545" s="4">
        <v>111</v>
      </c>
      <c r="N545" s="4">
        <v>2005</v>
      </c>
      <c r="O545" s="4" t="str">
        <f>+IF(BDAlquilerDepartamentos[[#This Row],[Prec. Soles]]&gt;2500,"Caro","Economico")</f>
        <v>Caro</v>
      </c>
      <c r="P545" s="4" t="str">
        <f>+IF(AND(BDAlquilerDepartamentos[[#This Row],[N° de Dorm.]]&gt; 3,BDAlquilerDepartamentos[[#This Row],[Prec. Soles]]&lt;= 2500),"Buena Oferta", "Precio Estadar")</f>
        <v>Precio Estadar</v>
      </c>
      <c r="Q545" t="s">
        <v>1101</v>
      </c>
      <c r="R545" t="s">
        <v>1102</v>
      </c>
      <c r="S545" s="11">
        <v>45080</v>
      </c>
      <c r="T545" t="s">
        <v>2981</v>
      </c>
      <c r="U545" t="s">
        <v>1902</v>
      </c>
    </row>
    <row r="546" spans="2:21" x14ac:dyDescent="0.3">
      <c r="B546" t="s">
        <v>1903</v>
      </c>
      <c r="C546" t="s">
        <v>2684</v>
      </c>
      <c r="D546" t="s">
        <v>2580</v>
      </c>
      <c r="E546" t="s">
        <v>2580</v>
      </c>
      <c r="F546" t="s">
        <v>2580</v>
      </c>
      <c r="G546" s="8">
        <v>9435</v>
      </c>
      <c r="H546" s="8">
        <f>+IF(BDAlquilerDepartamentos[[#This Row],[Ciudad]]="Lima",BDAlquilerDepartamentos[[#This Row],[Prec. Soles]]*0.1,BDAlquilerDepartamentos[[#This Row],[Prec. Soles]]*0.05)</f>
        <v>943.5</v>
      </c>
      <c r="I546" s="4">
        <v>5</v>
      </c>
      <c r="J546" s="4">
        <v>7</v>
      </c>
      <c r="K546" s="4" t="s">
        <v>3096</v>
      </c>
      <c r="L546" s="4" t="s">
        <v>3096</v>
      </c>
      <c r="M546" s="4">
        <v>393</v>
      </c>
      <c r="N546" s="4">
        <v>2005</v>
      </c>
      <c r="O546" s="4" t="str">
        <f>+IF(BDAlquilerDepartamentos[[#This Row],[Prec. Soles]]&gt;2500,"Caro","Economico")</f>
        <v>Caro</v>
      </c>
      <c r="P546" s="4" t="str">
        <f>+IF(AND(BDAlquilerDepartamentos[[#This Row],[N° de Dorm.]]&gt; 3,BDAlquilerDepartamentos[[#This Row],[Prec. Soles]]&lt;= 2500),"Buena Oferta", "Precio Estadar")</f>
        <v>Precio Estadar</v>
      </c>
      <c r="Q546" t="s">
        <v>1101</v>
      </c>
      <c r="R546" t="s">
        <v>1102</v>
      </c>
      <c r="S546" s="11">
        <v>45001</v>
      </c>
      <c r="T546" t="s">
        <v>2878</v>
      </c>
      <c r="U546" t="s">
        <v>1904</v>
      </c>
    </row>
    <row r="547" spans="2:21" x14ac:dyDescent="0.3">
      <c r="B547" t="s">
        <v>1139</v>
      </c>
      <c r="C547" t="s">
        <v>2439</v>
      </c>
      <c r="D547" t="s">
        <v>2428</v>
      </c>
      <c r="E547" t="s">
        <v>2580</v>
      </c>
      <c r="F547" t="s">
        <v>2580</v>
      </c>
      <c r="G547" s="8">
        <v>4440</v>
      </c>
      <c r="H547" s="8">
        <f>+IF(BDAlquilerDepartamentos[[#This Row],[Ciudad]]="Lima",BDAlquilerDepartamentos[[#This Row],[Prec. Soles]]*0.1,BDAlquilerDepartamentos[[#This Row],[Prec. Soles]]*0.05)</f>
        <v>444</v>
      </c>
      <c r="I547" s="4">
        <v>3</v>
      </c>
      <c r="J547" s="4">
        <v>2</v>
      </c>
      <c r="K547" s="4" t="s">
        <v>3096</v>
      </c>
      <c r="L547" s="4" t="s">
        <v>3095</v>
      </c>
      <c r="M547" s="4">
        <v>156</v>
      </c>
      <c r="N547" s="4">
        <v>2013</v>
      </c>
      <c r="O547" s="4" t="str">
        <f>+IF(BDAlquilerDepartamentos[[#This Row],[Prec. Soles]]&gt;2500,"Caro","Economico")</f>
        <v>Caro</v>
      </c>
      <c r="P547" s="4" t="str">
        <f>+IF(AND(BDAlquilerDepartamentos[[#This Row],[N° de Dorm.]]&gt; 3,BDAlquilerDepartamentos[[#This Row],[Prec. Soles]]&lt;= 2500),"Buena Oferta", "Precio Estadar")</f>
        <v>Precio Estadar</v>
      </c>
      <c r="Q547" t="s">
        <v>1101</v>
      </c>
      <c r="R547" t="s">
        <v>1102</v>
      </c>
      <c r="S547" s="11">
        <v>45201</v>
      </c>
      <c r="T547" t="s">
        <v>2819</v>
      </c>
      <c r="U547" t="s">
        <v>1905</v>
      </c>
    </row>
    <row r="548" spans="2:21" x14ac:dyDescent="0.3">
      <c r="B548" t="s">
        <v>3102</v>
      </c>
      <c r="C548" t="s">
        <v>2580</v>
      </c>
      <c r="D548" t="s">
        <v>2580</v>
      </c>
      <c r="E548" t="s">
        <v>2580</v>
      </c>
      <c r="F548" t="s">
        <v>2580</v>
      </c>
      <c r="G548" s="8">
        <v>2100</v>
      </c>
      <c r="H548" s="8">
        <f>+IF(BDAlquilerDepartamentos[[#This Row],[Ciudad]]="Lima",BDAlquilerDepartamentos[[#This Row],[Prec. Soles]]*0.1,BDAlquilerDepartamentos[[#This Row],[Prec. Soles]]*0.05)</f>
        <v>210</v>
      </c>
      <c r="I548" s="4">
        <v>3</v>
      </c>
      <c r="J548" s="4">
        <v>2</v>
      </c>
      <c r="K548" s="4" t="s">
        <v>3096</v>
      </c>
      <c r="L548" s="4" t="s">
        <v>3095</v>
      </c>
      <c r="M548" s="4">
        <v>70</v>
      </c>
      <c r="N548" s="4">
        <v>2008</v>
      </c>
      <c r="O548" s="4" t="str">
        <f>+IF(BDAlquilerDepartamentos[[#This Row],[Prec. Soles]]&gt;2500,"Caro","Economico")</f>
        <v>Economico</v>
      </c>
      <c r="P548" s="4" t="str">
        <f>+IF(AND(BDAlquilerDepartamentos[[#This Row],[N° de Dorm.]]&gt; 3,BDAlquilerDepartamentos[[#This Row],[Prec. Soles]]&lt;= 2500),"Buena Oferta", "Precio Estadar")</f>
        <v>Precio Estadar</v>
      </c>
      <c r="Q548" t="s">
        <v>1101</v>
      </c>
      <c r="R548" t="s">
        <v>1102</v>
      </c>
      <c r="S548" s="11">
        <v>45195</v>
      </c>
      <c r="T548" t="s">
        <v>2862</v>
      </c>
      <c r="U548" t="s">
        <v>1906</v>
      </c>
    </row>
    <row r="549" spans="2:21" x14ac:dyDescent="0.3">
      <c r="B549" t="s">
        <v>3113</v>
      </c>
      <c r="C549" t="s">
        <v>3114</v>
      </c>
      <c r="D549" t="s">
        <v>2436</v>
      </c>
      <c r="E549" t="s">
        <v>2580</v>
      </c>
      <c r="F549" t="s">
        <v>2580</v>
      </c>
      <c r="G549" s="8">
        <v>4255</v>
      </c>
      <c r="H549" s="8">
        <f>+IF(BDAlquilerDepartamentos[[#This Row],[Ciudad]]="Lima",BDAlquilerDepartamentos[[#This Row],[Prec. Soles]]*0.1,BDAlquilerDepartamentos[[#This Row],[Prec. Soles]]*0.05)</f>
        <v>425.5</v>
      </c>
      <c r="I549" s="4">
        <v>3</v>
      </c>
      <c r="J549" s="4">
        <v>3</v>
      </c>
      <c r="K549" s="4" t="s">
        <v>3096</v>
      </c>
      <c r="L549" s="4" t="s">
        <v>3095</v>
      </c>
      <c r="M549" s="4">
        <v>155</v>
      </c>
      <c r="N549" s="4">
        <v>2011</v>
      </c>
      <c r="O549" s="4" t="str">
        <f>+IF(BDAlquilerDepartamentos[[#This Row],[Prec. Soles]]&gt;2500,"Caro","Economico")</f>
        <v>Caro</v>
      </c>
      <c r="P549" s="4" t="str">
        <f>+IF(AND(BDAlquilerDepartamentos[[#This Row],[N° de Dorm.]]&gt; 3,BDAlquilerDepartamentos[[#This Row],[Prec. Soles]]&lt;= 2500),"Buena Oferta", "Precio Estadar")</f>
        <v>Precio Estadar</v>
      </c>
      <c r="Q549" t="s">
        <v>1101</v>
      </c>
      <c r="R549" t="s">
        <v>1102</v>
      </c>
      <c r="S549" s="11">
        <v>45015</v>
      </c>
      <c r="T549" t="s">
        <v>2861</v>
      </c>
      <c r="U549" t="s">
        <v>1907</v>
      </c>
    </row>
    <row r="550" spans="2:21" x14ac:dyDescent="0.3">
      <c r="B550" t="s">
        <v>3113</v>
      </c>
      <c r="C550" t="s">
        <v>3114</v>
      </c>
      <c r="D550" t="s">
        <v>2436</v>
      </c>
      <c r="E550" t="s">
        <v>2580</v>
      </c>
      <c r="F550" t="s">
        <v>2580</v>
      </c>
      <c r="G550" s="8">
        <v>277.5</v>
      </c>
      <c r="H550" s="8">
        <f>+IF(BDAlquilerDepartamentos[[#This Row],[Ciudad]]="Lima",BDAlquilerDepartamentos[[#This Row],[Prec. Soles]]*0.1,BDAlquilerDepartamentos[[#This Row],[Prec. Soles]]*0.05)</f>
        <v>27.75</v>
      </c>
      <c r="I550" s="4">
        <v>1</v>
      </c>
      <c r="J550" s="4">
        <v>1</v>
      </c>
      <c r="K550" s="4" t="s">
        <v>3095</v>
      </c>
      <c r="L550" s="4" t="s">
        <v>3096</v>
      </c>
      <c r="M550" s="4">
        <v>50</v>
      </c>
      <c r="N550" s="4">
        <v>2003</v>
      </c>
      <c r="O550" s="4" t="str">
        <f>+IF(BDAlquilerDepartamentos[[#This Row],[Prec. Soles]]&gt;2500,"Caro","Economico")</f>
        <v>Economico</v>
      </c>
      <c r="P550" s="4" t="str">
        <f>+IF(AND(BDAlquilerDepartamentos[[#This Row],[N° de Dorm.]]&gt; 3,BDAlquilerDepartamentos[[#This Row],[Prec. Soles]]&lt;= 2500),"Buena Oferta", "Precio Estadar")</f>
        <v>Precio Estadar</v>
      </c>
      <c r="Q550" t="s">
        <v>1101</v>
      </c>
      <c r="R550" t="s">
        <v>1102</v>
      </c>
      <c r="S550" s="11">
        <v>45468</v>
      </c>
      <c r="T550" t="s">
        <v>2862</v>
      </c>
      <c r="U550" t="s">
        <v>1908</v>
      </c>
    </row>
    <row r="551" spans="2:21" x14ac:dyDescent="0.3">
      <c r="B551" t="s">
        <v>1909</v>
      </c>
      <c r="C551" t="s">
        <v>2685</v>
      </c>
      <c r="D551" t="s">
        <v>2580</v>
      </c>
      <c r="E551" t="s">
        <v>2580</v>
      </c>
      <c r="F551" t="s">
        <v>2580</v>
      </c>
      <c r="G551" s="8">
        <v>3850</v>
      </c>
      <c r="H551" s="8">
        <f>+IF(BDAlquilerDepartamentos[[#This Row],[Ciudad]]="Lima",BDAlquilerDepartamentos[[#This Row],[Prec. Soles]]*0.1,BDAlquilerDepartamentos[[#This Row],[Prec. Soles]]*0.05)</f>
        <v>385</v>
      </c>
      <c r="I551" s="4">
        <v>3</v>
      </c>
      <c r="J551" s="4">
        <v>3</v>
      </c>
      <c r="K551" s="4" t="s">
        <v>3095</v>
      </c>
      <c r="L551" s="4" t="s">
        <v>3096</v>
      </c>
      <c r="M551" s="4">
        <v>114</v>
      </c>
      <c r="N551" s="4">
        <v>2018</v>
      </c>
      <c r="O551" s="4" t="str">
        <f>+IF(BDAlquilerDepartamentos[[#This Row],[Prec. Soles]]&gt;2500,"Caro","Economico")</f>
        <v>Caro</v>
      </c>
      <c r="P551" s="4" t="str">
        <f>+IF(AND(BDAlquilerDepartamentos[[#This Row],[N° de Dorm.]]&gt; 3,BDAlquilerDepartamentos[[#This Row],[Prec. Soles]]&lt;= 2500),"Buena Oferta", "Precio Estadar")</f>
        <v>Precio Estadar</v>
      </c>
      <c r="Q551" t="s">
        <v>1101</v>
      </c>
      <c r="R551" t="s">
        <v>1102</v>
      </c>
      <c r="S551" s="11">
        <v>45145</v>
      </c>
      <c r="T551" t="s">
        <v>2924</v>
      </c>
      <c r="U551" t="s">
        <v>1910</v>
      </c>
    </row>
    <row r="552" spans="2:21" x14ac:dyDescent="0.3">
      <c r="B552" t="s">
        <v>1191</v>
      </c>
      <c r="C552" t="s">
        <v>2466</v>
      </c>
      <c r="D552" t="s">
        <v>2436</v>
      </c>
      <c r="E552" t="s">
        <v>2580</v>
      </c>
      <c r="F552" t="s">
        <v>2580</v>
      </c>
      <c r="G552" s="8">
        <v>4070</v>
      </c>
      <c r="H552" s="8">
        <f>+IF(BDAlquilerDepartamentos[[#This Row],[Ciudad]]="Lima",BDAlquilerDepartamentos[[#This Row],[Prec. Soles]]*0.1,BDAlquilerDepartamentos[[#This Row],[Prec. Soles]]*0.05)</f>
        <v>407</v>
      </c>
      <c r="I552" s="4">
        <v>2</v>
      </c>
      <c r="J552" s="4">
        <v>2</v>
      </c>
      <c r="K552" s="4" t="s">
        <v>3095</v>
      </c>
      <c r="L552" s="4" t="s">
        <v>3095</v>
      </c>
      <c r="M552" s="4">
        <v>100</v>
      </c>
      <c r="N552" s="4">
        <v>2018</v>
      </c>
      <c r="O552" s="4" t="str">
        <f>+IF(BDAlquilerDepartamentos[[#This Row],[Prec. Soles]]&gt;2500,"Caro","Economico")</f>
        <v>Caro</v>
      </c>
      <c r="P552" s="4" t="str">
        <f>+IF(AND(BDAlquilerDepartamentos[[#This Row],[N° de Dorm.]]&gt; 3,BDAlquilerDepartamentos[[#This Row],[Prec. Soles]]&lt;= 2500),"Buena Oferta", "Precio Estadar")</f>
        <v>Precio Estadar</v>
      </c>
      <c r="Q552" t="s">
        <v>1101</v>
      </c>
      <c r="R552" t="s">
        <v>1102</v>
      </c>
      <c r="S552" s="11">
        <v>45227</v>
      </c>
      <c r="T552" t="s">
        <v>3157</v>
      </c>
      <c r="U552" t="s">
        <v>1911</v>
      </c>
    </row>
    <row r="553" spans="2:21" x14ac:dyDescent="0.3">
      <c r="B553" t="s">
        <v>1912</v>
      </c>
      <c r="C553" t="s">
        <v>2686</v>
      </c>
      <c r="D553" t="s">
        <v>2432</v>
      </c>
      <c r="E553" t="s">
        <v>2580</v>
      </c>
      <c r="F553" t="s">
        <v>2580</v>
      </c>
      <c r="G553" s="8">
        <v>1400</v>
      </c>
      <c r="H553" s="8">
        <f>+IF(BDAlquilerDepartamentos[[#This Row],[Ciudad]]="Lima",BDAlquilerDepartamentos[[#This Row],[Prec. Soles]]*0.1,BDAlquilerDepartamentos[[#This Row],[Prec. Soles]]*0.05)</f>
        <v>140</v>
      </c>
      <c r="I553" s="4">
        <v>3</v>
      </c>
      <c r="J553" s="4">
        <v>2</v>
      </c>
      <c r="K553" s="4" t="s">
        <v>3095</v>
      </c>
      <c r="L553" s="4" t="s">
        <v>3096</v>
      </c>
      <c r="M553" s="4">
        <v>86</v>
      </c>
      <c r="N553" s="4">
        <v>2007</v>
      </c>
      <c r="O553" s="4" t="str">
        <f>+IF(BDAlquilerDepartamentos[[#This Row],[Prec. Soles]]&gt;2500,"Caro","Economico")</f>
        <v>Economico</v>
      </c>
      <c r="P553" s="4" t="str">
        <f>+IF(AND(BDAlquilerDepartamentos[[#This Row],[N° de Dorm.]]&gt; 3,BDAlquilerDepartamentos[[#This Row],[Prec. Soles]]&lt;= 2500),"Buena Oferta", "Precio Estadar")</f>
        <v>Precio Estadar</v>
      </c>
      <c r="Q553" t="s">
        <v>1101</v>
      </c>
      <c r="R553" t="s">
        <v>1102</v>
      </c>
      <c r="S553" s="11">
        <v>45529</v>
      </c>
      <c r="T553" t="s">
        <v>2873</v>
      </c>
      <c r="U553" t="s">
        <v>1913</v>
      </c>
    </row>
    <row r="554" spans="2:21" x14ac:dyDescent="0.3">
      <c r="B554" t="s">
        <v>1914</v>
      </c>
      <c r="C554" t="s">
        <v>2687</v>
      </c>
      <c r="D554" t="s">
        <v>2689</v>
      </c>
      <c r="E554" t="s">
        <v>2689</v>
      </c>
      <c r="F554" t="s">
        <v>2689</v>
      </c>
      <c r="G554" s="8">
        <v>5000</v>
      </c>
      <c r="H554" s="8">
        <f>+IF(BDAlquilerDepartamentos[[#This Row],[Ciudad]]="Lima",BDAlquilerDepartamentos[[#This Row],[Prec. Soles]]*0.1,BDAlquilerDepartamentos[[#This Row],[Prec. Soles]]*0.05)</f>
        <v>250</v>
      </c>
      <c r="I554" s="4">
        <v>4</v>
      </c>
      <c r="J554" s="4">
        <v>4</v>
      </c>
      <c r="K554" s="4" t="s">
        <v>3095</v>
      </c>
      <c r="L554" s="4" t="s">
        <v>3096</v>
      </c>
      <c r="M554" s="4">
        <v>330</v>
      </c>
      <c r="N554" s="4">
        <v>2015</v>
      </c>
      <c r="O554" s="4" t="str">
        <f>+IF(BDAlquilerDepartamentos[[#This Row],[Prec. Soles]]&gt;2500,"Caro","Economico")</f>
        <v>Caro</v>
      </c>
      <c r="P554" s="4" t="str">
        <f>+IF(AND(BDAlquilerDepartamentos[[#This Row],[N° de Dorm.]]&gt; 3,BDAlquilerDepartamentos[[#This Row],[Prec. Soles]]&lt;= 2500),"Buena Oferta", "Precio Estadar")</f>
        <v>Precio Estadar</v>
      </c>
      <c r="Q554" t="s">
        <v>1113</v>
      </c>
      <c r="R554" t="s">
        <v>1102</v>
      </c>
      <c r="S554" s="11">
        <v>45011</v>
      </c>
      <c r="T554" t="s">
        <v>2937</v>
      </c>
      <c r="U554" t="s">
        <v>1915</v>
      </c>
    </row>
    <row r="555" spans="2:21" x14ac:dyDescent="0.3">
      <c r="B555" t="s">
        <v>1189</v>
      </c>
      <c r="C555" t="s">
        <v>2465</v>
      </c>
      <c r="D555" t="s">
        <v>2418</v>
      </c>
      <c r="E555" t="s">
        <v>2580</v>
      </c>
      <c r="F555" t="s">
        <v>2580</v>
      </c>
      <c r="G555" s="8">
        <v>11100</v>
      </c>
      <c r="H555" s="8">
        <f>+IF(BDAlquilerDepartamentos[[#This Row],[Ciudad]]="Lima",BDAlquilerDepartamentos[[#This Row],[Prec. Soles]]*0.1,BDAlquilerDepartamentos[[#This Row],[Prec. Soles]]*0.05)</f>
        <v>1110</v>
      </c>
      <c r="I555" s="4">
        <v>4</v>
      </c>
      <c r="J555" s="4">
        <v>3</v>
      </c>
      <c r="K555" s="4" t="s">
        <v>3095</v>
      </c>
      <c r="L555" s="4" t="s">
        <v>3095</v>
      </c>
      <c r="M555" s="4">
        <v>280</v>
      </c>
      <c r="N555" s="4">
        <v>2006</v>
      </c>
      <c r="O555" s="4" t="str">
        <f>+IF(BDAlquilerDepartamentos[[#This Row],[Prec. Soles]]&gt;2500,"Caro","Economico")</f>
        <v>Caro</v>
      </c>
      <c r="P555" s="4" t="str">
        <f>+IF(AND(BDAlquilerDepartamentos[[#This Row],[N° de Dorm.]]&gt; 3,BDAlquilerDepartamentos[[#This Row],[Prec. Soles]]&lt;= 2500),"Buena Oferta", "Precio Estadar")</f>
        <v>Precio Estadar</v>
      </c>
      <c r="Q555" t="s">
        <v>1101</v>
      </c>
      <c r="R555" t="s">
        <v>1102</v>
      </c>
      <c r="S555" s="11">
        <v>45563</v>
      </c>
      <c r="T555" t="s">
        <v>3086</v>
      </c>
      <c r="U555" t="s">
        <v>1916</v>
      </c>
    </row>
    <row r="556" spans="2:21" x14ac:dyDescent="0.3">
      <c r="B556" t="s">
        <v>1118</v>
      </c>
      <c r="C556" t="s">
        <v>2426</v>
      </c>
      <c r="D556" t="s">
        <v>2436</v>
      </c>
      <c r="E556" t="s">
        <v>2580</v>
      </c>
      <c r="F556" t="s">
        <v>2580</v>
      </c>
      <c r="G556" s="8">
        <v>3145</v>
      </c>
      <c r="H556" s="8">
        <f>+IF(BDAlquilerDepartamentos[[#This Row],[Ciudad]]="Lima",BDAlquilerDepartamentos[[#This Row],[Prec. Soles]]*0.1,BDAlquilerDepartamentos[[#This Row],[Prec. Soles]]*0.05)</f>
        <v>314.5</v>
      </c>
      <c r="I556" s="4">
        <v>3</v>
      </c>
      <c r="J556" s="4">
        <v>2</v>
      </c>
      <c r="K556" s="4" t="s">
        <v>3095</v>
      </c>
      <c r="L556" s="4" t="s">
        <v>3095</v>
      </c>
      <c r="M556" s="4">
        <v>95</v>
      </c>
      <c r="N556" s="4">
        <v>2018</v>
      </c>
      <c r="O556" s="4" t="str">
        <f>+IF(BDAlquilerDepartamentos[[#This Row],[Prec. Soles]]&gt;2500,"Caro","Economico")</f>
        <v>Caro</v>
      </c>
      <c r="P556" s="4" t="str">
        <f>+IF(AND(BDAlquilerDepartamentos[[#This Row],[N° de Dorm.]]&gt; 3,BDAlquilerDepartamentos[[#This Row],[Prec. Soles]]&lt;= 2500),"Buena Oferta", "Precio Estadar")</f>
        <v>Precio Estadar</v>
      </c>
      <c r="Q556" t="s">
        <v>1101</v>
      </c>
      <c r="R556" t="s">
        <v>1102</v>
      </c>
      <c r="S556" s="11">
        <v>45192</v>
      </c>
      <c r="T556" t="s">
        <v>3001</v>
      </c>
      <c r="U556" t="s">
        <v>1917</v>
      </c>
    </row>
    <row r="557" spans="2:21" x14ac:dyDescent="0.3">
      <c r="B557" t="s">
        <v>1918</v>
      </c>
      <c r="C557" t="s">
        <v>2688</v>
      </c>
      <c r="D557" t="s">
        <v>2527</v>
      </c>
      <c r="E557" t="s">
        <v>2580</v>
      </c>
      <c r="F557" t="s">
        <v>2580</v>
      </c>
      <c r="G557" s="8">
        <v>1250</v>
      </c>
      <c r="H557" s="8">
        <f>+IF(BDAlquilerDepartamentos[[#This Row],[Ciudad]]="Lima",BDAlquilerDepartamentos[[#This Row],[Prec. Soles]]*0.1,BDAlquilerDepartamentos[[#This Row],[Prec. Soles]]*0.05)</f>
        <v>125</v>
      </c>
      <c r="I557" s="4">
        <v>2</v>
      </c>
      <c r="J557" s="4">
        <v>2</v>
      </c>
      <c r="K557" s="4" t="s">
        <v>3095</v>
      </c>
      <c r="L557" s="4" t="s">
        <v>3095</v>
      </c>
      <c r="M557" s="4">
        <v>76</v>
      </c>
      <c r="N557" s="4">
        <v>2006</v>
      </c>
      <c r="O557" s="4" t="str">
        <f>+IF(BDAlquilerDepartamentos[[#This Row],[Prec. Soles]]&gt;2500,"Caro","Economico")</f>
        <v>Economico</v>
      </c>
      <c r="P557" s="4" t="str">
        <f>+IF(AND(BDAlquilerDepartamentos[[#This Row],[N° de Dorm.]]&gt; 3,BDAlquilerDepartamentos[[#This Row],[Prec. Soles]]&lt;= 2500),"Buena Oferta", "Precio Estadar")</f>
        <v>Precio Estadar</v>
      </c>
      <c r="Q557" t="s">
        <v>1101</v>
      </c>
      <c r="R557" t="s">
        <v>1102</v>
      </c>
      <c r="S557" s="11">
        <v>45448</v>
      </c>
      <c r="T557" t="s">
        <v>2833</v>
      </c>
      <c r="U557" t="s">
        <v>1919</v>
      </c>
    </row>
    <row r="558" spans="2:21" x14ac:dyDescent="0.3">
      <c r="B558" t="s">
        <v>1118</v>
      </c>
      <c r="C558" t="s">
        <v>2426</v>
      </c>
      <c r="D558" t="s">
        <v>2436</v>
      </c>
      <c r="E558" t="s">
        <v>2580</v>
      </c>
      <c r="F558" t="s">
        <v>2580</v>
      </c>
      <c r="G558" s="8">
        <v>7770</v>
      </c>
      <c r="H558" s="8">
        <f>+IF(BDAlquilerDepartamentos[[#This Row],[Ciudad]]="Lima",BDAlquilerDepartamentos[[#This Row],[Prec. Soles]]*0.1,BDAlquilerDepartamentos[[#This Row],[Prec. Soles]]*0.05)</f>
        <v>777</v>
      </c>
      <c r="I558" s="4">
        <v>3</v>
      </c>
      <c r="J558" s="4">
        <v>4</v>
      </c>
      <c r="K558" s="4" t="s">
        <v>3095</v>
      </c>
      <c r="L558" s="4" t="s">
        <v>3096</v>
      </c>
      <c r="M558" s="4">
        <v>267</v>
      </c>
      <c r="N558" s="4">
        <v>2015</v>
      </c>
      <c r="O558" s="4" t="str">
        <f>+IF(BDAlquilerDepartamentos[[#This Row],[Prec. Soles]]&gt;2500,"Caro","Economico")</f>
        <v>Caro</v>
      </c>
      <c r="P558" s="4" t="str">
        <f>+IF(AND(BDAlquilerDepartamentos[[#This Row],[N° de Dorm.]]&gt; 3,BDAlquilerDepartamentos[[#This Row],[Prec. Soles]]&lt;= 2500),"Buena Oferta", "Precio Estadar")</f>
        <v>Precio Estadar</v>
      </c>
      <c r="Q558" t="s">
        <v>1101</v>
      </c>
      <c r="R558" t="s">
        <v>1102</v>
      </c>
      <c r="S558" s="11">
        <v>45156</v>
      </c>
      <c r="T558" t="s">
        <v>2924</v>
      </c>
      <c r="U558" t="s">
        <v>1920</v>
      </c>
    </row>
    <row r="559" spans="2:21" x14ac:dyDescent="0.3">
      <c r="B559" t="s">
        <v>1189</v>
      </c>
      <c r="C559" t="s">
        <v>2465</v>
      </c>
      <c r="D559" t="s">
        <v>2418</v>
      </c>
      <c r="E559" t="s">
        <v>2580</v>
      </c>
      <c r="F559" t="s">
        <v>2580</v>
      </c>
      <c r="G559" s="8">
        <v>2500</v>
      </c>
      <c r="H559" s="8">
        <f>+IF(BDAlquilerDepartamentos[[#This Row],[Ciudad]]="Lima",BDAlquilerDepartamentos[[#This Row],[Prec. Soles]]*0.1,BDAlquilerDepartamentos[[#This Row],[Prec. Soles]]*0.05)</f>
        <v>250</v>
      </c>
      <c r="I559" s="4">
        <v>1</v>
      </c>
      <c r="J559" s="4">
        <v>1</v>
      </c>
      <c r="K559" s="4" t="s">
        <v>3095</v>
      </c>
      <c r="L559" s="4" t="s">
        <v>3095</v>
      </c>
      <c r="M559" s="4">
        <v>44</v>
      </c>
      <c r="N559" s="4">
        <v>2014</v>
      </c>
      <c r="O559" s="4" t="str">
        <f>+IF(BDAlquilerDepartamentos[[#This Row],[Prec. Soles]]&gt;2500,"Caro","Economico")</f>
        <v>Economico</v>
      </c>
      <c r="P559" s="4" t="str">
        <f>+IF(AND(BDAlquilerDepartamentos[[#This Row],[N° de Dorm.]]&gt; 3,BDAlquilerDepartamentos[[#This Row],[Prec. Soles]]&lt;= 2500),"Buena Oferta", "Precio Estadar")</f>
        <v>Precio Estadar</v>
      </c>
      <c r="Q559" t="s">
        <v>1101</v>
      </c>
      <c r="R559" t="s">
        <v>1102</v>
      </c>
      <c r="S559" s="11">
        <v>45154</v>
      </c>
      <c r="T559" t="s">
        <v>3007</v>
      </c>
      <c r="U559" t="s">
        <v>1921</v>
      </c>
    </row>
    <row r="560" spans="2:21" x14ac:dyDescent="0.3">
      <c r="B560" t="s">
        <v>1528</v>
      </c>
      <c r="C560" t="s">
        <v>2586</v>
      </c>
      <c r="D560" t="s">
        <v>2485</v>
      </c>
      <c r="E560" t="s">
        <v>2580</v>
      </c>
      <c r="F560" t="s">
        <v>2580</v>
      </c>
      <c r="G560" s="8">
        <v>1450</v>
      </c>
      <c r="H560" s="8">
        <f>+IF(BDAlquilerDepartamentos[[#This Row],[Ciudad]]="Lima",BDAlquilerDepartamentos[[#This Row],[Prec. Soles]]*0.1,BDAlquilerDepartamentos[[#This Row],[Prec. Soles]]*0.05)</f>
        <v>145</v>
      </c>
      <c r="I560" s="4">
        <v>1</v>
      </c>
      <c r="J560" s="4">
        <v>2</v>
      </c>
      <c r="K560" s="4" t="s">
        <v>3096</v>
      </c>
      <c r="L560" s="4" t="s">
        <v>3096</v>
      </c>
      <c r="M560" s="4">
        <v>60</v>
      </c>
      <c r="N560" s="4">
        <v>2005</v>
      </c>
      <c r="O560" s="4" t="str">
        <f>+IF(BDAlquilerDepartamentos[[#This Row],[Prec. Soles]]&gt;2500,"Caro","Economico")</f>
        <v>Economico</v>
      </c>
      <c r="P560" s="4" t="str">
        <f>+IF(AND(BDAlquilerDepartamentos[[#This Row],[N° de Dorm.]]&gt; 3,BDAlquilerDepartamentos[[#This Row],[Prec. Soles]]&lt;= 2500),"Buena Oferta", "Precio Estadar")</f>
        <v>Precio Estadar</v>
      </c>
      <c r="Q560" t="s">
        <v>1101</v>
      </c>
      <c r="R560" t="s">
        <v>1102</v>
      </c>
      <c r="S560" s="11">
        <v>45050</v>
      </c>
      <c r="T560" t="s">
        <v>2975</v>
      </c>
      <c r="U560" t="s">
        <v>1922</v>
      </c>
    </row>
    <row r="561" spans="2:21" x14ac:dyDescent="0.3">
      <c r="B561" t="s">
        <v>1118</v>
      </c>
      <c r="C561" t="s">
        <v>2426</v>
      </c>
      <c r="D561" t="s">
        <v>2436</v>
      </c>
      <c r="E561" t="s">
        <v>2580</v>
      </c>
      <c r="F561" t="s">
        <v>2580</v>
      </c>
      <c r="G561" s="8">
        <v>3330</v>
      </c>
      <c r="H561" s="8">
        <f>+IF(BDAlquilerDepartamentos[[#This Row],[Ciudad]]="Lima",BDAlquilerDepartamentos[[#This Row],[Prec. Soles]]*0.1,BDAlquilerDepartamentos[[#This Row],[Prec. Soles]]*0.05)</f>
        <v>333</v>
      </c>
      <c r="I561" s="4">
        <v>3</v>
      </c>
      <c r="J561" s="4">
        <v>2</v>
      </c>
      <c r="K561" s="4" t="s">
        <v>3096</v>
      </c>
      <c r="L561" s="4" t="s">
        <v>3095</v>
      </c>
      <c r="M561" s="4">
        <v>120</v>
      </c>
      <c r="N561" s="4">
        <v>2017</v>
      </c>
      <c r="O561" s="4" t="str">
        <f>+IF(BDAlquilerDepartamentos[[#This Row],[Prec. Soles]]&gt;2500,"Caro","Economico")</f>
        <v>Caro</v>
      </c>
      <c r="P561" s="4" t="str">
        <f>+IF(AND(BDAlquilerDepartamentos[[#This Row],[N° de Dorm.]]&gt; 3,BDAlquilerDepartamentos[[#This Row],[Prec. Soles]]&lt;= 2500),"Buena Oferta", "Precio Estadar")</f>
        <v>Precio Estadar</v>
      </c>
      <c r="Q561" t="s">
        <v>1101</v>
      </c>
      <c r="R561" t="s">
        <v>1102</v>
      </c>
      <c r="S561" s="11">
        <v>45154</v>
      </c>
      <c r="T561" t="s">
        <v>2833</v>
      </c>
      <c r="U561" t="s">
        <v>1923</v>
      </c>
    </row>
    <row r="562" spans="2:21" x14ac:dyDescent="0.3">
      <c r="B562" t="s">
        <v>3131</v>
      </c>
      <c r="C562" t="s">
        <v>2689</v>
      </c>
      <c r="D562" t="s">
        <v>2689</v>
      </c>
      <c r="E562" t="s">
        <v>3129</v>
      </c>
      <c r="F562" t="s">
        <v>3129</v>
      </c>
      <c r="G562" s="8">
        <v>2000</v>
      </c>
      <c r="H562" s="8">
        <f>+IF(BDAlquilerDepartamentos[[#This Row],[Ciudad]]="Lima",BDAlquilerDepartamentos[[#This Row],[Prec. Soles]]*0.1,BDAlquilerDepartamentos[[#This Row],[Prec. Soles]]*0.05)</f>
        <v>100</v>
      </c>
      <c r="I562" s="4">
        <v>3</v>
      </c>
      <c r="J562" s="4">
        <v>3</v>
      </c>
      <c r="K562" s="4" t="s">
        <v>3095</v>
      </c>
      <c r="L562" s="4" t="s">
        <v>3096</v>
      </c>
      <c r="M562" s="4">
        <v>126</v>
      </c>
      <c r="N562" s="4">
        <v>2017</v>
      </c>
      <c r="O562" s="4" t="str">
        <f>+IF(BDAlquilerDepartamentos[[#This Row],[Prec. Soles]]&gt;2500,"Caro","Economico")</f>
        <v>Economico</v>
      </c>
      <c r="P562" s="4" t="str">
        <f>+IF(AND(BDAlquilerDepartamentos[[#This Row],[N° de Dorm.]]&gt; 3,BDAlquilerDepartamentos[[#This Row],[Prec. Soles]]&lt;= 2500),"Buena Oferta", "Precio Estadar")</f>
        <v>Precio Estadar</v>
      </c>
      <c r="Q562" t="s">
        <v>1101</v>
      </c>
      <c r="R562" t="s">
        <v>1102</v>
      </c>
      <c r="S562" s="11">
        <v>45087</v>
      </c>
      <c r="T562" t="s">
        <v>2957</v>
      </c>
      <c r="U562" t="s">
        <v>1924</v>
      </c>
    </row>
    <row r="563" spans="2:21" x14ac:dyDescent="0.3">
      <c r="B563" t="s">
        <v>1150</v>
      </c>
      <c r="C563" t="s">
        <v>2445</v>
      </c>
      <c r="D563" t="s">
        <v>2436</v>
      </c>
      <c r="E563" t="s">
        <v>2580</v>
      </c>
      <c r="F563" t="s">
        <v>2580</v>
      </c>
      <c r="G563" s="8">
        <v>3145</v>
      </c>
      <c r="H563" s="8">
        <f>+IF(BDAlquilerDepartamentos[[#This Row],[Ciudad]]="Lima",BDAlquilerDepartamentos[[#This Row],[Prec. Soles]]*0.1,BDAlquilerDepartamentos[[#This Row],[Prec. Soles]]*0.05)</f>
        <v>314.5</v>
      </c>
      <c r="I563" s="4">
        <v>3</v>
      </c>
      <c r="J563" s="4">
        <v>3</v>
      </c>
      <c r="K563" s="4" t="s">
        <v>3096</v>
      </c>
      <c r="L563" s="4" t="s">
        <v>3095</v>
      </c>
      <c r="M563" s="4">
        <v>86</v>
      </c>
      <c r="N563" s="4">
        <v>2014</v>
      </c>
      <c r="O563" s="4" t="str">
        <f>+IF(BDAlquilerDepartamentos[[#This Row],[Prec. Soles]]&gt;2500,"Caro","Economico")</f>
        <v>Caro</v>
      </c>
      <c r="P563" s="4" t="str">
        <f>+IF(AND(BDAlquilerDepartamentos[[#This Row],[N° de Dorm.]]&gt; 3,BDAlquilerDepartamentos[[#This Row],[Prec. Soles]]&lt;= 2500),"Buena Oferta", "Precio Estadar")</f>
        <v>Precio Estadar</v>
      </c>
      <c r="Q563" t="s">
        <v>1101</v>
      </c>
      <c r="R563" t="s">
        <v>1102</v>
      </c>
      <c r="S563" s="11">
        <v>45654</v>
      </c>
      <c r="T563" t="s">
        <v>3008</v>
      </c>
      <c r="U563" t="s">
        <v>1925</v>
      </c>
    </row>
    <row r="564" spans="2:21" x14ac:dyDescent="0.3">
      <c r="B564" t="s">
        <v>1770</v>
      </c>
      <c r="C564" t="s">
        <v>2645</v>
      </c>
      <c r="D564" t="s">
        <v>2485</v>
      </c>
      <c r="E564" t="s">
        <v>2580</v>
      </c>
      <c r="F564" t="s">
        <v>2580</v>
      </c>
      <c r="G564" s="8">
        <v>9250</v>
      </c>
      <c r="H564" s="8">
        <f>+IF(BDAlquilerDepartamentos[[#This Row],[Ciudad]]="Lima",BDAlquilerDepartamentos[[#This Row],[Prec. Soles]]*0.1,BDAlquilerDepartamentos[[#This Row],[Prec. Soles]]*0.05)</f>
        <v>925</v>
      </c>
      <c r="I564" s="4">
        <v>4</v>
      </c>
      <c r="J564" s="4">
        <v>4</v>
      </c>
      <c r="K564" s="4" t="s">
        <v>3096</v>
      </c>
      <c r="L564" s="4" t="s">
        <v>3096</v>
      </c>
      <c r="M564" s="4">
        <v>258</v>
      </c>
      <c r="N564" s="4">
        <v>2015</v>
      </c>
      <c r="O564" s="4" t="str">
        <f>+IF(BDAlquilerDepartamentos[[#This Row],[Prec. Soles]]&gt;2500,"Caro","Economico")</f>
        <v>Caro</v>
      </c>
      <c r="P564" s="4" t="str">
        <f>+IF(AND(BDAlquilerDepartamentos[[#This Row],[N° de Dorm.]]&gt; 3,BDAlquilerDepartamentos[[#This Row],[Prec. Soles]]&lt;= 2500),"Buena Oferta", "Precio Estadar")</f>
        <v>Precio Estadar</v>
      </c>
      <c r="Q564" t="s">
        <v>1113</v>
      </c>
      <c r="R564" t="s">
        <v>1102</v>
      </c>
      <c r="S564" s="11">
        <v>45036</v>
      </c>
      <c r="T564" t="s">
        <v>2885</v>
      </c>
      <c r="U564" t="s">
        <v>1926</v>
      </c>
    </row>
    <row r="565" spans="2:21" x14ac:dyDescent="0.3">
      <c r="B565" t="s">
        <v>3118</v>
      </c>
      <c r="C565" t="s">
        <v>3119</v>
      </c>
      <c r="D565" t="s">
        <v>2580</v>
      </c>
      <c r="E565" t="s">
        <v>2580</v>
      </c>
      <c r="F565" t="s">
        <v>2580</v>
      </c>
      <c r="G565" s="8">
        <v>6660</v>
      </c>
      <c r="H565" s="8">
        <f>+IF(BDAlquilerDepartamentos[[#This Row],[Ciudad]]="Lima",BDAlquilerDepartamentos[[#This Row],[Prec. Soles]]*0.1,BDAlquilerDepartamentos[[#This Row],[Prec. Soles]]*0.05)</f>
        <v>666</v>
      </c>
      <c r="I565" s="4">
        <v>3</v>
      </c>
      <c r="J565" s="4">
        <v>5</v>
      </c>
      <c r="K565" s="4" t="s">
        <v>3096</v>
      </c>
      <c r="L565" s="4" t="s">
        <v>3096</v>
      </c>
      <c r="M565" s="4">
        <v>242</v>
      </c>
      <c r="N565" s="4">
        <v>2006</v>
      </c>
      <c r="O565" s="4" t="str">
        <f>+IF(BDAlquilerDepartamentos[[#This Row],[Prec. Soles]]&gt;2500,"Caro","Economico")</f>
        <v>Caro</v>
      </c>
      <c r="P565" s="4" t="str">
        <f>+IF(AND(BDAlquilerDepartamentos[[#This Row],[N° de Dorm.]]&gt; 3,BDAlquilerDepartamentos[[#This Row],[Prec. Soles]]&lt;= 2500),"Buena Oferta", "Precio Estadar")</f>
        <v>Precio Estadar</v>
      </c>
      <c r="Q565" t="s">
        <v>1101</v>
      </c>
      <c r="R565" t="s">
        <v>1102</v>
      </c>
      <c r="S565" s="11">
        <v>45433</v>
      </c>
      <c r="T565" t="s">
        <v>3009</v>
      </c>
      <c r="U565" t="s">
        <v>1927</v>
      </c>
    </row>
    <row r="566" spans="2:21" x14ac:dyDescent="0.3">
      <c r="B566" t="s">
        <v>1167</v>
      </c>
      <c r="C566" t="s">
        <v>2454</v>
      </c>
      <c r="D566" t="s">
        <v>2418</v>
      </c>
      <c r="E566" t="s">
        <v>2580</v>
      </c>
      <c r="F566" t="s">
        <v>2580</v>
      </c>
      <c r="G566" s="8">
        <v>3700</v>
      </c>
      <c r="H566" s="8">
        <f>+IF(BDAlquilerDepartamentos[[#This Row],[Ciudad]]="Lima",BDAlquilerDepartamentos[[#This Row],[Prec. Soles]]*0.1,BDAlquilerDepartamentos[[#This Row],[Prec. Soles]]*0.05)</f>
        <v>370</v>
      </c>
      <c r="I566" s="4">
        <v>3</v>
      </c>
      <c r="J566" s="4">
        <v>2</v>
      </c>
      <c r="K566" s="4" t="s">
        <v>3096</v>
      </c>
      <c r="L566" s="4" t="s">
        <v>3095</v>
      </c>
      <c r="M566" s="4">
        <v>72</v>
      </c>
      <c r="N566" s="4">
        <v>2004</v>
      </c>
      <c r="O566" s="4" t="str">
        <f>+IF(BDAlquilerDepartamentos[[#This Row],[Prec. Soles]]&gt;2500,"Caro","Economico")</f>
        <v>Caro</v>
      </c>
      <c r="P566" s="4" t="str">
        <f>+IF(AND(BDAlquilerDepartamentos[[#This Row],[N° de Dorm.]]&gt; 3,BDAlquilerDepartamentos[[#This Row],[Prec. Soles]]&lt;= 2500),"Buena Oferta", "Precio Estadar")</f>
        <v>Precio Estadar</v>
      </c>
      <c r="Q566" t="s">
        <v>1101</v>
      </c>
      <c r="R566" t="s">
        <v>1102</v>
      </c>
      <c r="S566" s="11">
        <v>45428</v>
      </c>
      <c r="T566" t="s">
        <v>3010</v>
      </c>
      <c r="U566" t="s">
        <v>1928</v>
      </c>
    </row>
    <row r="567" spans="2:21" x14ac:dyDescent="0.3">
      <c r="B567" t="s">
        <v>1929</v>
      </c>
      <c r="C567" t="s">
        <v>2690</v>
      </c>
      <c r="D567" t="s">
        <v>2799</v>
      </c>
      <c r="E567" t="s">
        <v>2580</v>
      </c>
      <c r="F567" t="s">
        <v>2580</v>
      </c>
      <c r="G567" s="8">
        <v>835</v>
      </c>
      <c r="H567" s="8">
        <f>+IF(BDAlquilerDepartamentos[[#This Row],[Ciudad]]="Lima",BDAlquilerDepartamentos[[#This Row],[Prec. Soles]]*0.1,BDAlquilerDepartamentos[[#This Row],[Prec. Soles]]*0.05)</f>
        <v>83.5</v>
      </c>
      <c r="I567" s="4">
        <v>3</v>
      </c>
      <c r="J567" s="4">
        <v>1</v>
      </c>
      <c r="K567" s="4" t="s">
        <v>3095</v>
      </c>
      <c r="L567" s="4" t="s">
        <v>3096</v>
      </c>
      <c r="M567" s="4">
        <v>66</v>
      </c>
      <c r="N567" s="4">
        <v>2008</v>
      </c>
      <c r="O567" s="4" t="str">
        <f>+IF(BDAlquilerDepartamentos[[#This Row],[Prec. Soles]]&gt;2500,"Caro","Economico")</f>
        <v>Economico</v>
      </c>
      <c r="P567" s="4" t="str">
        <f>+IF(AND(BDAlquilerDepartamentos[[#This Row],[N° de Dorm.]]&gt; 3,BDAlquilerDepartamentos[[#This Row],[Prec. Soles]]&lt;= 2500),"Buena Oferta", "Precio Estadar")</f>
        <v>Precio Estadar</v>
      </c>
      <c r="Q567" t="s">
        <v>1101</v>
      </c>
      <c r="R567" t="s">
        <v>1102</v>
      </c>
      <c r="S567" s="11">
        <v>44958</v>
      </c>
      <c r="T567" t="s">
        <v>2960</v>
      </c>
      <c r="U567" t="s">
        <v>1930</v>
      </c>
    </row>
    <row r="568" spans="2:21" x14ac:dyDescent="0.3">
      <c r="B568" t="s">
        <v>1169</v>
      </c>
      <c r="C568" t="s">
        <v>2455</v>
      </c>
      <c r="D568" t="s">
        <v>2436</v>
      </c>
      <c r="E568" t="s">
        <v>2580</v>
      </c>
      <c r="F568" t="s">
        <v>2580</v>
      </c>
      <c r="G568" s="8">
        <v>2590</v>
      </c>
      <c r="H568" s="8">
        <f>+IF(BDAlquilerDepartamentos[[#This Row],[Ciudad]]="Lima",BDAlquilerDepartamentos[[#This Row],[Prec. Soles]]*0.1,BDAlquilerDepartamentos[[#This Row],[Prec. Soles]]*0.05)</f>
        <v>259</v>
      </c>
      <c r="I568" s="4">
        <v>2</v>
      </c>
      <c r="J568" s="4">
        <v>2</v>
      </c>
      <c r="K568" s="4" t="s">
        <v>3095</v>
      </c>
      <c r="L568" s="4" t="s">
        <v>3096</v>
      </c>
      <c r="M568" s="4">
        <v>80</v>
      </c>
      <c r="N568" s="4">
        <v>2008</v>
      </c>
      <c r="O568" s="4" t="str">
        <f>+IF(BDAlquilerDepartamentos[[#This Row],[Prec. Soles]]&gt;2500,"Caro","Economico")</f>
        <v>Caro</v>
      </c>
      <c r="P568" s="4" t="str">
        <f>+IF(AND(BDAlquilerDepartamentos[[#This Row],[N° de Dorm.]]&gt; 3,BDAlquilerDepartamentos[[#This Row],[Prec. Soles]]&lt;= 2500),"Buena Oferta", "Precio Estadar")</f>
        <v>Precio Estadar</v>
      </c>
      <c r="Q568" t="s">
        <v>1101</v>
      </c>
      <c r="R568" t="s">
        <v>1102</v>
      </c>
      <c r="S568" s="11">
        <v>45013</v>
      </c>
      <c r="T568" t="s">
        <v>2947</v>
      </c>
      <c r="U568" t="s">
        <v>1931</v>
      </c>
    </row>
    <row r="569" spans="2:21" x14ac:dyDescent="0.3">
      <c r="B569" t="s">
        <v>1418</v>
      </c>
      <c r="C569" t="s">
        <v>2551</v>
      </c>
      <c r="D569" t="s">
        <v>2452</v>
      </c>
      <c r="E569" t="s">
        <v>2580</v>
      </c>
      <c r="F569" t="s">
        <v>2580</v>
      </c>
      <c r="G569" s="8">
        <v>1750.1000000000001</v>
      </c>
      <c r="H569" s="8">
        <f>+IF(BDAlquilerDepartamentos[[#This Row],[Ciudad]]="Lima",BDAlquilerDepartamentos[[#This Row],[Prec. Soles]]*0.1,BDAlquilerDepartamentos[[#This Row],[Prec. Soles]]*0.05)</f>
        <v>175.01000000000002</v>
      </c>
      <c r="I569" s="4">
        <v>1</v>
      </c>
      <c r="J569" s="4">
        <v>1</v>
      </c>
      <c r="K569" s="4" t="s">
        <v>3095</v>
      </c>
      <c r="L569" s="4" t="s">
        <v>3096</v>
      </c>
      <c r="M569" s="4">
        <v>48</v>
      </c>
      <c r="N569" s="4">
        <v>2018</v>
      </c>
      <c r="O569" s="4" t="str">
        <f>+IF(BDAlquilerDepartamentos[[#This Row],[Prec. Soles]]&gt;2500,"Caro","Economico")</f>
        <v>Economico</v>
      </c>
      <c r="P569" s="4" t="str">
        <f>+IF(AND(BDAlquilerDepartamentos[[#This Row],[N° de Dorm.]]&gt; 3,BDAlquilerDepartamentos[[#This Row],[Prec. Soles]]&lt;= 2500),"Buena Oferta", "Precio Estadar")</f>
        <v>Precio Estadar</v>
      </c>
      <c r="Q569" t="s">
        <v>1101</v>
      </c>
      <c r="R569" t="s">
        <v>1102</v>
      </c>
      <c r="S569" s="11">
        <v>45361</v>
      </c>
      <c r="T569" t="s">
        <v>3002</v>
      </c>
      <c r="U569" t="s">
        <v>1932</v>
      </c>
    </row>
    <row r="570" spans="2:21" x14ac:dyDescent="0.3">
      <c r="B570" t="s">
        <v>1447</v>
      </c>
      <c r="C570" t="s">
        <v>2561</v>
      </c>
      <c r="D570" t="s">
        <v>2428</v>
      </c>
      <c r="E570" t="s">
        <v>2580</v>
      </c>
      <c r="F570" t="s">
        <v>2580</v>
      </c>
      <c r="G570" s="8">
        <v>6660</v>
      </c>
      <c r="H570" s="8">
        <f>+IF(BDAlquilerDepartamentos[[#This Row],[Ciudad]]="Lima",BDAlquilerDepartamentos[[#This Row],[Prec. Soles]]*0.1,BDAlquilerDepartamentos[[#This Row],[Prec. Soles]]*0.05)</f>
        <v>666</v>
      </c>
      <c r="I570" s="4">
        <v>3</v>
      </c>
      <c r="J570" s="4">
        <v>2</v>
      </c>
      <c r="K570" s="4" t="s">
        <v>3095</v>
      </c>
      <c r="L570" s="4" t="s">
        <v>3096</v>
      </c>
      <c r="M570" s="4">
        <v>240</v>
      </c>
      <c r="N570" s="4">
        <v>2012</v>
      </c>
      <c r="O570" s="4" t="str">
        <f>+IF(BDAlquilerDepartamentos[[#This Row],[Prec. Soles]]&gt;2500,"Caro","Economico")</f>
        <v>Caro</v>
      </c>
      <c r="P570" s="4" t="str">
        <f>+IF(AND(BDAlquilerDepartamentos[[#This Row],[N° de Dorm.]]&gt; 3,BDAlquilerDepartamentos[[#This Row],[Prec. Soles]]&lt;= 2500),"Buena Oferta", "Precio Estadar")</f>
        <v>Precio Estadar</v>
      </c>
      <c r="Q570" t="s">
        <v>1101</v>
      </c>
      <c r="R570" t="s">
        <v>1102</v>
      </c>
      <c r="S570" s="11">
        <v>45110</v>
      </c>
      <c r="T570" t="s">
        <v>2904</v>
      </c>
      <c r="U570" t="s">
        <v>1933</v>
      </c>
    </row>
    <row r="571" spans="2:21" x14ac:dyDescent="0.3">
      <c r="B571" t="s">
        <v>1195</v>
      </c>
      <c r="C571" t="s">
        <v>2468</v>
      </c>
      <c r="D571" t="s">
        <v>2428</v>
      </c>
      <c r="E571" t="s">
        <v>2580</v>
      </c>
      <c r="F571" t="s">
        <v>2580</v>
      </c>
      <c r="G571" s="8">
        <v>2700</v>
      </c>
      <c r="H571" s="8">
        <f>+IF(BDAlquilerDepartamentos[[#This Row],[Ciudad]]="Lima",BDAlquilerDepartamentos[[#This Row],[Prec. Soles]]*0.1,BDAlquilerDepartamentos[[#This Row],[Prec. Soles]]*0.05)</f>
        <v>270</v>
      </c>
      <c r="I571" s="4">
        <v>2</v>
      </c>
      <c r="J571" s="4">
        <v>2</v>
      </c>
      <c r="K571" s="4" t="s">
        <v>3095</v>
      </c>
      <c r="L571" s="4" t="s">
        <v>3095</v>
      </c>
      <c r="M571" s="4">
        <v>62</v>
      </c>
      <c r="N571" s="4">
        <v>2003</v>
      </c>
      <c r="O571" s="4" t="str">
        <f>+IF(BDAlquilerDepartamentos[[#This Row],[Prec. Soles]]&gt;2500,"Caro","Economico")</f>
        <v>Caro</v>
      </c>
      <c r="P571" s="4" t="str">
        <f>+IF(AND(BDAlquilerDepartamentos[[#This Row],[N° de Dorm.]]&gt; 3,BDAlquilerDepartamentos[[#This Row],[Prec. Soles]]&lt;= 2500),"Buena Oferta", "Precio Estadar")</f>
        <v>Precio Estadar</v>
      </c>
      <c r="Q571" t="s">
        <v>1101</v>
      </c>
      <c r="R571" t="s">
        <v>1102</v>
      </c>
      <c r="S571" s="11">
        <v>45002</v>
      </c>
      <c r="T571" t="s">
        <v>2857</v>
      </c>
      <c r="U571" t="s">
        <v>1934</v>
      </c>
    </row>
    <row r="572" spans="2:21" x14ac:dyDescent="0.3">
      <c r="B572" t="s">
        <v>1935</v>
      </c>
      <c r="C572" t="s">
        <v>2676</v>
      </c>
      <c r="D572" t="s">
        <v>2689</v>
      </c>
      <c r="E572" t="s">
        <v>2689</v>
      </c>
      <c r="F572" t="s">
        <v>2689</v>
      </c>
      <c r="G572" s="8">
        <v>2000</v>
      </c>
      <c r="H572" s="8">
        <f>+IF(BDAlquilerDepartamentos[[#This Row],[Ciudad]]="Lima",BDAlquilerDepartamentos[[#This Row],[Prec. Soles]]*0.1,BDAlquilerDepartamentos[[#This Row],[Prec. Soles]]*0.05)</f>
        <v>100</v>
      </c>
      <c r="I572" s="4">
        <v>3</v>
      </c>
      <c r="J572" s="4">
        <v>2</v>
      </c>
      <c r="K572" s="4" t="s">
        <v>3095</v>
      </c>
      <c r="L572" s="4" t="s">
        <v>3095</v>
      </c>
      <c r="M572" s="4">
        <v>110</v>
      </c>
      <c r="N572" s="4">
        <v>2003</v>
      </c>
      <c r="O572" s="4" t="str">
        <f>+IF(BDAlquilerDepartamentos[[#This Row],[Prec. Soles]]&gt;2500,"Caro","Economico")</f>
        <v>Economico</v>
      </c>
      <c r="P572" s="4" t="str">
        <f>+IF(AND(BDAlquilerDepartamentos[[#This Row],[N° de Dorm.]]&gt; 3,BDAlquilerDepartamentos[[#This Row],[Prec. Soles]]&lt;= 2500),"Buena Oferta", "Precio Estadar")</f>
        <v>Precio Estadar</v>
      </c>
      <c r="Q572" t="s">
        <v>1101</v>
      </c>
      <c r="R572" t="s">
        <v>1102</v>
      </c>
      <c r="S572" s="11">
        <v>45532</v>
      </c>
      <c r="T572" t="s">
        <v>2937</v>
      </c>
      <c r="U572" t="s">
        <v>1936</v>
      </c>
    </row>
    <row r="573" spans="2:21" x14ac:dyDescent="0.3">
      <c r="B573" t="s">
        <v>1199</v>
      </c>
      <c r="C573" t="s">
        <v>2606</v>
      </c>
      <c r="D573" t="s">
        <v>2689</v>
      </c>
      <c r="E573" t="s">
        <v>3129</v>
      </c>
      <c r="F573" t="s">
        <v>3129</v>
      </c>
      <c r="G573" s="8">
        <v>3145</v>
      </c>
      <c r="H573" s="8">
        <f>+IF(BDAlquilerDepartamentos[[#This Row],[Ciudad]]="Lima",BDAlquilerDepartamentos[[#This Row],[Prec. Soles]]*0.1,BDAlquilerDepartamentos[[#This Row],[Prec. Soles]]*0.05)</f>
        <v>157.25</v>
      </c>
      <c r="I573" s="4">
        <v>3</v>
      </c>
      <c r="J573" s="4">
        <v>2</v>
      </c>
      <c r="K573" s="4" t="s">
        <v>3096</v>
      </c>
      <c r="L573" s="4" t="s">
        <v>3096</v>
      </c>
      <c r="M573" s="4">
        <v>90</v>
      </c>
      <c r="N573" s="4">
        <v>2014</v>
      </c>
      <c r="O573" s="4" t="str">
        <f>+IF(BDAlquilerDepartamentos[[#This Row],[Prec. Soles]]&gt;2500,"Caro","Economico")</f>
        <v>Caro</v>
      </c>
      <c r="P573" s="4" t="str">
        <f>+IF(AND(BDAlquilerDepartamentos[[#This Row],[N° de Dorm.]]&gt; 3,BDAlquilerDepartamentos[[#This Row],[Prec. Soles]]&lt;= 2500),"Buena Oferta", "Precio Estadar")</f>
        <v>Precio Estadar</v>
      </c>
      <c r="Q573" t="s">
        <v>1101</v>
      </c>
      <c r="R573" t="s">
        <v>1102</v>
      </c>
      <c r="S573" s="11">
        <v>45064</v>
      </c>
      <c r="T573" t="s">
        <v>2937</v>
      </c>
      <c r="U573" t="s">
        <v>1937</v>
      </c>
    </row>
    <row r="574" spans="2:21" x14ac:dyDescent="0.3">
      <c r="B574" t="s">
        <v>1938</v>
      </c>
      <c r="C574" t="s">
        <v>2691</v>
      </c>
      <c r="D574" t="s">
        <v>2428</v>
      </c>
      <c r="E574" t="s">
        <v>2580</v>
      </c>
      <c r="F574" t="s">
        <v>2580</v>
      </c>
      <c r="G574" s="8">
        <v>7400</v>
      </c>
      <c r="H574" s="8">
        <f>+IF(BDAlquilerDepartamentos[[#This Row],[Ciudad]]="Lima",BDAlquilerDepartamentos[[#This Row],[Prec. Soles]]*0.1,BDAlquilerDepartamentos[[#This Row],[Prec. Soles]]*0.05)</f>
        <v>740</v>
      </c>
      <c r="I574" s="4">
        <v>3</v>
      </c>
      <c r="J574" s="4">
        <v>5</v>
      </c>
      <c r="K574" s="4" t="s">
        <v>3096</v>
      </c>
      <c r="L574" s="4" t="s">
        <v>3096</v>
      </c>
      <c r="M574" s="4">
        <v>313</v>
      </c>
      <c r="N574" s="4">
        <v>2017</v>
      </c>
      <c r="O574" s="4" t="str">
        <f>+IF(BDAlquilerDepartamentos[[#This Row],[Prec. Soles]]&gt;2500,"Caro","Economico")</f>
        <v>Caro</v>
      </c>
      <c r="P574" s="4" t="str">
        <f>+IF(AND(BDAlquilerDepartamentos[[#This Row],[N° de Dorm.]]&gt; 3,BDAlquilerDepartamentos[[#This Row],[Prec. Soles]]&lt;= 2500),"Buena Oferta", "Precio Estadar")</f>
        <v>Precio Estadar</v>
      </c>
      <c r="Q574" t="s">
        <v>1113</v>
      </c>
      <c r="R574" t="s">
        <v>1102</v>
      </c>
      <c r="S574" s="11">
        <v>45138</v>
      </c>
      <c r="T574" t="s">
        <v>3011</v>
      </c>
      <c r="U574" t="s">
        <v>1939</v>
      </c>
    </row>
    <row r="575" spans="2:21" x14ac:dyDescent="0.3">
      <c r="B575" t="s">
        <v>1165</v>
      </c>
      <c r="C575" t="s">
        <v>2453</v>
      </c>
      <c r="D575" t="s">
        <v>2580</v>
      </c>
      <c r="E575" t="s">
        <v>2580</v>
      </c>
      <c r="F575" t="s">
        <v>2580</v>
      </c>
      <c r="G575" s="8">
        <v>4995</v>
      </c>
      <c r="H575" s="8">
        <f>+IF(BDAlquilerDepartamentos[[#This Row],[Ciudad]]="Lima",BDAlquilerDepartamentos[[#This Row],[Prec. Soles]]*0.1,BDAlquilerDepartamentos[[#This Row],[Prec. Soles]]*0.05)</f>
        <v>499.5</v>
      </c>
      <c r="I575" s="4">
        <v>3</v>
      </c>
      <c r="J575" s="4">
        <v>3</v>
      </c>
      <c r="K575" s="4" t="s">
        <v>3096</v>
      </c>
      <c r="L575" s="4" t="s">
        <v>3095</v>
      </c>
      <c r="M575" s="4">
        <v>214</v>
      </c>
      <c r="N575" s="4">
        <v>2016</v>
      </c>
      <c r="O575" s="4" t="str">
        <f>+IF(BDAlquilerDepartamentos[[#This Row],[Prec. Soles]]&gt;2500,"Caro","Economico")</f>
        <v>Caro</v>
      </c>
      <c r="P575" s="4" t="str">
        <f>+IF(AND(BDAlquilerDepartamentos[[#This Row],[N° de Dorm.]]&gt; 3,BDAlquilerDepartamentos[[#This Row],[Prec. Soles]]&lt;= 2500),"Buena Oferta", "Precio Estadar")</f>
        <v>Precio Estadar</v>
      </c>
      <c r="Q575" t="s">
        <v>1101</v>
      </c>
      <c r="R575" t="s">
        <v>1102</v>
      </c>
      <c r="S575" s="11">
        <v>45237</v>
      </c>
      <c r="T575" t="s">
        <v>3012</v>
      </c>
      <c r="U575" t="s">
        <v>1940</v>
      </c>
    </row>
    <row r="576" spans="2:21" x14ac:dyDescent="0.3">
      <c r="B576" t="s">
        <v>1941</v>
      </c>
      <c r="C576" t="s">
        <v>2456</v>
      </c>
      <c r="D576" t="s">
        <v>2457</v>
      </c>
      <c r="E576" t="s">
        <v>2580</v>
      </c>
      <c r="F576" t="s">
        <v>2580</v>
      </c>
      <c r="G576" s="8">
        <v>6660</v>
      </c>
      <c r="H576" s="8">
        <f>+IF(BDAlquilerDepartamentos[[#This Row],[Ciudad]]="Lima",BDAlquilerDepartamentos[[#This Row],[Prec. Soles]]*0.1,BDAlquilerDepartamentos[[#This Row],[Prec. Soles]]*0.05)</f>
        <v>666</v>
      </c>
      <c r="I576" s="4">
        <v>4</v>
      </c>
      <c r="J576" s="4">
        <v>3</v>
      </c>
      <c r="K576" s="4" t="s">
        <v>3095</v>
      </c>
      <c r="L576" s="4" t="s">
        <v>3095</v>
      </c>
      <c r="M576" s="4">
        <v>260</v>
      </c>
      <c r="N576" s="4">
        <v>2003</v>
      </c>
      <c r="O576" s="4" t="str">
        <f>+IF(BDAlquilerDepartamentos[[#This Row],[Prec. Soles]]&gt;2500,"Caro","Economico")</f>
        <v>Caro</v>
      </c>
      <c r="P576" s="4" t="str">
        <f>+IF(AND(BDAlquilerDepartamentos[[#This Row],[N° de Dorm.]]&gt; 3,BDAlquilerDepartamentos[[#This Row],[Prec. Soles]]&lt;= 2500),"Buena Oferta", "Precio Estadar")</f>
        <v>Precio Estadar</v>
      </c>
      <c r="Q576" t="s">
        <v>1113</v>
      </c>
      <c r="R576" t="s">
        <v>1102</v>
      </c>
      <c r="S576" s="11">
        <v>45426</v>
      </c>
      <c r="T576" t="s">
        <v>3013</v>
      </c>
      <c r="U576" t="s">
        <v>1942</v>
      </c>
    </row>
    <row r="577" spans="2:21" x14ac:dyDescent="0.3">
      <c r="B577" t="s">
        <v>1511</v>
      </c>
      <c r="C577" t="s">
        <v>2582</v>
      </c>
      <c r="D577" t="s">
        <v>2473</v>
      </c>
      <c r="E577" t="s">
        <v>2474</v>
      </c>
      <c r="F577" t="s">
        <v>2474</v>
      </c>
      <c r="G577" s="8">
        <v>1400</v>
      </c>
      <c r="H577" s="8">
        <f>+IF(BDAlquilerDepartamentos[[#This Row],[Ciudad]]="Lima",BDAlquilerDepartamentos[[#This Row],[Prec. Soles]]*0.1,BDAlquilerDepartamentos[[#This Row],[Prec. Soles]]*0.05)</f>
        <v>70</v>
      </c>
      <c r="I577" s="4">
        <v>2</v>
      </c>
      <c r="J577" s="4">
        <v>1</v>
      </c>
      <c r="K577" s="4" t="s">
        <v>3095</v>
      </c>
      <c r="L577" s="4" t="s">
        <v>3096</v>
      </c>
      <c r="M577" s="4">
        <v>70</v>
      </c>
      <c r="N577" s="4">
        <v>2010</v>
      </c>
      <c r="O577" s="4" t="str">
        <f>+IF(BDAlquilerDepartamentos[[#This Row],[Prec. Soles]]&gt;2500,"Caro","Economico")</f>
        <v>Economico</v>
      </c>
      <c r="P577" s="4" t="str">
        <f>+IF(AND(BDAlquilerDepartamentos[[#This Row],[N° de Dorm.]]&gt; 3,BDAlquilerDepartamentos[[#This Row],[Prec. Soles]]&lt;= 2500),"Buena Oferta", "Precio Estadar")</f>
        <v>Precio Estadar</v>
      </c>
      <c r="Q577" t="s">
        <v>1101</v>
      </c>
      <c r="R577" t="s">
        <v>1102</v>
      </c>
      <c r="S577" s="11">
        <v>45335</v>
      </c>
      <c r="T577" t="s">
        <v>3014</v>
      </c>
      <c r="U577" t="s">
        <v>1943</v>
      </c>
    </row>
    <row r="578" spans="2:21" x14ac:dyDescent="0.3">
      <c r="B578" t="s">
        <v>1867</v>
      </c>
      <c r="C578" t="s">
        <v>2674</v>
      </c>
      <c r="D578" t="s">
        <v>2473</v>
      </c>
      <c r="E578" t="s">
        <v>2474</v>
      </c>
      <c r="F578" t="s">
        <v>2474</v>
      </c>
      <c r="G578" s="8">
        <v>1100</v>
      </c>
      <c r="H578" s="8">
        <f>+IF(BDAlquilerDepartamentos[[#This Row],[Ciudad]]="Lima",BDAlquilerDepartamentos[[#This Row],[Prec. Soles]]*0.1,BDAlquilerDepartamentos[[#This Row],[Prec. Soles]]*0.05)</f>
        <v>55</v>
      </c>
      <c r="I578" s="4">
        <v>3</v>
      </c>
      <c r="J578" s="4">
        <v>1</v>
      </c>
      <c r="K578" s="4" t="s">
        <v>3095</v>
      </c>
      <c r="L578" s="4" t="s">
        <v>3095</v>
      </c>
      <c r="M578" s="4">
        <v>75</v>
      </c>
      <c r="N578" s="4">
        <v>2014</v>
      </c>
      <c r="O578" s="4" t="str">
        <f>+IF(BDAlquilerDepartamentos[[#This Row],[Prec. Soles]]&gt;2500,"Caro","Economico")</f>
        <v>Economico</v>
      </c>
      <c r="P578" s="4" t="str">
        <f>+IF(AND(BDAlquilerDepartamentos[[#This Row],[N° de Dorm.]]&gt; 3,BDAlquilerDepartamentos[[#This Row],[Prec. Soles]]&lt;= 2500),"Buena Oferta", "Precio Estadar")</f>
        <v>Precio Estadar</v>
      </c>
      <c r="Q578" t="s">
        <v>1101</v>
      </c>
      <c r="R578" t="s">
        <v>1102</v>
      </c>
      <c r="S578" s="11">
        <v>45471</v>
      </c>
      <c r="T578" t="s">
        <v>2821</v>
      </c>
      <c r="U578" t="s">
        <v>1944</v>
      </c>
    </row>
    <row r="579" spans="2:21" x14ac:dyDescent="0.3">
      <c r="B579" t="s">
        <v>1945</v>
      </c>
      <c r="C579" t="s">
        <v>2692</v>
      </c>
      <c r="D579" t="s">
        <v>2422</v>
      </c>
      <c r="E579" t="s">
        <v>2580</v>
      </c>
      <c r="F579" t="s">
        <v>2580</v>
      </c>
      <c r="G579" s="8">
        <v>5180</v>
      </c>
      <c r="H579" s="8">
        <f>+IF(BDAlquilerDepartamentos[[#This Row],[Ciudad]]="Lima",BDAlquilerDepartamentos[[#This Row],[Prec. Soles]]*0.1,BDAlquilerDepartamentos[[#This Row],[Prec. Soles]]*0.05)</f>
        <v>518</v>
      </c>
      <c r="I579" s="4">
        <v>3</v>
      </c>
      <c r="J579" s="4">
        <v>4</v>
      </c>
      <c r="K579" s="4" t="s">
        <v>3096</v>
      </c>
      <c r="L579" s="4" t="s">
        <v>3096</v>
      </c>
      <c r="M579" s="4">
        <v>190</v>
      </c>
      <c r="N579" s="4">
        <v>2009</v>
      </c>
      <c r="O579" s="4" t="str">
        <f>+IF(BDAlquilerDepartamentos[[#This Row],[Prec. Soles]]&gt;2500,"Caro","Economico")</f>
        <v>Caro</v>
      </c>
      <c r="P579" s="4" t="str">
        <f>+IF(AND(BDAlquilerDepartamentos[[#This Row],[N° de Dorm.]]&gt; 3,BDAlquilerDepartamentos[[#This Row],[Prec. Soles]]&lt;= 2500),"Buena Oferta", "Precio Estadar")</f>
        <v>Precio Estadar</v>
      </c>
      <c r="Q579" t="s">
        <v>1101</v>
      </c>
      <c r="R579" t="s">
        <v>1102</v>
      </c>
      <c r="S579" s="11">
        <v>45423</v>
      </c>
      <c r="T579" t="s">
        <v>2946</v>
      </c>
      <c r="U579" t="s">
        <v>1946</v>
      </c>
    </row>
    <row r="580" spans="2:21" x14ac:dyDescent="0.3">
      <c r="B580" t="s">
        <v>1210</v>
      </c>
      <c r="C580" t="s">
        <v>2476</v>
      </c>
      <c r="D580" t="s">
        <v>2436</v>
      </c>
      <c r="E580" t="s">
        <v>2580</v>
      </c>
      <c r="F580" t="s">
        <v>2580</v>
      </c>
      <c r="G580" s="8">
        <v>4070</v>
      </c>
      <c r="H580" s="8">
        <f>+IF(BDAlquilerDepartamentos[[#This Row],[Ciudad]]="Lima",BDAlquilerDepartamentos[[#This Row],[Prec. Soles]]*0.1,BDAlquilerDepartamentos[[#This Row],[Prec. Soles]]*0.05)</f>
        <v>407</v>
      </c>
      <c r="I580" s="4">
        <v>2</v>
      </c>
      <c r="J580" s="4">
        <v>3</v>
      </c>
      <c r="K580" s="4" t="s">
        <v>3096</v>
      </c>
      <c r="L580" s="4" t="s">
        <v>3095</v>
      </c>
      <c r="M580" s="4">
        <v>104</v>
      </c>
      <c r="N580" s="4">
        <v>2006</v>
      </c>
      <c r="O580" s="4" t="str">
        <f>+IF(BDAlquilerDepartamentos[[#This Row],[Prec. Soles]]&gt;2500,"Caro","Economico")</f>
        <v>Caro</v>
      </c>
      <c r="P580" s="4" t="str">
        <f>+IF(AND(BDAlquilerDepartamentos[[#This Row],[N° de Dorm.]]&gt; 3,BDAlquilerDepartamentos[[#This Row],[Prec. Soles]]&lt;= 2500),"Buena Oferta", "Precio Estadar")</f>
        <v>Precio Estadar</v>
      </c>
      <c r="Q580" t="s">
        <v>1101</v>
      </c>
      <c r="R580" t="s">
        <v>1102</v>
      </c>
      <c r="S580" s="11">
        <v>45056</v>
      </c>
      <c r="T580" t="s">
        <v>2819</v>
      </c>
      <c r="U580" t="s">
        <v>1947</v>
      </c>
    </row>
    <row r="581" spans="2:21" x14ac:dyDescent="0.3">
      <c r="B581" t="s">
        <v>3113</v>
      </c>
      <c r="C581" t="s">
        <v>3114</v>
      </c>
      <c r="D581" t="s">
        <v>2436</v>
      </c>
      <c r="E581" t="s">
        <v>2580</v>
      </c>
      <c r="F581" t="s">
        <v>2580</v>
      </c>
      <c r="G581" s="8">
        <v>999</v>
      </c>
      <c r="H581" s="8">
        <f>+IF(BDAlquilerDepartamentos[[#This Row],[Ciudad]]="Lima",BDAlquilerDepartamentos[[#This Row],[Prec. Soles]]*0.1,BDAlquilerDepartamentos[[#This Row],[Prec. Soles]]*0.05)</f>
        <v>99.9</v>
      </c>
      <c r="I581" s="4">
        <v>1</v>
      </c>
      <c r="J581" s="4">
        <v>1</v>
      </c>
      <c r="K581" s="4" t="s">
        <v>3096</v>
      </c>
      <c r="L581" s="4" t="s">
        <v>3096</v>
      </c>
      <c r="M581" s="4">
        <v>20</v>
      </c>
      <c r="N581" s="4">
        <v>2004</v>
      </c>
      <c r="O581" s="4" t="str">
        <f>+IF(BDAlquilerDepartamentos[[#This Row],[Prec. Soles]]&gt;2500,"Caro","Economico")</f>
        <v>Economico</v>
      </c>
      <c r="P581" s="4" t="str">
        <f>+IF(AND(BDAlquilerDepartamentos[[#This Row],[N° de Dorm.]]&gt; 3,BDAlquilerDepartamentos[[#This Row],[Prec. Soles]]&lt;= 2500),"Buena Oferta", "Precio Estadar")</f>
        <v>Precio Estadar</v>
      </c>
      <c r="Q581" t="s">
        <v>1101</v>
      </c>
      <c r="R581" t="s">
        <v>1102</v>
      </c>
      <c r="S581" s="11">
        <v>44994</v>
      </c>
      <c r="T581" t="s">
        <v>3015</v>
      </c>
      <c r="U581" t="s">
        <v>1948</v>
      </c>
    </row>
    <row r="582" spans="2:21" x14ac:dyDescent="0.3">
      <c r="B582" t="s">
        <v>1152</v>
      </c>
      <c r="C582" t="s">
        <v>2446</v>
      </c>
      <c r="D582" t="s">
        <v>2580</v>
      </c>
      <c r="E582" t="s">
        <v>2580</v>
      </c>
      <c r="F582" t="s">
        <v>2580</v>
      </c>
      <c r="G582" s="8">
        <v>4995</v>
      </c>
      <c r="H582" s="8">
        <f>+IF(BDAlquilerDepartamentos[[#This Row],[Ciudad]]="Lima",BDAlquilerDepartamentos[[#This Row],[Prec. Soles]]*0.1,BDAlquilerDepartamentos[[#This Row],[Prec. Soles]]*0.05)</f>
        <v>499.5</v>
      </c>
      <c r="I582" s="4">
        <v>3</v>
      </c>
      <c r="J582" s="4">
        <v>2</v>
      </c>
      <c r="K582" s="4" t="s">
        <v>3095</v>
      </c>
      <c r="L582" s="4" t="s">
        <v>3095</v>
      </c>
      <c r="M582" s="4">
        <v>214</v>
      </c>
      <c r="N582" s="4">
        <v>2015</v>
      </c>
      <c r="O582" s="4" t="str">
        <f>+IF(BDAlquilerDepartamentos[[#This Row],[Prec. Soles]]&gt;2500,"Caro","Economico")</f>
        <v>Caro</v>
      </c>
      <c r="P582" s="4" t="str">
        <f>+IF(AND(BDAlquilerDepartamentos[[#This Row],[N° de Dorm.]]&gt; 3,BDAlquilerDepartamentos[[#This Row],[Prec. Soles]]&lt;= 2500),"Buena Oferta", "Precio Estadar")</f>
        <v>Precio Estadar</v>
      </c>
      <c r="Q582" t="s">
        <v>1101</v>
      </c>
      <c r="R582" t="s">
        <v>1102</v>
      </c>
      <c r="S582" s="11">
        <v>45525</v>
      </c>
      <c r="T582" t="s">
        <v>3016</v>
      </c>
      <c r="U582" t="s">
        <v>1949</v>
      </c>
    </row>
    <row r="583" spans="2:21" x14ac:dyDescent="0.3">
      <c r="B583" t="s">
        <v>1950</v>
      </c>
      <c r="C583" t="s">
        <v>2693</v>
      </c>
      <c r="D583" t="s">
        <v>2430</v>
      </c>
      <c r="E583" t="s">
        <v>2580</v>
      </c>
      <c r="F583" t="s">
        <v>2580</v>
      </c>
      <c r="G583" s="8">
        <v>1600</v>
      </c>
      <c r="H583" s="8">
        <f>+IF(BDAlquilerDepartamentos[[#This Row],[Ciudad]]="Lima",BDAlquilerDepartamentos[[#This Row],[Prec. Soles]]*0.1,BDAlquilerDepartamentos[[#This Row],[Prec. Soles]]*0.05)</f>
        <v>160</v>
      </c>
      <c r="I583" s="4">
        <v>1</v>
      </c>
      <c r="J583" s="4">
        <v>1</v>
      </c>
      <c r="K583" s="4" t="s">
        <v>3095</v>
      </c>
      <c r="L583" s="4" t="s">
        <v>3095</v>
      </c>
      <c r="M583" s="4">
        <v>37</v>
      </c>
      <c r="N583" s="4">
        <v>2008</v>
      </c>
      <c r="O583" s="4" t="str">
        <f>+IF(BDAlquilerDepartamentos[[#This Row],[Prec. Soles]]&gt;2500,"Caro","Economico")</f>
        <v>Economico</v>
      </c>
      <c r="P583" s="4" t="str">
        <f>+IF(AND(BDAlquilerDepartamentos[[#This Row],[N° de Dorm.]]&gt; 3,BDAlquilerDepartamentos[[#This Row],[Prec. Soles]]&lt;= 2500),"Buena Oferta", "Precio Estadar")</f>
        <v>Precio Estadar</v>
      </c>
      <c r="Q583" t="s">
        <v>1101</v>
      </c>
      <c r="R583" t="s">
        <v>1102</v>
      </c>
      <c r="S583" s="11">
        <v>45101</v>
      </c>
      <c r="T583" t="s">
        <v>3017</v>
      </c>
      <c r="U583" t="s">
        <v>1951</v>
      </c>
    </row>
    <row r="584" spans="2:21" x14ac:dyDescent="0.3">
      <c r="B584" t="s">
        <v>1118</v>
      </c>
      <c r="C584" t="s">
        <v>2426</v>
      </c>
      <c r="D584" t="s">
        <v>2436</v>
      </c>
      <c r="E584" t="s">
        <v>2580</v>
      </c>
      <c r="F584" t="s">
        <v>2580</v>
      </c>
      <c r="G584" s="8">
        <v>4810</v>
      </c>
      <c r="H584" s="8">
        <f>+IF(BDAlquilerDepartamentos[[#This Row],[Ciudad]]="Lima",BDAlquilerDepartamentos[[#This Row],[Prec. Soles]]*0.1,BDAlquilerDepartamentos[[#This Row],[Prec. Soles]]*0.05)</f>
        <v>481</v>
      </c>
      <c r="I584" s="4">
        <v>3</v>
      </c>
      <c r="J584" s="4">
        <v>3</v>
      </c>
      <c r="K584" s="4" t="s">
        <v>3095</v>
      </c>
      <c r="L584" s="4" t="s">
        <v>3095</v>
      </c>
      <c r="M584" s="4">
        <v>160</v>
      </c>
      <c r="N584" s="4">
        <v>2009</v>
      </c>
      <c r="O584" s="4" t="str">
        <f>+IF(BDAlquilerDepartamentos[[#This Row],[Prec. Soles]]&gt;2500,"Caro","Economico")</f>
        <v>Caro</v>
      </c>
      <c r="P584" s="4" t="str">
        <f>+IF(AND(BDAlquilerDepartamentos[[#This Row],[N° de Dorm.]]&gt; 3,BDAlquilerDepartamentos[[#This Row],[Prec. Soles]]&lt;= 2500),"Buena Oferta", "Precio Estadar")</f>
        <v>Precio Estadar</v>
      </c>
      <c r="Q584" t="s">
        <v>1101</v>
      </c>
      <c r="R584" t="s">
        <v>1102</v>
      </c>
      <c r="S584" s="11">
        <v>45497</v>
      </c>
      <c r="T584" t="s">
        <v>2865</v>
      </c>
      <c r="U584" t="s">
        <v>1952</v>
      </c>
    </row>
    <row r="585" spans="2:21" x14ac:dyDescent="0.3">
      <c r="B585" t="s">
        <v>1584</v>
      </c>
      <c r="C585" t="s">
        <v>2600</v>
      </c>
      <c r="D585" t="s">
        <v>2463</v>
      </c>
      <c r="E585" t="s">
        <v>2580</v>
      </c>
      <c r="F585" t="s">
        <v>2580</v>
      </c>
      <c r="G585" s="8">
        <v>2000</v>
      </c>
      <c r="H585" s="8">
        <f>+IF(BDAlquilerDepartamentos[[#This Row],[Ciudad]]="Lima",BDAlquilerDepartamentos[[#This Row],[Prec. Soles]]*0.1,BDAlquilerDepartamentos[[#This Row],[Prec. Soles]]*0.05)</f>
        <v>200</v>
      </c>
      <c r="I585" s="4">
        <v>2</v>
      </c>
      <c r="J585" s="4">
        <v>2</v>
      </c>
      <c r="K585" s="4" t="s">
        <v>3096</v>
      </c>
      <c r="L585" s="4" t="s">
        <v>3096</v>
      </c>
      <c r="M585" s="4">
        <v>60</v>
      </c>
      <c r="N585" s="4">
        <v>2007</v>
      </c>
      <c r="O585" s="4" t="str">
        <f>+IF(BDAlquilerDepartamentos[[#This Row],[Prec. Soles]]&gt;2500,"Caro","Economico")</f>
        <v>Economico</v>
      </c>
      <c r="P585" s="4" t="str">
        <f>+IF(AND(BDAlquilerDepartamentos[[#This Row],[N° de Dorm.]]&gt; 3,BDAlquilerDepartamentos[[#This Row],[Prec. Soles]]&lt;= 2500),"Buena Oferta", "Precio Estadar")</f>
        <v>Precio Estadar</v>
      </c>
      <c r="Q585" t="s">
        <v>1101</v>
      </c>
      <c r="R585" t="s">
        <v>1102</v>
      </c>
      <c r="S585" s="11">
        <v>45134</v>
      </c>
      <c r="T585" t="s">
        <v>2850</v>
      </c>
      <c r="U585" t="s">
        <v>1953</v>
      </c>
    </row>
    <row r="586" spans="2:21" x14ac:dyDescent="0.3">
      <c r="B586" t="s">
        <v>1197</v>
      </c>
      <c r="C586" t="s">
        <v>2469</v>
      </c>
      <c r="D586" t="s">
        <v>2463</v>
      </c>
      <c r="E586" t="s">
        <v>2580</v>
      </c>
      <c r="F586" t="s">
        <v>2580</v>
      </c>
      <c r="G586" s="8">
        <v>2000</v>
      </c>
      <c r="H586" s="8">
        <f>+IF(BDAlquilerDepartamentos[[#This Row],[Ciudad]]="Lima",BDAlquilerDepartamentos[[#This Row],[Prec. Soles]]*0.1,BDAlquilerDepartamentos[[#This Row],[Prec. Soles]]*0.05)</f>
        <v>200</v>
      </c>
      <c r="I586" s="4">
        <v>2</v>
      </c>
      <c r="J586" s="4">
        <v>2</v>
      </c>
      <c r="K586" s="4" t="s">
        <v>3096</v>
      </c>
      <c r="L586" s="4" t="s">
        <v>3095</v>
      </c>
      <c r="M586" s="4">
        <v>60</v>
      </c>
      <c r="N586" s="4">
        <v>2003</v>
      </c>
      <c r="O586" s="4" t="str">
        <f>+IF(BDAlquilerDepartamentos[[#This Row],[Prec. Soles]]&gt;2500,"Caro","Economico")</f>
        <v>Economico</v>
      </c>
      <c r="P586" s="4" t="str">
        <f>+IF(AND(BDAlquilerDepartamentos[[#This Row],[N° de Dorm.]]&gt; 3,BDAlquilerDepartamentos[[#This Row],[Prec. Soles]]&lt;= 2500),"Buena Oferta", "Precio Estadar")</f>
        <v>Precio Estadar</v>
      </c>
      <c r="Q586" t="s">
        <v>1101</v>
      </c>
      <c r="R586" t="s">
        <v>1102</v>
      </c>
      <c r="S586" s="11">
        <v>45152</v>
      </c>
      <c r="T586" t="s">
        <v>2850</v>
      </c>
      <c r="U586" t="s">
        <v>1954</v>
      </c>
    </row>
    <row r="587" spans="2:21" x14ac:dyDescent="0.3">
      <c r="B587" t="s">
        <v>1955</v>
      </c>
      <c r="C587" t="s">
        <v>2694</v>
      </c>
      <c r="D587" t="s">
        <v>2580</v>
      </c>
      <c r="E587" t="s">
        <v>2580</v>
      </c>
      <c r="F587" t="s">
        <v>2580</v>
      </c>
      <c r="G587" s="8">
        <v>2200</v>
      </c>
      <c r="H587" s="8">
        <f>+IF(BDAlquilerDepartamentos[[#This Row],[Ciudad]]="Lima",BDAlquilerDepartamentos[[#This Row],[Prec. Soles]]*0.1,BDAlquilerDepartamentos[[#This Row],[Prec. Soles]]*0.05)</f>
        <v>220</v>
      </c>
      <c r="I587" s="4">
        <v>2</v>
      </c>
      <c r="J587" s="4">
        <v>1</v>
      </c>
      <c r="K587" s="4" t="s">
        <v>3095</v>
      </c>
      <c r="L587" s="4" t="s">
        <v>3096</v>
      </c>
      <c r="M587" s="4">
        <v>70</v>
      </c>
      <c r="N587" s="4">
        <v>2007</v>
      </c>
      <c r="O587" s="4" t="str">
        <f>+IF(BDAlquilerDepartamentos[[#This Row],[Prec. Soles]]&gt;2500,"Caro","Economico")</f>
        <v>Economico</v>
      </c>
      <c r="P587" s="4" t="str">
        <f>+IF(AND(BDAlquilerDepartamentos[[#This Row],[N° de Dorm.]]&gt; 3,BDAlquilerDepartamentos[[#This Row],[Prec. Soles]]&lt;= 2500),"Buena Oferta", "Precio Estadar")</f>
        <v>Precio Estadar</v>
      </c>
      <c r="Q587" t="s">
        <v>1101</v>
      </c>
      <c r="R587" t="s">
        <v>1102</v>
      </c>
      <c r="S587" s="11">
        <v>45426</v>
      </c>
      <c r="T587" t="s">
        <v>2843</v>
      </c>
      <c r="U587" t="s">
        <v>1956</v>
      </c>
    </row>
    <row r="588" spans="2:21" x14ac:dyDescent="0.3">
      <c r="B588" t="s">
        <v>1957</v>
      </c>
      <c r="C588" t="s">
        <v>2695</v>
      </c>
      <c r="D588" t="s">
        <v>2485</v>
      </c>
      <c r="E588" t="s">
        <v>2580</v>
      </c>
      <c r="F588" t="s">
        <v>2580</v>
      </c>
      <c r="G588" s="8">
        <v>8140</v>
      </c>
      <c r="H588" s="8">
        <f>+IF(BDAlquilerDepartamentos[[#This Row],[Ciudad]]="Lima",BDAlquilerDepartamentos[[#This Row],[Prec. Soles]]*0.1,BDAlquilerDepartamentos[[#This Row],[Prec. Soles]]*0.05)</f>
        <v>814</v>
      </c>
      <c r="I588" s="4">
        <v>5</v>
      </c>
      <c r="J588" s="4">
        <v>5</v>
      </c>
      <c r="K588" s="4" t="s">
        <v>3095</v>
      </c>
      <c r="L588" s="4" t="s">
        <v>3095</v>
      </c>
      <c r="M588" s="4">
        <v>280</v>
      </c>
      <c r="N588" s="4">
        <v>2003</v>
      </c>
      <c r="O588" s="4" t="str">
        <f>+IF(BDAlquilerDepartamentos[[#This Row],[Prec. Soles]]&gt;2500,"Caro","Economico")</f>
        <v>Caro</v>
      </c>
      <c r="P588" s="4" t="str">
        <f>+IF(AND(BDAlquilerDepartamentos[[#This Row],[N° de Dorm.]]&gt; 3,BDAlquilerDepartamentos[[#This Row],[Prec. Soles]]&lt;= 2500),"Buena Oferta", "Precio Estadar")</f>
        <v>Precio Estadar</v>
      </c>
      <c r="Q588" t="s">
        <v>1113</v>
      </c>
      <c r="R588" t="s">
        <v>1102</v>
      </c>
      <c r="S588" s="11">
        <v>45076</v>
      </c>
      <c r="T588" t="s">
        <v>3018</v>
      </c>
      <c r="U588" t="s">
        <v>1958</v>
      </c>
    </row>
    <row r="589" spans="2:21" x14ac:dyDescent="0.3">
      <c r="B589" t="s">
        <v>1143</v>
      </c>
      <c r="C589" t="s">
        <v>2441</v>
      </c>
      <c r="D589" t="s">
        <v>2428</v>
      </c>
      <c r="E589" t="s">
        <v>2580</v>
      </c>
      <c r="F589" t="s">
        <v>2580</v>
      </c>
      <c r="G589" s="8">
        <v>2775</v>
      </c>
      <c r="H589" s="8">
        <f>+IF(BDAlquilerDepartamentos[[#This Row],[Ciudad]]="Lima",BDAlquilerDepartamentos[[#This Row],[Prec. Soles]]*0.1,BDAlquilerDepartamentos[[#This Row],[Prec. Soles]]*0.05)</f>
        <v>277.5</v>
      </c>
      <c r="I589" s="4">
        <v>1</v>
      </c>
      <c r="J589" s="4">
        <v>1</v>
      </c>
      <c r="K589" s="4" t="s">
        <v>3096</v>
      </c>
      <c r="L589" s="4" t="s">
        <v>3095</v>
      </c>
      <c r="M589" s="4">
        <v>70</v>
      </c>
      <c r="N589" s="4">
        <v>2016</v>
      </c>
      <c r="O589" s="4" t="str">
        <f>+IF(BDAlquilerDepartamentos[[#This Row],[Prec. Soles]]&gt;2500,"Caro","Economico")</f>
        <v>Caro</v>
      </c>
      <c r="P589" s="4" t="str">
        <f>+IF(AND(BDAlquilerDepartamentos[[#This Row],[N° de Dorm.]]&gt; 3,BDAlquilerDepartamentos[[#This Row],[Prec. Soles]]&lt;= 2500),"Buena Oferta", "Precio Estadar")</f>
        <v>Precio Estadar</v>
      </c>
      <c r="Q589" t="s">
        <v>1101</v>
      </c>
      <c r="R589" t="s">
        <v>1102</v>
      </c>
      <c r="S589" s="11">
        <v>45195</v>
      </c>
      <c r="T589" t="s">
        <v>3157</v>
      </c>
      <c r="U589" t="s">
        <v>1959</v>
      </c>
    </row>
    <row r="590" spans="2:21" x14ac:dyDescent="0.3">
      <c r="B590" t="s">
        <v>1100</v>
      </c>
      <c r="C590" t="s">
        <v>2415</v>
      </c>
      <c r="D590" t="s">
        <v>2436</v>
      </c>
      <c r="E590" t="s">
        <v>2580</v>
      </c>
      <c r="F590" t="s">
        <v>2580</v>
      </c>
      <c r="G590" s="8">
        <v>2220</v>
      </c>
      <c r="H590" s="8">
        <f>+IF(BDAlquilerDepartamentos[[#This Row],[Ciudad]]="Lima",BDAlquilerDepartamentos[[#This Row],[Prec. Soles]]*0.1,BDAlquilerDepartamentos[[#This Row],[Prec. Soles]]*0.05)</f>
        <v>222</v>
      </c>
      <c r="I590" s="4">
        <v>2</v>
      </c>
      <c r="J590" s="4">
        <v>1</v>
      </c>
      <c r="K590" s="4" t="s">
        <v>3096</v>
      </c>
      <c r="L590" s="4" t="s">
        <v>3095</v>
      </c>
      <c r="M590" s="4">
        <v>100</v>
      </c>
      <c r="N590" s="4">
        <v>2015</v>
      </c>
      <c r="O590" s="4" t="str">
        <f>+IF(BDAlquilerDepartamentos[[#This Row],[Prec. Soles]]&gt;2500,"Caro","Economico")</f>
        <v>Economico</v>
      </c>
      <c r="P590" s="4" t="str">
        <f>+IF(AND(BDAlquilerDepartamentos[[#This Row],[N° de Dorm.]]&gt; 3,BDAlquilerDepartamentos[[#This Row],[Prec. Soles]]&lt;= 2500),"Buena Oferta", "Precio Estadar")</f>
        <v>Precio Estadar</v>
      </c>
      <c r="Q590" t="s">
        <v>1101</v>
      </c>
      <c r="R590" t="s">
        <v>1102</v>
      </c>
      <c r="S590" s="11">
        <v>45596</v>
      </c>
      <c r="T590" t="s">
        <v>2819</v>
      </c>
      <c r="U590" t="s">
        <v>1960</v>
      </c>
    </row>
    <row r="591" spans="2:21" x14ac:dyDescent="0.3">
      <c r="B591" t="s">
        <v>1794</v>
      </c>
      <c r="C591" t="s">
        <v>2627</v>
      </c>
      <c r="D591" t="s">
        <v>2436</v>
      </c>
      <c r="E591" t="s">
        <v>2580</v>
      </c>
      <c r="F591" t="s">
        <v>2580</v>
      </c>
      <c r="G591" s="8">
        <v>6290</v>
      </c>
      <c r="H591" s="8">
        <f>+IF(BDAlquilerDepartamentos[[#This Row],[Ciudad]]="Lima",BDAlquilerDepartamentos[[#This Row],[Prec. Soles]]*0.1,BDAlquilerDepartamentos[[#This Row],[Prec. Soles]]*0.05)</f>
        <v>629</v>
      </c>
      <c r="I591" s="4">
        <v>4</v>
      </c>
      <c r="J591" s="4">
        <v>3</v>
      </c>
      <c r="K591" s="4" t="s">
        <v>3095</v>
      </c>
      <c r="L591" s="4" t="s">
        <v>3095</v>
      </c>
      <c r="M591" s="4">
        <v>360</v>
      </c>
      <c r="N591" s="4">
        <v>2006</v>
      </c>
      <c r="O591" s="4" t="str">
        <f>+IF(BDAlquilerDepartamentos[[#This Row],[Prec. Soles]]&gt;2500,"Caro","Economico")</f>
        <v>Caro</v>
      </c>
      <c r="P591" s="4" t="str">
        <f>+IF(AND(BDAlquilerDepartamentos[[#This Row],[N° de Dorm.]]&gt; 3,BDAlquilerDepartamentos[[#This Row],[Prec. Soles]]&lt;= 2500),"Buena Oferta", "Precio Estadar")</f>
        <v>Precio Estadar</v>
      </c>
      <c r="Q591" t="s">
        <v>1113</v>
      </c>
      <c r="R591" t="s">
        <v>1102</v>
      </c>
      <c r="S591" s="11">
        <v>44977</v>
      </c>
      <c r="T591" t="s">
        <v>3019</v>
      </c>
      <c r="U591" t="s">
        <v>1961</v>
      </c>
    </row>
    <row r="592" spans="2:21" x14ac:dyDescent="0.3">
      <c r="B592" t="s">
        <v>1962</v>
      </c>
      <c r="C592" t="s">
        <v>2696</v>
      </c>
      <c r="D592" t="s">
        <v>2506</v>
      </c>
      <c r="E592" t="s">
        <v>2580</v>
      </c>
      <c r="F592" t="s">
        <v>2580</v>
      </c>
      <c r="G592" s="8">
        <v>2500</v>
      </c>
      <c r="H592" s="8">
        <f>+IF(BDAlquilerDepartamentos[[#This Row],[Ciudad]]="Lima",BDAlquilerDepartamentos[[#This Row],[Prec. Soles]]*0.1,BDAlquilerDepartamentos[[#This Row],[Prec. Soles]]*0.05)</f>
        <v>250</v>
      </c>
      <c r="I592" s="4">
        <v>3</v>
      </c>
      <c r="J592" s="4">
        <v>2</v>
      </c>
      <c r="K592" s="4" t="s">
        <v>3095</v>
      </c>
      <c r="L592" s="4" t="s">
        <v>3096</v>
      </c>
      <c r="M592" s="4">
        <v>125</v>
      </c>
      <c r="N592" s="4">
        <v>2016</v>
      </c>
      <c r="O592" s="4" t="str">
        <f>+IF(BDAlquilerDepartamentos[[#This Row],[Prec. Soles]]&gt;2500,"Caro","Economico")</f>
        <v>Economico</v>
      </c>
      <c r="P592" s="4" t="str">
        <f>+IF(AND(BDAlquilerDepartamentos[[#This Row],[N° de Dorm.]]&gt; 3,BDAlquilerDepartamentos[[#This Row],[Prec. Soles]]&lt;= 2500),"Buena Oferta", "Precio Estadar")</f>
        <v>Precio Estadar</v>
      </c>
      <c r="Q592" t="s">
        <v>1101</v>
      </c>
      <c r="R592" t="s">
        <v>1102</v>
      </c>
      <c r="S592" s="11">
        <v>45208</v>
      </c>
      <c r="T592" t="s">
        <v>2915</v>
      </c>
      <c r="U592" t="s">
        <v>1963</v>
      </c>
    </row>
    <row r="593" spans="2:21" x14ac:dyDescent="0.3">
      <c r="B593" t="s">
        <v>1964</v>
      </c>
      <c r="C593" t="s">
        <v>2697</v>
      </c>
      <c r="D593" t="s">
        <v>2580</v>
      </c>
      <c r="E593" t="s">
        <v>2580</v>
      </c>
      <c r="F593" t="s">
        <v>2580</v>
      </c>
      <c r="G593" s="8">
        <v>2400</v>
      </c>
      <c r="H593" s="8">
        <f>+IF(BDAlquilerDepartamentos[[#This Row],[Ciudad]]="Lima",BDAlquilerDepartamentos[[#This Row],[Prec. Soles]]*0.1,BDAlquilerDepartamentos[[#This Row],[Prec. Soles]]*0.05)</f>
        <v>240</v>
      </c>
      <c r="I593" s="4">
        <v>3</v>
      </c>
      <c r="J593" s="4">
        <v>2</v>
      </c>
      <c r="K593" s="4" t="s">
        <v>3095</v>
      </c>
      <c r="L593" s="4" t="s">
        <v>3095</v>
      </c>
      <c r="M593" s="4">
        <v>120</v>
      </c>
      <c r="N593" s="4">
        <v>2018</v>
      </c>
      <c r="O593" s="4" t="str">
        <f>+IF(BDAlquilerDepartamentos[[#This Row],[Prec. Soles]]&gt;2500,"Caro","Economico")</f>
        <v>Economico</v>
      </c>
      <c r="P593" s="4" t="str">
        <f>+IF(AND(BDAlquilerDepartamentos[[#This Row],[N° de Dorm.]]&gt; 3,BDAlquilerDepartamentos[[#This Row],[Prec. Soles]]&lt;= 2500),"Buena Oferta", "Precio Estadar")</f>
        <v>Precio Estadar</v>
      </c>
      <c r="Q593" t="s">
        <v>1101</v>
      </c>
      <c r="R593" t="s">
        <v>1102</v>
      </c>
      <c r="S593" s="11">
        <v>45206</v>
      </c>
      <c r="T593" t="s">
        <v>2831</v>
      </c>
      <c r="U593" t="s">
        <v>1965</v>
      </c>
    </row>
    <row r="594" spans="2:21" x14ac:dyDescent="0.3">
      <c r="B594" t="s">
        <v>1966</v>
      </c>
      <c r="C594" t="s">
        <v>2698</v>
      </c>
      <c r="D594" t="s">
        <v>2422</v>
      </c>
      <c r="E594" t="s">
        <v>2580</v>
      </c>
      <c r="F594" t="s">
        <v>2580</v>
      </c>
      <c r="G594" s="8">
        <v>2294</v>
      </c>
      <c r="H594" s="8">
        <f>+IF(BDAlquilerDepartamentos[[#This Row],[Ciudad]]="Lima",BDAlquilerDepartamentos[[#This Row],[Prec. Soles]]*0.1,BDAlquilerDepartamentos[[#This Row],[Prec. Soles]]*0.05)</f>
        <v>229.4</v>
      </c>
      <c r="I594" s="4">
        <v>2</v>
      </c>
      <c r="J594" s="4">
        <v>2</v>
      </c>
      <c r="K594" s="4" t="s">
        <v>3095</v>
      </c>
      <c r="L594" s="4" t="s">
        <v>3096</v>
      </c>
      <c r="M594" s="4">
        <v>95</v>
      </c>
      <c r="N594" s="4">
        <v>2012</v>
      </c>
      <c r="O594" s="4" t="str">
        <f>+IF(BDAlquilerDepartamentos[[#This Row],[Prec. Soles]]&gt;2500,"Caro","Economico")</f>
        <v>Economico</v>
      </c>
      <c r="P594" s="4" t="str">
        <f>+IF(AND(BDAlquilerDepartamentos[[#This Row],[N° de Dorm.]]&gt; 3,BDAlquilerDepartamentos[[#This Row],[Prec. Soles]]&lt;= 2500),"Buena Oferta", "Precio Estadar")</f>
        <v>Precio Estadar</v>
      </c>
      <c r="Q594" t="s">
        <v>1101</v>
      </c>
      <c r="R594" t="s">
        <v>1102</v>
      </c>
      <c r="S594" s="11">
        <v>45482</v>
      </c>
      <c r="T594" t="s">
        <v>3020</v>
      </c>
      <c r="U594" t="s">
        <v>1967</v>
      </c>
    </row>
    <row r="595" spans="2:21" x14ac:dyDescent="0.3">
      <c r="B595" t="s">
        <v>1968</v>
      </c>
      <c r="C595" t="s">
        <v>2429</v>
      </c>
      <c r="D595" t="s">
        <v>2580</v>
      </c>
      <c r="E595" t="s">
        <v>2580</v>
      </c>
      <c r="F595" t="s">
        <v>2580</v>
      </c>
      <c r="G595" s="8">
        <v>7200</v>
      </c>
      <c r="H595" s="8">
        <f>+IF(BDAlquilerDepartamentos[[#This Row],[Ciudad]]="Lima",BDAlquilerDepartamentos[[#This Row],[Prec. Soles]]*0.1,BDAlquilerDepartamentos[[#This Row],[Prec. Soles]]*0.05)</f>
        <v>720</v>
      </c>
      <c r="I595" s="4">
        <v>7</v>
      </c>
      <c r="J595" s="4">
        <v>5</v>
      </c>
      <c r="K595" s="4" t="s">
        <v>3095</v>
      </c>
      <c r="L595" s="4" t="s">
        <v>3095</v>
      </c>
      <c r="M595" s="4">
        <v>180</v>
      </c>
      <c r="N595" s="4">
        <v>2006</v>
      </c>
      <c r="O595" s="4" t="str">
        <f>+IF(BDAlquilerDepartamentos[[#This Row],[Prec. Soles]]&gt;2500,"Caro","Economico")</f>
        <v>Caro</v>
      </c>
      <c r="P595" s="4" t="str">
        <f>+IF(AND(BDAlquilerDepartamentos[[#This Row],[N° de Dorm.]]&gt; 3,BDAlquilerDepartamentos[[#This Row],[Prec. Soles]]&lt;= 2500),"Buena Oferta", "Precio Estadar")</f>
        <v>Precio Estadar</v>
      </c>
      <c r="Q595" t="s">
        <v>1113</v>
      </c>
      <c r="R595" t="s">
        <v>1102</v>
      </c>
      <c r="S595" s="11">
        <v>45265</v>
      </c>
      <c r="T595" t="s">
        <v>2831</v>
      </c>
      <c r="U595" t="s">
        <v>1969</v>
      </c>
    </row>
    <row r="596" spans="2:21" x14ac:dyDescent="0.3">
      <c r="B596" t="s">
        <v>1404</v>
      </c>
      <c r="C596" t="s">
        <v>2545</v>
      </c>
      <c r="D596" t="s">
        <v>2580</v>
      </c>
      <c r="E596" t="s">
        <v>2580</v>
      </c>
      <c r="F596" t="s">
        <v>2580</v>
      </c>
      <c r="G596" s="8">
        <v>1050</v>
      </c>
      <c r="H596" s="8">
        <f>+IF(BDAlquilerDepartamentos[[#This Row],[Ciudad]]="Lima",BDAlquilerDepartamentos[[#This Row],[Prec. Soles]]*0.1,BDAlquilerDepartamentos[[#This Row],[Prec. Soles]]*0.05)</f>
        <v>105</v>
      </c>
      <c r="I596" s="4">
        <v>2</v>
      </c>
      <c r="J596" s="4">
        <v>1</v>
      </c>
      <c r="K596" s="4" t="s">
        <v>3095</v>
      </c>
      <c r="L596" s="4" t="s">
        <v>3095</v>
      </c>
      <c r="M596" s="4">
        <v>58</v>
      </c>
      <c r="N596" s="4">
        <v>2018</v>
      </c>
      <c r="O596" s="4" t="str">
        <f>+IF(BDAlquilerDepartamentos[[#This Row],[Prec. Soles]]&gt;2500,"Caro","Economico")</f>
        <v>Economico</v>
      </c>
      <c r="P596" s="4" t="str">
        <f>+IF(AND(BDAlquilerDepartamentos[[#This Row],[N° de Dorm.]]&gt; 3,BDAlquilerDepartamentos[[#This Row],[Prec. Soles]]&lt;= 2500),"Buena Oferta", "Precio Estadar")</f>
        <v>Precio Estadar</v>
      </c>
      <c r="Q596" t="s">
        <v>1101</v>
      </c>
      <c r="R596" t="s">
        <v>1102</v>
      </c>
      <c r="S596" s="11">
        <v>45097</v>
      </c>
      <c r="T596" t="s">
        <v>2857</v>
      </c>
      <c r="U596" t="s">
        <v>1970</v>
      </c>
    </row>
    <row r="597" spans="2:21" x14ac:dyDescent="0.3">
      <c r="B597" t="s">
        <v>3113</v>
      </c>
      <c r="C597" t="s">
        <v>3114</v>
      </c>
      <c r="D597" t="s">
        <v>2436</v>
      </c>
      <c r="E597" t="s">
        <v>2580</v>
      </c>
      <c r="F597" t="s">
        <v>2580</v>
      </c>
      <c r="G597" s="8">
        <v>3200</v>
      </c>
      <c r="H597" s="8">
        <f>+IF(BDAlquilerDepartamentos[[#This Row],[Ciudad]]="Lima",BDAlquilerDepartamentos[[#This Row],[Prec. Soles]]*0.1,BDAlquilerDepartamentos[[#This Row],[Prec. Soles]]*0.05)</f>
        <v>320</v>
      </c>
      <c r="I597" s="4">
        <v>2</v>
      </c>
      <c r="J597" s="4">
        <v>3</v>
      </c>
      <c r="K597" s="4" t="s">
        <v>3095</v>
      </c>
      <c r="L597" s="4" t="s">
        <v>3095</v>
      </c>
      <c r="M597" s="4">
        <v>86</v>
      </c>
      <c r="N597" s="4">
        <v>2014</v>
      </c>
      <c r="O597" s="4" t="str">
        <f>+IF(BDAlquilerDepartamentos[[#This Row],[Prec. Soles]]&gt;2500,"Caro","Economico")</f>
        <v>Caro</v>
      </c>
      <c r="P597" s="4" t="str">
        <f>+IF(AND(BDAlquilerDepartamentos[[#This Row],[N° de Dorm.]]&gt; 3,BDAlquilerDepartamentos[[#This Row],[Prec. Soles]]&lt;= 2500),"Buena Oferta", "Precio Estadar")</f>
        <v>Precio Estadar</v>
      </c>
      <c r="Q597" t="s">
        <v>1101</v>
      </c>
      <c r="R597" t="s">
        <v>1102</v>
      </c>
      <c r="S597" s="11">
        <v>45608</v>
      </c>
      <c r="T597" t="s">
        <v>2819</v>
      </c>
      <c r="U597" t="s">
        <v>1971</v>
      </c>
    </row>
    <row r="598" spans="2:21" x14ac:dyDescent="0.3">
      <c r="B598" t="s">
        <v>1964</v>
      </c>
      <c r="C598" t="s">
        <v>2697</v>
      </c>
      <c r="D598" t="s">
        <v>2580</v>
      </c>
      <c r="E598" t="s">
        <v>2580</v>
      </c>
      <c r="F598" t="s">
        <v>2580</v>
      </c>
      <c r="G598" s="8">
        <v>1200</v>
      </c>
      <c r="H598" s="8">
        <f>+IF(BDAlquilerDepartamentos[[#This Row],[Ciudad]]="Lima",BDAlquilerDepartamentos[[#This Row],[Prec. Soles]]*0.1,BDAlquilerDepartamentos[[#This Row],[Prec. Soles]]*0.05)</f>
        <v>120</v>
      </c>
      <c r="I598" s="4">
        <v>1</v>
      </c>
      <c r="J598" s="4">
        <v>1</v>
      </c>
      <c r="K598" s="4" t="s">
        <v>3096</v>
      </c>
      <c r="L598" s="4" t="s">
        <v>3095</v>
      </c>
      <c r="M598" s="4">
        <v>38</v>
      </c>
      <c r="N598" s="4">
        <v>2007</v>
      </c>
      <c r="O598" s="4" t="str">
        <f>+IF(BDAlquilerDepartamentos[[#This Row],[Prec. Soles]]&gt;2500,"Caro","Economico")</f>
        <v>Economico</v>
      </c>
      <c r="P598" s="4" t="str">
        <f>+IF(AND(BDAlquilerDepartamentos[[#This Row],[N° de Dorm.]]&gt; 3,BDAlquilerDepartamentos[[#This Row],[Prec. Soles]]&lt;= 2500),"Buena Oferta", "Precio Estadar")</f>
        <v>Precio Estadar</v>
      </c>
      <c r="Q598" t="s">
        <v>1101</v>
      </c>
      <c r="R598" t="s">
        <v>1102</v>
      </c>
      <c r="S598" s="11">
        <v>45336</v>
      </c>
      <c r="T598" t="s">
        <v>2831</v>
      </c>
      <c r="U598" t="s">
        <v>1972</v>
      </c>
    </row>
    <row r="599" spans="2:21" x14ac:dyDescent="0.3">
      <c r="B599" t="s">
        <v>1973</v>
      </c>
      <c r="C599" t="s">
        <v>2699</v>
      </c>
      <c r="D599" t="s">
        <v>2647</v>
      </c>
      <c r="E599" t="s">
        <v>2580</v>
      </c>
      <c r="F599" t="s">
        <v>2580</v>
      </c>
      <c r="G599" s="8">
        <v>65</v>
      </c>
      <c r="H599" s="8">
        <f>+IF(BDAlquilerDepartamentos[[#This Row],[Ciudad]]="Lima",BDAlquilerDepartamentos[[#This Row],[Prec. Soles]]*0.1,BDAlquilerDepartamentos[[#This Row],[Prec. Soles]]*0.05)</f>
        <v>6.5</v>
      </c>
      <c r="I599" s="4">
        <v>1</v>
      </c>
      <c r="J599" s="4">
        <v>1</v>
      </c>
      <c r="K599" s="4" t="s">
        <v>3095</v>
      </c>
      <c r="L599" s="4" t="s">
        <v>3096</v>
      </c>
      <c r="M599" s="4">
        <v>45</v>
      </c>
      <c r="N599" s="4">
        <v>2011</v>
      </c>
      <c r="O599" s="4" t="str">
        <f>+IF(BDAlquilerDepartamentos[[#This Row],[Prec. Soles]]&gt;2500,"Caro","Economico")</f>
        <v>Economico</v>
      </c>
      <c r="P599" s="4" t="str">
        <f>+IF(AND(BDAlquilerDepartamentos[[#This Row],[N° de Dorm.]]&gt; 3,BDAlquilerDepartamentos[[#This Row],[Prec. Soles]]&lt;= 2500),"Buena Oferta", "Precio Estadar")</f>
        <v>Precio Estadar</v>
      </c>
      <c r="Q599" t="s">
        <v>1101</v>
      </c>
      <c r="R599" t="s">
        <v>1102</v>
      </c>
      <c r="S599" s="11">
        <v>45195</v>
      </c>
      <c r="T599" t="s">
        <v>2861</v>
      </c>
      <c r="U599" t="s">
        <v>1974</v>
      </c>
    </row>
    <row r="600" spans="2:21" x14ac:dyDescent="0.3">
      <c r="B600" t="s">
        <v>1973</v>
      </c>
      <c r="C600" t="s">
        <v>2699</v>
      </c>
      <c r="D600" t="s">
        <v>2647</v>
      </c>
      <c r="E600" t="s">
        <v>2580</v>
      </c>
      <c r="F600" t="s">
        <v>2580</v>
      </c>
      <c r="G600" s="8">
        <v>65</v>
      </c>
      <c r="H600" s="8">
        <f>+IF(BDAlquilerDepartamentos[[#This Row],[Ciudad]]="Lima",BDAlquilerDepartamentos[[#This Row],[Prec. Soles]]*0.1,BDAlquilerDepartamentos[[#This Row],[Prec. Soles]]*0.05)</f>
        <v>6.5</v>
      </c>
      <c r="I600" s="4">
        <v>1</v>
      </c>
      <c r="J600" s="4">
        <v>1</v>
      </c>
      <c r="K600" s="4" t="s">
        <v>3096</v>
      </c>
      <c r="L600" s="4" t="s">
        <v>3096</v>
      </c>
      <c r="M600" s="4">
        <v>45</v>
      </c>
      <c r="N600" s="4">
        <v>2003</v>
      </c>
      <c r="O600" s="4" t="str">
        <f>+IF(BDAlquilerDepartamentos[[#This Row],[Prec. Soles]]&gt;2500,"Caro","Economico")</f>
        <v>Economico</v>
      </c>
      <c r="P600" s="4" t="str">
        <f>+IF(AND(BDAlquilerDepartamentos[[#This Row],[N° de Dorm.]]&gt; 3,BDAlquilerDepartamentos[[#This Row],[Prec. Soles]]&lt;= 2500),"Buena Oferta", "Precio Estadar")</f>
        <v>Precio Estadar</v>
      </c>
      <c r="Q600" t="s">
        <v>1101</v>
      </c>
      <c r="R600" t="s">
        <v>1102</v>
      </c>
      <c r="S600" s="11">
        <v>45019</v>
      </c>
      <c r="T600" t="s">
        <v>2861</v>
      </c>
      <c r="U600" t="s">
        <v>1975</v>
      </c>
    </row>
    <row r="601" spans="2:21" x14ac:dyDescent="0.3">
      <c r="B601" t="s">
        <v>1150</v>
      </c>
      <c r="C601" t="s">
        <v>2445</v>
      </c>
      <c r="D601" t="s">
        <v>2436</v>
      </c>
      <c r="E601" t="s">
        <v>2580</v>
      </c>
      <c r="F601" t="s">
        <v>2580</v>
      </c>
      <c r="G601" s="8">
        <v>4070</v>
      </c>
      <c r="H601" s="8">
        <f>+IF(BDAlquilerDepartamentos[[#This Row],[Ciudad]]="Lima",BDAlquilerDepartamentos[[#This Row],[Prec. Soles]]*0.1,BDAlquilerDepartamentos[[#This Row],[Prec. Soles]]*0.05)</f>
        <v>407</v>
      </c>
      <c r="I601" s="4">
        <v>2</v>
      </c>
      <c r="J601" s="4">
        <v>2</v>
      </c>
      <c r="K601" s="4" t="s">
        <v>3095</v>
      </c>
      <c r="L601" s="4" t="s">
        <v>3096</v>
      </c>
      <c r="M601" s="4">
        <v>126</v>
      </c>
      <c r="N601" s="4">
        <v>2004</v>
      </c>
      <c r="O601" s="4" t="str">
        <f>+IF(BDAlquilerDepartamentos[[#This Row],[Prec. Soles]]&gt;2500,"Caro","Economico")</f>
        <v>Caro</v>
      </c>
      <c r="P601" s="4" t="str">
        <f>+IF(AND(BDAlquilerDepartamentos[[#This Row],[N° de Dorm.]]&gt; 3,BDAlquilerDepartamentos[[#This Row],[Prec. Soles]]&lt;= 2500),"Buena Oferta", "Precio Estadar")</f>
        <v>Precio Estadar</v>
      </c>
      <c r="Q601" t="s">
        <v>1101</v>
      </c>
      <c r="R601" t="s">
        <v>1102</v>
      </c>
      <c r="S601" s="11">
        <v>45234</v>
      </c>
      <c r="T601" t="s">
        <v>3021</v>
      </c>
      <c r="U601" t="s">
        <v>1976</v>
      </c>
    </row>
    <row r="602" spans="2:21" x14ac:dyDescent="0.3">
      <c r="B602" t="s">
        <v>1779</v>
      </c>
      <c r="C602" t="s">
        <v>2648</v>
      </c>
      <c r="D602" t="s">
        <v>2430</v>
      </c>
      <c r="E602" t="s">
        <v>2580</v>
      </c>
      <c r="F602" t="s">
        <v>2580</v>
      </c>
      <c r="G602" s="8">
        <v>1200</v>
      </c>
      <c r="H602" s="8">
        <f>+IF(BDAlquilerDepartamentos[[#This Row],[Ciudad]]="Lima",BDAlquilerDepartamentos[[#This Row],[Prec. Soles]]*0.1,BDAlquilerDepartamentos[[#This Row],[Prec. Soles]]*0.05)</f>
        <v>120</v>
      </c>
      <c r="I602" s="4">
        <v>1</v>
      </c>
      <c r="J602" s="4">
        <v>1</v>
      </c>
      <c r="K602" s="4" t="s">
        <v>3095</v>
      </c>
      <c r="L602" s="4" t="s">
        <v>3096</v>
      </c>
      <c r="M602" s="4">
        <v>40</v>
      </c>
      <c r="N602" s="4">
        <v>2015</v>
      </c>
      <c r="O602" s="4" t="str">
        <f>+IF(BDAlquilerDepartamentos[[#This Row],[Prec. Soles]]&gt;2500,"Caro","Economico")</f>
        <v>Economico</v>
      </c>
      <c r="P602" s="4" t="str">
        <f>+IF(AND(BDAlquilerDepartamentos[[#This Row],[N° de Dorm.]]&gt; 3,BDAlquilerDepartamentos[[#This Row],[Prec. Soles]]&lt;= 2500),"Buena Oferta", "Precio Estadar")</f>
        <v>Precio Estadar</v>
      </c>
      <c r="Q602" t="s">
        <v>1101</v>
      </c>
      <c r="R602" t="s">
        <v>1102</v>
      </c>
      <c r="S602" s="11">
        <v>45446</v>
      </c>
      <c r="T602" t="s">
        <v>2849</v>
      </c>
      <c r="U602" t="s">
        <v>1977</v>
      </c>
    </row>
    <row r="603" spans="2:21" x14ac:dyDescent="0.3">
      <c r="B603" t="s">
        <v>1100</v>
      </c>
      <c r="C603" t="s">
        <v>2415</v>
      </c>
      <c r="D603" t="s">
        <v>2436</v>
      </c>
      <c r="E603" t="s">
        <v>2580</v>
      </c>
      <c r="F603" t="s">
        <v>2580</v>
      </c>
      <c r="G603" s="8">
        <v>2960</v>
      </c>
      <c r="H603" s="8">
        <f>+IF(BDAlquilerDepartamentos[[#This Row],[Ciudad]]="Lima",BDAlquilerDepartamentos[[#This Row],[Prec. Soles]]*0.1,BDAlquilerDepartamentos[[#This Row],[Prec. Soles]]*0.05)</f>
        <v>296</v>
      </c>
      <c r="I603" s="4">
        <v>1</v>
      </c>
      <c r="J603" s="4">
        <v>2</v>
      </c>
      <c r="K603" s="4" t="s">
        <v>3095</v>
      </c>
      <c r="L603" s="4" t="s">
        <v>3095</v>
      </c>
      <c r="M603" s="4">
        <v>83</v>
      </c>
      <c r="N603" s="4">
        <v>2011</v>
      </c>
      <c r="O603" s="4" t="str">
        <f>+IF(BDAlquilerDepartamentos[[#This Row],[Prec. Soles]]&gt;2500,"Caro","Economico")</f>
        <v>Caro</v>
      </c>
      <c r="P603" s="4" t="str">
        <f>+IF(AND(BDAlquilerDepartamentos[[#This Row],[N° de Dorm.]]&gt; 3,BDAlquilerDepartamentos[[#This Row],[Prec. Soles]]&lt;= 2500),"Buena Oferta", "Precio Estadar")</f>
        <v>Precio Estadar</v>
      </c>
      <c r="Q603" t="s">
        <v>1101</v>
      </c>
      <c r="R603" t="s">
        <v>1102</v>
      </c>
      <c r="S603" s="11">
        <v>45075</v>
      </c>
      <c r="T603" t="s">
        <v>2818</v>
      </c>
      <c r="U603" t="s">
        <v>1978</v>
      </c>
    </row>
    <row r="604" spans="2:21" x14ac:dyDescent="0.3">
      <c r="B604" t="s">
        <v>1300</v>
      </c>
      <c r="C604" t="s">
        <v>2512</v>
      </c>
      <c r="D604" t="s">
        <v>2422</v>
      </c>
      <c r="E604" t="s">
        <v>2580</v>
      </c>
      <c r="F604" t="s">
        <v>2580</v>
      </c>
      <c r="G604" s="8">
        <v>2775</v>
      </c>
      <c r="H604" s="8">
        <f>+IF(BDAlquilerDepartamentos[[#This Row],[Ciudad]]="Lima",BDAlquilerDepartamentos[[#This Row],[Prec. Soles]]*0.1,BDAlquilerDepartamentos[[#This Row],[Prec. Soles]]*0.05)</f>
        <v>277.5</v>
      </c>
      <c r="I604" s="4">
        <v>3</v>
      </c>
      <c r="J604" s="4">
        <v>2</v>
      </c>
      <c r="K604" s="4" t="s">
        <v>3095</v>
      </c>
      <c r="L604" s="4" t="s">
        <v>3096</v>
      </c>
      <c r="M604" s="4">
        <v>115</v>
      </c>
      <c r="N604" s="4">
        <v>2017</v>
      </c>
      <c r="O604" s="4" t="str">
        <f>+IF(BDAlquilerDepartamentos[[#This Row],[Prec. Soles]]&gt;2500,"Caro","Economico")</f>
        <v>Caro</v>
      </c>
      <c r="P604" s="4" t="str">
        <f>+IF(AND(BDAlquilerDepartamentos[[#This Row],[N° de Dorm.]]&gt; 3,BDAlquilerDepartamentos[[#This Row],[Prec. Soles]]&lt;= 2500),"Buena Oferta", "Precio Estadar")</f>
        <v>Precio Estadar</v>
      </c>
      <c r="Q604" t="s">
        <v>1101</v>
      </c>
      <c r="R604" t="s">
        <v>1102</v>
      </c>
      <c r="S604" s="11">
        <v>45588</v>
      </c>
      <c r="T604" t="s">
        <v>2827</v>
      </c>
      <c r="U604" t="s">
        <v>1979</v>
      </c>
    </row>
    <row r="605" spans="2:21" x14ac:dyDescent="0.3">
      <c r="B605" t="s">
        <v>1189</v>
      </c>
      <c r="C605" t="s">
        <v>2465</v>
      </c>
      <c r="D605" t="s">
        <v>2418</v>
      </c>
      <c r="E605" t="s">
        <v>2580</v>
      </c>
      <c r="F605" t="s">
        <v>2580</v>
      </c>
      <c r="G605" s="8">
        <v>6956</v>
      </c>
      <c r="H605" s="8">
        <f>+IF(BDAlquilerDepartamentos[[#This Row],[Ciudad]]="Lima",BDAlquilerDepartamentos[[#This Row],[Prec. Soles]]*0.1,BDAlquilerDepartamentos[[#This Row],[Prec. Soles]]*0.05)</f>
        <v>695.6</v>
      </c>
      <c r="I605" s="4">
        <v>3</v>
      </c>
      <c r="J605" s="4">
        <v>2</v>
      </c>
      <c r="K605" s="4" t="s">
        <v>3095</v>
      </c>
      <c r="L605" s="4" t="s">
        <v>3096</v>
      </c>
      <c r="M605" s="4">
        <v>235</v>
      </c>
      <c r="N605" s="4">
        <v>2005</v>
      </c>
      <c r="O605" s="4" t="str">
        <f>+IF(BDAlquilerDepartamentos[[#This Row],[Prec. Soles]]&gt;2500,"Caro","Economico")</f>
        <v>Caro</v>
      </c>
      <c r="P605" s="4" t="str">
        <f>+IF(AND(BDAlquilerDepartamentos[[#This Row],[N° de Dorm.]]&gt; 3,BDAlquilerDepartamentos[[#This Row],[Prec. Soles]]&lt;= 2500),"Buena Oferta", "Precio Estadar")</f>
        <v>Precio Estadar</v>
      </c>
      <c r="Q605" t="s">
        <v>1101</v>
      </c>
      <c r="R605" t="s">
        <v>1102</v>
      </c>
      <c r="S605" s="11">
        <v>45214</v>
      </c>
      <c r="T605" t="s">
        <v>2982</v>
      </c>
      <c r="U605" t="s">
        <v>1980</v>
      </c>
    </row>
    <row r="606" spans="2:21" x14ac:dyDescent="0.3">
      <c r="B606" t="s">
        <v>1981</v>
      </c>
      <c r="C606" t="s">
        <v>2700</v>
      </c>
      <c r="D606" t="s">
        <v>2580</v>
      </c>
      <c r="E606" t="s">
        <v>2580</v>
      </c>
      <c r="F606" t="s">
        <v>2580</v>
      </c>
      <c r="G606" s="8">
        <v>4500</v>
      </c>
      <c r="H606" s="8">
        <f>+IF(BDAlquilerDepartamentos[[#This Row],[Ciudad]]="Lima",BDAlquilerDepartamentos[[#This Row],[Prec. Soles]]*0.1,BDAlquilerDepartamentos[[#This Row],[Prec. Soles]]*0.05)</f>
        <v>450</v>
      </c>
      <c r="I606" s="4">
        <v>7</v>
      </c>
      <c r="J606" s="4">
        <v>3</v>
      </c>
      <c r="K606" s="4" t="s">
        <v>3095</v>
      </c>
      <c r="L606" s="4" t="s">
        <v>3096</v>
      </c>
      <c r="M606" s="4">
        <v>180</v>
      </c>
      <c r="N606" s="4">
        <v>2013</v>
      </c>
      <c r="O606" s="4" t="str">
        <f>+IF(BDAlquilerDepartamentos[[#This Row],[Prec. Soles]]&gt;2500,"Caro","Economico")</f>
        <v>Caro</v>
      </c>
      <c r="P606" s="4" t="str">
        <f>+IF(AND(BDAlquilerDepartamentos[[#This Row],[N° de Dorm.]]&gt; 3,BDAlquilerDepartamentos[[#This Row],[Prec. Soles]]&lt;= 2500),"Buena Oferta", "Precio Estadar")</f>
        <v>Precio Estadar</v>
      </c>
      <c r="Q606" t="s">
        <v>1101</v>
      </c>
      <c r="R606" t="s">
        <v>1102</v>
      </c>
      <c r="S606" s="11">
        <v>45403</v>
      </c>
      <c r="T606" t="s">
        <v>2841</v>
      </c>
      <c r="U606" t="s">
        <v>1982</v>
      </c>
    </row>
    <row r="607" spans="2:21" x14ac:dyDescent="0.3">
      <c r="B607" t="s">
        <v>1143</v>
      </c>
      <c r="C607" t="s">
        <v>2441</v>
      </c>
      <c r="D607" t="s">
        <v>2428</v>
      </c>
      <c r="E607" t="s">
        <v>2580</v>
      </c>
      <c r="F607" t="s">
        <v>2580</v>
      </c>
      <c r="G607" s="8">
        <v>4255</v>
      </c>
      <c r="H607" s="8">
        <f>+IF(BDAlquilerDepartamentos[[#This Row],[Ciudad]]="Lima",BDAlquilerDepartamentos[[#This Row],[Prec. Soles]]*0.1,BDAlquilerDepartamentos[[#This Row],[Prec. Soles]]*0.05)</f>
        <v>425.5</v>
      </c>
      <c r="I607" s="4">
        <v>3</v>
      </c>
      <c r="J607" s="4">
        <v>4</v>
      </c>
      <c r="K607" s="4" t="s">
        <v>3096</v>
      </c>
      <c r="L607" s="4" t="s">
        <v>3095</v>
      </c>
      <c r="M607" s="4">
        <v>135</v>
      </c>
      <c r="N607" s="4">
        <v>2009</v>
      </c>
      <c r="O607" s="4" t="str">
        <f>+IF(BDAlquilerDepartamentos[[#This Row],[Prec. Soles]]&gt;2500,"Caro","Economico")</f>
        <v>Caro</v>
      </c>
      <c r="P607" s="4" t="str">
        <f>+IF(AND(BDAlquilerDepartamentos[[#This Row],[N° de Dorm.]]&gt; 3,BDAlquilerDepartamentos[[#This Row],[Prec. Soles]]&lt;= 2500),"Buena Oferta", "Precio Estadar")</f>
        <v>Precio Estadar</v>
      </c>
      <c r="Q607" t="s">
        <v>1101</v>
      </c>
      <c r="R607" t="s">
        <v>1102</v>
      </c>
      <c r="S607" s="11">
        <v>45113</v>
      </c>
      <c r="T607" t="s">
        <v>3022</v>
      </c>
      <c r="U607" t="s">
        <v>1983</v>
      </c>
    </row>
    <row r="608" spans="2:21" x14ac:dyDescent="0.3">
      <c r="B608" t="s">
        <v>1984</v>
      </c>
      <c r="C608" t="s">
        <v>2701</v>
      </c>
      <c r="D608" t="s">
        <v>2473</v>
      </c>
      <c r="E608" t="s">
        <v>2474</v>
      </c>
      <c r="F608" t="s">
        <v>2474</v>
      </c>
      <c r="G608" s="8">
        <v>6</v>
      </c>
      <c r="H608" s="8">
        <f>+IF(BDAlquilerDepartamentos[[#This Row],[Ciudad]]="Lima",BDAlquilerDepartamentos[[#This Row],[Prec. Soles]]*0.1,BDAlquilerDepartamentos[[#This Row],[Prec. Soles]]*0.05)</f>
        <v>0.30000000000000004</v>
      </c>
      <c r="I608" s="4">
        <v>1</v>
      </c>
      <c r="J608" s="4">
        <v>1</v>
      </c>
      <c r="K608" s="4" t="s">
        <v>3095</v>
      </c>
      <c r="L608" s="4" t="s">
        <v>3095</v>
      </c>
      <c r="M608" s="4">
        <v>40</v>
      </c>
      <c r="N608" s="4">
        <v>2015</v>
      </c>
      <c r="O608" s="4" t="str">
        <f>+IF(BDAlquilerDepartamentos[[#This Row],[Prec. Soles]]&gt;2500,"Caro","Economico")</f>
        <v>Economico</v>
      </c>
      <c r="P608" s="4" t="str">
        <f>+IF(AND(BDAlquilerDepartamentos[[#This Row],[N° de Dorm.]]&gt; 3,BDAlquilerDepartamentos[[#This Row],[Prec. Soles]]&lt;= 2500),"Buena Oferta", "Precio Estadar")</f>
        <v>Precio Estadar</v>
      </c>
      <c r="Q608" t="s">
        <v>1101</v>
      </c>
      <c r="R608" t="s">
        <v>1102</v>
      </c>
      <c r="S608" s="11">
        <v>45272</v>
      </c>
      <c r="T608" t="s">
        <v>2852</v>
      </c>
      <c r="U608" t="s">
        <v>1985</v>
      </c>
    </row>
    <row r="609" spans="2:21" x14ac:dyDescent="0.3">
      <c r="B609" t="s">
        <v>1986</v>
      </c>
      <c r="C609" t="s">
        <v>2702</v>
      </c>
      <c r="D609" t="s">
        <v>2689</v>
      </c>
      <c r="E609" t="s">
        <v>2689</v>
      </c>
      <c r="F609" t="s">
        <v>2689</v>
      </c>
      <c r="G609" s="8">
        <v>4800</v>
      </c>
      <c r="H609" s="8">
        <f>+IF(BDAlquilerDepartamentos[[#This Row],[Ciudad]]="Lima",BDAlquilerDepartamentos[[#This Row],[Prec. Soles]]*0.1,BDAlquilerDepartamentos[[#This Row],[Prec. Soles]]*0.05)</f>
        <v>240</v>
      </c>
      <c r="I609" s="4">
        <v>8</v>
      </c>
      <c r="J609" s="4">
        <v>4</v>
      </c>
      <c r="K609" s="4" t="s">
        <v>3096</v>
      </c>
      <c r="L609" s="4" t="s">
        <v>3096</v>
      </c>
      <c r="M609" s="4">
        <v>520</v>
      </c>
      <c r="N609" s="4">
        <v>2004</v>
      </c>
      <c r="O609" s="4" t="str">
        <f>+IF(BDAlquilerDepartamentos[[#This Row],[Prec. Soles]]&gt;2500,"Caro","Economico")</f>
        <v>Caro</v>
      </c>
      <c r="P609" s="4" t="str">
        <f>+IF(AND(BDAlquilerDepartamentos[[#This Row],[N° de Dorm.]]&gt; 3,BDAlquilerDepartamentos[[#This Row],[Prec. Soles]]&lt;= 2500),"Buena Oferta", "Precio Estadar")</f>
        <v>Precio Estadar</v>
      </c>
      <c r="Q609" t="s">
        <v>1113</v>
      </c>
      <c r="R609" t="s">
        <v>1102</v>
      </c>
      <c r="S609" s="11">
        <v>45001</v>
      </c>
      <c r="T609" t="s">
        <v>3023</v>
      </c>
      <c r="U609" t="s">
        <v>1987</v>
      </c>
    </row>
    <row r="610" spans="2:21" x14ac:dyDescent="0.3">
      <c r="B610" t="s">
        <v>1649</v>
      </c>
      <c r="C610" t="s">
        <v>2613</v>
      </c>
      <c r="D610" t="s">
        <v>2435</v>
      </c>
      <c r="E610" t="s">
        <v>2580</v>
      </c>
      <c r="F610" t="s">
        <v>2580</v>
      </c>
      <c r="G610" s="8">
        <v>2300</v>
      </c>
      <c r="H610" s="8">
        <f>+IF(BDAlquilerDepartamentos[[#This Row],[Ciudad]]="Lima",BDAlquilerDepartamentos[[#This Row],[Prec. Soles]]*0.1,BDAlquilerDepartamentos[[#This Row],[Prec. Soles]]*0.05)</f>
        <v>230</v>
      </c>
      <c r="I610" s="4">
        <v>2</v>
      </c>
      <c r="J610" s="4">
        <v>1</v>
      </c>
      <c r="K610" s="4" t="s">
        <v>3095</v>
      </c>
      <c r="L610" s="4" t="s">
        <v>3096</v>
      </c>
      <c r="M610" s="4">
        <v>75</v>
      </c>
      <c r="N610" s="4">
        <v>2004</v>
      </c>
      <c r="O610" s="4" t="str">
        <f>+IF(BDAlquilerDepartamentos[[#This Row],[Prec. Soles]]&gt;2500,"Caro","Economico")</f>
        <v>Economico</v>
      </c>
      <c r="P610" s="4" t="str">
        <f>+IF(AND(BDAlquilerDepartamentos[[#This Row],[N° de Dorm.]]&gt; 3,BDAlquilerDepartamentos[[#This Row],[Prec. Soles]]&lt;= 2500),"Buena Oferta", "Precio Estadar")</f>
        <v>Precio Estadar</v>
      </c>
      <c r="Q610" t="s">
        <v>1101</v>
      </c>
      <c r="R610" t="s">
        <v>1102</v>
      </c>
      <c r="S610" s="11">
        <v>45380</v>
      </c>
      <c r="T610" t="s">
        <v>2869</v>
      </c>
      <c r="U610" t="s">
        <v>1988</v>
      </c>
    </row>
    <row r="611" spans="2:21" x14ac:dyDescent="0.3">
      <c r="B611" t="s">
        <v>1617</v>
      </c>
      <c r="C611" t="s">
        <v>2606</v>
      </c>
      <c r="D611" t="s">
        <v>2689</v>
      </c>
      <c r="E611" t="s">
        <v>3129</v>
      </c>
      <c r="F611" t="s">
        <v>3129</v>
      </c>
      <c r="G611" s="8">
        <v>6500</v>
      </c>
      <c r="H611" s="8">
        <f>+IF(BDAlquilerDepartamentos[[#This Row],[Ciudad]]="Lima",BDAlquilerDepartamentos[[#This Row],[Prec. Soles]]*0.1,BDAlquilerDepartamentos[[#This Row],[Prec. Soles]]*0.05)</f>
        <v>325</v>
      </c>
      <c r="I611" s="4">
        <v>3</v>
      </c>
      <c r="J611" s="4">
        <v>3</v>
      </c>
      <c r="K611" s="4" t="s">
        <v>3096</v>
      </c>
      <c r="L611" s="4" t="s">
        <v>3095</v>
      </c>
      <c r="M611" s="4">
        <v>210</v>
      </c>
      <c r="N611" s="4">
        <v>2014</v>
      </c>
      <c r="O611" s="4" t="str">
        <f>+IF(BDAlquilerDepartamentos[[#This Row],[Prec. Soles]]&gt;2500,"Caro","Economico")</f>
        <v>Caro</v>
      </c>
      <c r="P611" s="4" t="str">
        <f>+IF(AND(BDAlquilerDepartamentos[[#This Row],[N° de Dorm.]]&gt; 3,BDAlquilerDepartamentos[[#This Row],[Prec. Soles]]&lt;= 2500),"Buena Oferta", "Precio Estadar")</f>
        <v>Precio Estadar</v>
      </c>
      <c r="Q611" t="s">
        <v>1113</v>
      </c>
      <c r="R611" t="s">
        <v>1102</v>
      </c>
      <c r="S611" s="11">
        <v>45633</v>
      </c>
      <c r="T611" t="s">
        <v>3023</v>
      </c>
      <c r="U611" t="s">
        <v>1989</v>
      </c>
    </row>
    <row r="612" spans="2:21" x14ac:dyDescent="0.3">
      <c r="B612" t="s">
        <v>1990</v>
      </c>
      <c r="C612" t="s">
        <v>2449</v>
      </c>
      <c r="D612" t="s">
        <v>2430</v>
      </c>
      <c r="E612" t="s">
        <v>2580</v>
      </c>
      <c r="F612" t="s">
        <v>2580</v>
      </c>
      <c r="G612" s="8">
        <v>10360</v>
      </c>
      <c r="H612" s="8">
        <f>+IF(BDAlquilerDepartamentos[[#This Row],[Ciudad]]="Lima",BDAlquilerDepartamentos[[#This Row],[Prec. Soles]]*0.1,BDAlquilerDepartamentos[[#This Row],[Prec. Soles]]*0.05)</f>
        <v>1036</v>
      </c>
      <c r="I612" s="4">
        <v>3</v>
      </c>
      <c r="J612" s="4">
        <v>2</v>
      </c>
      <c r="K612" s="4" t="s">
        <v>3096</v>
      </c>
      <c r="L612" s="4" t="s">
        <v>3095</v>
      </c>
      <c r="M612" s="4">
        <v>570</v>
      </c>
      <c r="N612" s="4">
        <v>2003</v>
      </c>
      <c r="O612" s="4" t="str">
        <f>+IF(BDAlquilerDepartamentos[[#This Row],[Prec. Soles]]&gt;2500,"Caro","Economico")</f>
        <v>Caro</v>
      </c>
      <c r="P612" s="4" t="str">
        <f>+IF(AND(BDAlquilerDepartamentos[[#This Row],[N° de Dorm.]]&gt; 3,BDAlquilerDepartamentos[[#This Row],[Prec. Soles]]&lt;= 2500),"Buena Oferta", "Precio Estadar")</f>
        <v>Precio Estadar</v>
      </c>
      <c r="Q612" t="s">
        <v>1113</v>
      </c>
      <c r="R612" t="s">
        <v>1102</v>
      </c>
      <c r="S612" s="11">
        <v>45028</v>
      </c>
      <c r="T612" t="s">
        <v>2826</v>
      </c>
      <c r="U612" t="s">
        <v>1991</v>
      </c>
    </row>
    <row r="613" spans="2:21" x14ac:dyDescent="0.3">
      <c r="B613" t="s">
        <v>1992</v>
      </c>
      <c r="C613" t="s">
        <v>2703</v>
      </c>
      <c r="D613" t="s">
        <v>2428</v>
      </c>
      <c r="E613" t="s">
        <v>2580</v>
      </c>
      <c r="F613" t="s">
        <v>2580</v>
      </c>
      <c r="G613" s="8">
        <v>5180</v>
      </c>
      <c r="H613" s="8">
        <f>+IF(BDAlquilerDepartamentos[[#This Row],[Ciudad]]="Lima",BDAlquilerDepartamentos[[#This Row],[Prec. Soles]]*0.1,BDAlquilerDepartamentos[[#This Row],[Prec. Soles]]*0.05)</f>
        <v>518</v>
      </c>
      <c r="I613" s="4">
        <v>3</v>
      </c>
      <c r="J613" s="4">
        <v>3</v>
      </c>
      <c r="K613" s="4" t="s">
        <v>3096</v>
      </c>
      <c r="L613" s="4" t="s">
        <v>3095</v>
      </c>
      <c r="M613" s="4">
        <v>176</v>
      </c>
      <c r="N613" s="4">
        <v>2013</v>
      </c>
      <c r="O613" s="4" t="str">
        <f>+IF(BDAlquilerDepartamentos[[#This Row],[Prec. Soles]]&gt;2500,"Caro","Economico")</f>
        <v>Caro</v>
      </c>
      <c r="P613" s="4" t="str">
        <f>+IF(AND(BDAlquilerDepartamentos[[#This Row],[N° de Dorm.]]&gt; 3,BDAlquilerDepartamentos[[#This Row],[Prec. Soles]]&lt;= 2500),"Buena Oferta", "Precio Estadar")</f>
        <v>Precio Estadar</v>
      </c>
      <c r="Q613" t="s">
        <v>1101</v>
      </c>
      <c r="R613" t="s">
        <v>1102</v>
      </c>
      <c r="S613" s="11">
        <v>45436</v>
      </c>
      <c r="T613" t="s">
        <v>2985</v>
      </c>
      <c r="U613" t="s">
        <v>1993</v>
      </c>
    </row>
    <row r="614" spans="2:21" x14ac:dyDescent="0.3">
      <c r="B614" t="s">
        <v>1994</v>
      </c>
      <c r="C614" t="s">
        <v>2704</v>
      </c>
      <c r="D614" t="s">
        <v>2805</v>
      </c>
      <c r="E614" t="s">
        <v>2580</v>
      </c>
      <c r="F614" t="s">
        <v>2580</v>
      </c>
      <c r="G614" s="8">
        <v>3700</v>
      </c>
      <c r="H614" s="8">
        <f>+IF(BDAlquilerDepartamentos[[#This Row],[Ciudad]]="Lima",BDAlquilerDepartamentos[[#This Row],[Prec. Soles]]*0.1,BDAlquilerDepartamentos[[#This Row],[Prec. Soles]]*0.05)</f>
        <v>370</v>
      </c>
      <c r="I614" s="4">
        <v>4</v>
      </c>
      <c r="J614" s="4">
        <v>3</v>
      </c>
      <c r="K614" s="4" t="s">
        <v>3096</v>
      </c>
      <c r="L614" s="4" t="s">
        <v>3095</v>
      </c>
      <c r="M614" s="4">
        <v>160</v>
      </c>
      <c r="N614" s="4">
        <v>2015</v>
      </c>
      <c r="O614" s="4" t="str">
        <f>+IF(BDAlquilerDepartamentos[[#This Row],[Prec. Soles]]&gt;2500,"Caro","Economico")</f>
        <v>Caro</v>
      </c>
      <c r="P614" s="4" t="str">
        <f>+IF(AND(BDAlquilerDepartamentos[[#This Row],[N° de Dorm.]]&gt; 3,BDAlquilerDepartamentos[[#This Row],[Prec. Soles]]&lt;= 2500),"Buena Oferta", "Precio Estadar")</f>
        <v>Precio Estadar</v>
      </c>
      <c r="Q614" t="s">
        <v>1101</v>
      </c>
      <c r="R614" t="s">
        <v>1102</v>
      </c>
      <c r="S614" s="11">
        <v>45047</v>
      </c>
      <c r="T614" t="s">
        <v>2826</v>
      </c>
      <c r="U614" t="s">
        <v>1995</v>
      </c>
    </row>
    <row r="615" spans="2:21" x14ac:dyDescent="0.3">
      <c r="B615" t="s">
        <v>1167</v>
      </c>
      <c r="C615" t="s">
        <v>2454</v>
      </c>
      <c r="D615" t="s">
        <v>2418</v>
      </c>
      <c r="E615" t="s">
        <v>2580</v>
      </c>
      <c r="F615" t="s">
        <v>2580</v>
      </c>
      <c r="G615" s="8">
        <v>2035</v>
      </c>
      <c r="H615" s="8">
        <f>+IF(BDAlquilerDepartamentos[[#This Row],[Ciudad]]="Lima",BDAlquilerDepartamentos[[#This Row],[Prec. Soles]]*0.1,BDAlquilerDepartamentos[[#This Row],[Prec. Soles]]*0.05)</f>
        <v>203.5</v>
      </c>
      <c r="I615" s="4">
        <v>2</v>
      </c>
      <c r="J615" s="4">
        <v>1</v>
      </c>
      <c r="K615" s="4" t="s">
        <v>3095</v>
      </c>
      <c r="L615" s="4" t="s">
        <v>3095</v>
      </c>
      <c r="M615" s="4">
        <v>62</v>
      </c>
      <c r="N615" s="4">
        <v>2014</v>
      </c>
      <c r="O615" s="4" t="str">
        <f>+IF(BDAlquilerDepartamentos[[#This Row],[Prec. Soles]]&gt;2500,"Caro","Economico")</f>
        <v>Economico</v>
      </c>
      <c r="P615" s="4" t="str">
        <f>+IF(AND(BDAlquilerDepartamentos[[#This Row],[N° de Dorm.]]&gt; 3,BDAlquilerDepartamentos[[#This Row],[Prec. Soles]]&lt;= 2500),"Buena Oferta", "Precio Estadar")</f>
        <v>Precio Estadar</v>
      </c>
      <c r="Q615" t="s">
        <v>1101</v>
      </c>
      <c r="R615" t="s">
        <v>1102</v>
      </c>
      <c r="S615" s="11">
        <v>44973</v>
      </c>
      <c r="T615" t="s">
        <v>2826</v>
      </c>
      <c r="U615" t="s">
        <v>1996</v>
      </c>
    </row>
    <row r="616" spans="2:21" x14ac:dyDescent="0.3">
      <c r="B616" t="s">
        <v>1118</v>
      </c>
      <c r="C616" t="s">
        <v>2426</v>
      </c>
      <c r="D616" t="s">
        <v>2436</v>
      </c>
      <c r="E616" t="s">
        <v>2580</v>
      </c>
      <c r="F616" t="s">
        <v>2580</v>
      </c>
      <c r="G616" s="8">
        <v>7400</v>
      </c>
      <c r="H616" s="8">
        <f>+IF(BDAlquilerDepartamentos[[#This Row],[Ciudad]]="Lima",BDAlquilerDepartamentos[[#This Row],[Prec. Soles]]*0.1,BDAlquilerDepartamentos[[#This Row],[Prec. Soles]]*0.05)</f>
        <v>740</v>
      </c>
      <c r="I616" s="4">
        <v>3</v>
      </c>
      <c r="J616" s="4">
        <v>2</v>
      </c>
      <c r="K616" s="4" t="s">
        <v>3096</v>
      </c>
      <c r="L616" s="4" t="s">
        <v>3096</v>
      </c>
      <c r="M616" s="4">
        <v>200</v>
      </c>
      <c r="N616" s="4">
        <v>2009</v>
      </c>
      <c r="O616" s="4" t="str">
        <f>+IF(BDAlquilerDepartamentos[[#This Row],[Prec. Soles]]&gt;2500,"Caro","Economico")</f>
        <v>Caro</v>
      </c>
      <c r="P616" s="4" t="str">
        <f>+IF(AND(BDAlquilerDepartamentos[[#This Row],[N° de Dorm.]]&gt; 3,BDAlquilerDepartamentos[[#This Row],[Prec. Soles]]&lt;= 2500),"Buena Oferta", "Precio Estadar")</f>
        <v>Precio Estadar</v>
      </c>
      <c r="Q616" t="s">
        <v>1101</v>
      </c>
      <c r="R616" t="s">
        <v>1102</v>
      </c>
      <c r="S616" s="11">
        <v>45488</v>
      </c>
      <c r="T616" t="s">
        <v>2844</v>
      </c>
      <c r="U616" t="s">
        <v>1997</v>
      </c>
    </row>
    <row r="617" spans="2:21" x14ac:dyDescent="0.3">
      <c r="B617" t="s">
        <v>3113</v>
      </c>
      <c r="C617" t="s">
        <v>3114</v>
      </c>
      <c r="D617" t="s">
        <v>2436</v>
      </c>
      <c r="E617" t="s">
        <v>2580</v>
      </c>
      <c r="F617" t="s">
        <v>2580</v>
      </c>
      <c r="G617" s="8">
        <v>3700</v>
      </c>
      <c r="H617" s="8">
        <f>+IF(BDAlquilerDepartamentos[[#This Row],[Ciudad]]="Lima",BDAlquilerDepartamentos[[#This Row],[Prec. Soles]]*0.1,BDAlquilerDepartamentos[[#This Row],[Prec. Soles]]*0.05)</f>
        <v>370</v>
      </c>
      <c r="I617" s="4">
        <v>3</v>
      </c>
      <c r="J617" s="4">
        <v>3</v>
      </c>
      <c r="K617" s="4" t="s">
        <v>3095</v>
      </c>
      <c r="L617" s="4" t="s">
        <v>3095</v>
      </c>
      <c r="M617" s="4">
        <v>120</v>
      </c>
      <c r="N617" s="4">
        <v>2012</v>
      </c>
      <c r="O617" s="4" t="str">
        <f>+IF(BDAlquilerDepartamentos[[#This Row],[Prec. Soles]]&gt;2500,"Caro","Economico")</f>
        <v>Caro</v>
      </c>
      <c r="P617" s="4" t="str">
        <f>+IF(AND(BDAlquilerDepartamentos[[#This Row],[N° de Dorm.]]&gt; 3,BDAlquilerDepartamentos[[#This Row],[Prec. Soles]]&lt;= 2500),"Buena Oferta", "Precio Estadar")</f>
        <v>Precio Estadar</v>
      </c>
      <c r="Q617" t="s">
        <v>1101</v>
      </c>
      <c r="R617" t="s">
        <v>1102</v>
      </c>
      <c r="S617" s="11">
        <v>45434</v>
      </c>
      <c r="T617" t="s">
        <v>3024</v>
      </c>
      <c r="U617" t="s">
        <v>1998</v>
      </c>
    </row>
    <row r="618" spans="2:21" x14ac:dyDescent="0.3">
      <c r="B618" t="s">
        <v>1148</v>
      </c>
      <c r="C618" t="s">
        <v>2443</v>
      </c>
      <c r="D618" t="s">
        <v>2444</v>
      </c>
      <c r="E618" t="s">
        <v>2580</v>
      </c>
      <c r="F618" t="s">
        <v>2580</v>
      </c>
      <c r="G618" s="8">
        <v>2900</v>
      </c>
      <c r="H618" s="8">
        <f>+IF(BDAlquilerDepartamentos[[#This Row],[Ciudad]]="Lima",BDAlquilerDepartamentos[[#This Row],[Prec. Soles]]*0.1,BDAlquilerDepartamentos[[#This Row],[Prec. Soles]]*0.05)</f>
        <v>290</v>
      </c>
      <c r="I618" s="4">
        <v>3</v>
      </c>
      <c r="J618" s="4">
        <v>3</v>
      </c>
      <c r="K618" s="4" t="s">
        <v>3096</v>
      </c>
      <c r="L618" s="4" t="s">
        <v>3096</v>
      </c>
      <c r="M618" s="4">
        <v>120</v>
      </c>
      <c r="N618" s="4">
        <v>2017</v>
      </c>
      <c r="O618" s="4" t="str">
        <f>+IF(BDAlquilerDepartamentos[[#This Row],[Prec. Soles]]&gt;2500,"Caro","Economico")</f>
        <v>Caro</v>
      </c>
      <c r="P618" s="4" t="str">
        <f>+IF(AND(BDAlquilerDepartamentos[[#This Row],[N° de Dorm.]]&gt; 3,BDAlquilerDepartamentos[[#This Row],[Prec. Soles]]&lt;= 2500),"Buena Oferta", "Precio Estadar")</f>
        <v>Precio Estadar</v>
      </c>
      <c r="Q618" t="s">
        <v>1101</v>
      </c>
      <c r="R618" t="s">
        <v>1102</v>
      </c>
      <c r="S618" s="11">
        <v>45028</v>
      </c>
      <c r="T618" t="s">
        <v>3025</v>
      </c>
      <c r="U618" t="s">
        <v>1999</v>
      </c>
    </row>
    <row r="619" spans="2:21" x14ac:dyDescent="0.3">
      <c r="B619" t="s">
        <v>3113</v>
      </c>
      <c r="C619" t="s">
        <v>3114</v>
      </c>
      <c r="D619" t="s">
        <v>2436</v>
      </c>
      <c r="E619" t="s">
        <v>2580</v>
      </c>
      <c r="F619" t="s">
        <v>2580</v>
      </c>
      <c r="G619" s="8">
        <v>2900</v>
      </c>
      <c r="H619" s="8">
        <f>+IF(BDAlquilerDepartamentos[[#This Row],[Ciudad]]="Lima",BDAlquilerDepartamentos[[#This Row],[Prec. Soles]]*0.1,BDAlquilerDepartamentos[[#This Row],[Prec. Soles]]*0.05)</f>
        <v>290</v>
      </c>
      <c r="I619" s="4">
        <v>4</v>
      </c>
      <c r="J619" s="4">
        <v>3</v>
      </c>
      <c r="K619" s="4" t="s">
        <v>3096</v>
      </c>
      <c r="L619" s="4" t="s">
        <v>3095</v>
      </c>
      <c r="M619" s="4">
        <v>120</v>
      </c>
      <c r="N619" s="4">
        <v>2015</v>
      </c>
      <c r="O619" s="4" t="str">
        <f>+IF(BDAlquilerDepartamentos[[#This Row],[Prec. Soles]]&gt;2500,"Caro","Economico")</f>
        <v>Caro</v>
      </c>
      <c r="P619" s="4" t="str">
        <f>+IF(AND(BDAlquilerDepartamentos[[#This Row],[N° de Dorm.]]&gt; 3,BDAlquilerDepartamentos[[#This Row],[Prec. Soles]]&lt;= 2500),"Buena Oferta", "Precio Estadar")</f>
        <v>Precio Estadar</v>
      </c>
      <c r="Q619" t="s">
        <v>1101</v>
      </c>
      <c r="R619" t="s">
        <v>1102</v>
      </c>
      <c r="S619" s="11">
        <v>45072</v>
      </c>
      <c r="T619" t="s">
        <v>2824</v>
      </c>
      <c r="U619" t="s">
        <v>2000</v>
      </c>
    </row>
    <row r="620" spans="2:21" x14ac:dyDescent="0.3">
      <c r="B620" t="s">
        <v>1110</v>
      </c>
      <c r="C620" t="s">
        <v>2421</v>
      </c>
      <c r="D620" t="s">
        <v>2444</v>
      </c>
      <c r="E620" t="s">
        <v>2580</v>
      </c>
      <c r="F620" t="s">
        <v>2580</v>
      </c>
      <c r="G620" s="8">
        <v>5550</v>
      </c>
      <c r="H620" s="8">
        <f>+IF(BDAlquilerDepartamentos[[#This Row],[Ciudad]]="Lima",BDAlquilerDepartamentos[[#This Row],[Prec. Soles]]*0.1,BDAlquilerDepartamentos[[#This Row],[Prec. Soles]]*0.05)</f>
        <v>555</v>
      </c>
      <c r="I620" s="4">
        <v>3</v>
      </c>
      <c r="J620" s="4">
        <v>3</v>
      </c>
      <c r="K620" s="4" t="s">
        <v>3095</v>
      </c>
      <c r="L620" s="4" t="s">
        <v>3095</v>
      </c>
      <c r="M620" s="4">
        <v>150</v>
      </c>
      <c r="N620" s="4">
        <v>2016</v>
      </c>
      <c r="O620" s="4" t="str">
        <f>+IF(BDAlquilerDepartamentos[[#This Row],[Prec. Soles]]&gt;2500,"Caro","Economico")</f>
        <v>Caro</v>
      </c>
      <c r="P620" s="4" t="str">
        <f>+IF(AND(BDAlquilerDepartamentos[[#This Row],[N° de Dorm.]]&gt; 3,BDAlquilerDepartamentos[[#This Row],[Prec. Soles]]&lt;= 2500),"Buena Oferta", "Precio Estadar")</f>
        <v>Precio Estadar</v>
      </c>
      <c r="Q620" t="s">
        <v>1101</v>
      </c>
      <c r="R620" t="s">
        <v>1102</v>
      </c>
      <c r="S620" s="11">
        <v>45206</v>
      </c>
      <c r="T620" t="s">
        <v>2833</v>
      </c>
      <c r="U620" t="s">
        <v>2001</v>
      </c>
    </row>
    <row r="621" spans="2:21" x14ac:dyDescent="0.3">
      <c r="B621" t="s">
        <v>2002</v>
      </c>
      <c r="C621" t="s">
        <v>2705</v>
      </c>
      <c r="D621" t="s">
        <v>2580</v>
      </c>
      <c r="E621" t="s">
        <v>2580</v>
      </c>
      <c r="F621" t="s">
        <v>2580</v>
      </c>
      <c r="G621" s="8">
        <v>3145</v>
      </c>
      <c r="H621" s="8">
        <f>+IF(BDAlquilerDepartamentos[[#This Row],[Ciudad]]="Lima",BDAlquilerDepartamentos[[#This Row],[Prec. Soles]]*0.1,BDAlquilerDepartamentos[[#This Row],[Prec. Soles]]*0.05)</f>
        <v>314.5</v>
      </c>
      <c r="I621" s="4">
        <v>3</v>
      </c>
      <c r="J621" s="4">
        <v>3</v>
      </c>
      <c r="K621" s="4" t="s">
        <v>3095</v>
      </c>
      <c r="L621" s="4" t="s">
        <v>3096</v>
      </c>
      <c r="M621" s="4">
        <v>114</v>
      </c>
      <c r="N621" s="4">
        <v>2016</v>
      </c>
      <c r="O621" s="4" t="str">
        <f>+IF(BDAlquilerDepartamentos[[#This Row],[Prec. Soles]]&gt;2500,"Caro","Economico")</f>
        <v>Caro</v>
      </c>
      <c r="P621" s="4" t="str">
        <f>+IF(AND(BDAlquilerDepartamentos[[#This Row],[N° de Dorm.]]&gt; 3,BDAlquilerDepartamentos[[#This Row],[Prec. Soles]]&lt;= 2500),"Buena Oferta", "Precio Estadar")</f>
        <v>Precio Estadar</v>
      </c>
      <c r="Q621" t="s">
        <v>1101</v>
      </c>
      <c r="R621" t="s">
        <v>1102</v>
      </c>
      <c r="S621" s="11">
        <v>45078</v>
      </c>
      <c r="T621" t="s">
        <v>2981</v>
      </c>
      <c r="U621" t="s">
        <v>2003</v>
      </c>
    </row>
    <row r="622" spans="2:21" x14ac:dyDescent="0.3">
      <c r="B622" t="s">
        <v>3113</v>
      </c>
      <c r="C622" t="s">
        <v>3114</v>
      </c>
      <c r="D622" t="s">
        <v>2436</v>
      </c>
      <c r="E622" t="s">
        <v>2580</v>
      </c>
      <c r="F622" t="s">
        <v>2580</v>
      </c>
      <c r="G622" s="8">
        <v>6660</v>
      </c>
      <c r="H622" s="8">
        <f>+IF(BDAlquilerDepartamentos[[#This Row],[Ciudad]]="Lima",BDAlquilerDepartamentos[[#This Row],[Prec. Soles]]*0.1,BDAlquilerDepartamentos[[#This Row],[Prec. Soles]]*0.05)</f>
        <v>666</v>
      </c>
      <c r="I622" s="4">
        <v>2</v>
      </c>
      <c r="J622" s="4">
        <v>3</v>
      </c>
      <c r="K622" s="4" t="s">
        <v>3095</v>
      </c>
      <c r="L622" s="4" t="s">
        <v>3095</v>
      </c>
      <c r="M622" s="4">
        <v>170</v>
      </c>
      <c r="N622" s="4">
        <v>2010</v>
      </c>
      <c r="O622" s="4" t="str">
        <f>+IF(BDAlquilerDepartamentos[[#This Row],[Prec. Soles]]&gt;2500,"Caro","Economico")</f>
        <v>Caro</v>
      </c>
      <c r="P622" s="4" t="str">
        <f>+IF(AND(BDAlquilerDepartamentos[[#This Row],[N° de Dorm.]]&gt; 3,BDAlquilerDepartamentos[[#This Row],[Prec. Soles]]&lt;= 2500),"Buena Oferta", "Precio Estadar")</f>
        <v>Precio Estadar</v>
      </c>
      <c r="Q622" t="s">
        <v>1101</v>
      </c>
      <c r="R622" t="s">
        <v>1102</v>
      </c>
      <c r="S622" s="11">
        <v>44998</v>
      </c>
      <c r="T622" t="s">
        <v>2943</v>
      </c>
      <c r="U622" t="s">
        <v>2004</v>
      </c>
    </row>
    <row r="623" spans="2:21" x14ac:dyDescent="0.3">
      <c r="B623" t="s">
        <v>2005</v>
      </c>
      <c r="C623" t="s">
        <v>2696</v>
      </c>
      <c r="D623" t="s">
        <v>2506</v>
      </c>
      <c r="E623" t="s">
        <v>2580</v>
      </c>
      <c r="F623" t="s">
        <v>2580</v>
      </c>
      <c r="G623" s="8">
        <v>4900</v>
      </c>
      <c r="H623" s="8">
        <f>+IF(BDAlquilerDepartamentos[[#This Row],[Ciudad]]="Lima",BDAlquilerDepartamentos[[#This Row],[Prec. Soles]]*0.1,BDAlquilerDepartamentos[[#This Row],[Prec. Soles]]*0.05)</f>
        <v>490</v>
      </c>
      <c r="I623" s="4">
        <v>3</v>
      </c>
      <c r="J623" s="4">
        <v>3</v>
      </c>
      <c r="K623" s="4" t="s">
        <v>3095</v>
      </c>
      <c r="L623" s="4" t="s">
        <v>3095</v>
      </c>
      <c r="M623" s="4">
        <v>260</v>
      </c>
      <c r="N623" s="4">
        <v>2003</v>
      </c>
      <c r="O623" s="4" t="str">
        <f>+IF(BDAlquilerDepartamentos[[#This Row],[Prec. Soles]]&gt;2500,"Caro","Economico")</f>
        <v>Caro</v>
      </c>
      <c r="P623" s="4" t="str">
        <f>+IF(AND(BDAlquilerDepartamentos[[#This Row],[N° de Dorm.]]&gt; 3,BDAlquilerDepartamentos[[#This Row],[Prec. Soles]]&lt;= 2500),"Buena Oferta", "Precio Estadar")</f>
        <v>Precio Estadar</v>
      </c>
      <c r="Q623" t="s">
        <v>1113</v>
      </c>
      <c r="R623" t="s">
        <v>1102</v>
      </c>
      <c r="S623" s="11">
        <v>45120</v>
      </c>
      <c r="T623" t="s">
        <v>2816</v>
      </c>
      <c r="U623" t="s">
        <v>2006</v>
      </c>
    </row>
    <row r="624" spans="2:21" x14ac:dyDescent="0.3">
      <c r="B624" t="s">
        <v>2007</v>
      </c>
      <c r="C624" t="s">
        <v>2706</v>
      </c>
      <c r="D624" t="s">
        <v>2580</v>
      </c>
      <c r="E624" t="s">
        <v>2580</v>
      </c>
      <c r="F624" t="s">
        <v>2580</v>
      </c>
      <c r="G624" s="8">
        <v>9250</v>
      </c>
      <c r="H624" s="8">
        <f>+IF(BDAlquilerDepartamentos[[#This Row],[Ciudad]]="Lima",BDAlquilerDepartamentos[[#This Row],[Prec. Soles]]*0.1,BDAlquilerDepartamentos[[#This Row],[Prec. Soles]]*0.05)</f>
        <v>925</v>
      </c>
      <c r="I624" s="4">
        <v>3</v>
      </c>
      <c r="J624" s="4">
        <v>3</v>
      </c>
      <c r="K624" s="4" t="s">
        <v>3095</v>
      </c>
      <c r="L624" s="4" t="s">
        <v>3095</v>
      </c>
      <c r="M624" s="4">
        <v>217</v>
      </c>
      <c r="N624" s="4">
        <v>2010</v>
      </c>
      <c r="O624" s="4" t="str">
        <f>+IF(BDAlquilerDepartamentos[[#This Row],[Prec. Soles]]&gt;2500,"Caro","Economico")</f>
        <v>Caro</v>
      </c>
      <c r="P624" s="4" t="str">
        <f>+IF(AND(BDAlquilerDepartamentos[[#This Row],[N° de Dorm.]]&gt; 3,BDAlquilerDepartamentos[[#This Row],[Prec. Soles]]&lt;= 2500),"Buena Oferta", "Precio Estadar")</f>
        <v>Precio Estadar</v>
      </c>
      <c r="Q624" t="s">
        <v>1101</v>
      </c>
      <c r="R624" t="s">
        <v>1102</v>
      </c>
      <c r="S624" s="11">
        <v>45100</v>
      </c>
      <c r="T624" t="s">
        <v>2904</v>
      </c>
      <c r="U624" t="s">
        <v>2008</v>
      </c>
    </row>
    <row r="625" spans="2:21" x14ac:dyDescent="0.3">
      <c r="B625" t="s">
        <v>2009</v>
      </c>
      <c r="C625" t="s">
        <v>2707</v>
      </c>
      <c r="D625" t="s">
        <v>2543</v>
      </c>
      <c r="E625" t="s">
        <v>2580</v>
      </c>
      <c r="F625" t="s">
        <v>2580</v>
      </c>
      <c r="G625" s="8">
        <v>1665</v>
      </c>
      <c r="H625" s="8">
        <f>+IF(BDAlquilerDepartamentos[[#This Row],[Ciudad]]="Lima",BDAlquilerDepartamentos[[#This Row],[Prec. Soles]]*0.1,BDAlquilerDepartamentos[[#This Row],[Prec. Soles]]*0.05)</f>
        <v>166.5</v>
      </c>
      <c r="I625" s="4">
        <v>3</v>
      </c>
      <c r="J625" s="4">
        <v>1</v>
      </c>
      <c r="K625" s="4" t="s">
        <v>3095</v>
      </c>
      <c r="L625" s="4" t="s">
        <v>3095</v>
      </c>
      <c r="M625" s="4">
        <v>120</v>
      </c>
      <c r="N625" s="4">
        <v>2006</v>
      </c>
      <c r="O625" s="4" t="str">
        <f>+IF(BDAlquilerDepartamentos[[#This Row],[Prec. Soles]]&gt;2500,"Caro","Economico")</f>
        <v>Economico</v>
      </c>
      <c r="P625" s="4" t="str">
        <f>+IF(AND(BDAlquilerDepartamentos[[#This Row],[N° de Dorm.]]&gt; 3,BDAlquilerDepartamentos[[#This Row],[Prec. Soles]]&lt;= 2500),"Buena Oferta", "Precio Estadar")</f>
        <v>Precio Estadar</v>
      </c>
      <c r="Q625" t="s">
        <v>1113</v>
      </c>
      <c r="R625" t="s">
        <v>1102</v>
      </c>
      <c r="S625" s="11">
        <v>45489</v>
      </c>
      <c r="T625" t="s">
        <v>3026</v>
      </c>
      <c r="U625" t="s">
        <v>2010</v>
      </c>
    </row>
    <row r="626" spans="2:21" x14ac:dyDescent="0.3">
      <c r="B626" t="s">
        <v>1668</v>
      </c>
      <c r="C626" t="s">
        <v>2619</v>
      </c>
      <c r="D626" t="s">
        <v>2689</v>
      </c>
      <c r="E626" t="s">
        <v>2689</v>
      </c>
      <c r="F626" t="s">
        <v>2689</v>
      </c>
      <c r="G626" s="8">
        <v>2300</v>
      </c>
      <c r="H626" s="8">
        <f>+IF(BDAlquilerDepartamentos[[#This Row],[Ciudad]]="Lima",BDAlquilerDepartamentos[[#This Row],[Prec. Soles]]*0.1,BDAlquilerDepartamentos[[#This Row],[Prec. Soles]]*0.05)</f>
        <v>115</v>
      </c>
      <c r="I626" s="4">
        <v>3</v>
      </c>
      <c r="J626" s="4">
        <v>3</v>
      </c>
      <c r="K626" s="4" t="s">
        <v>3096</v>
      </c>
      <c r="L626" s="4" t="s">
        <v>3096</v>
      </c>
      <c r="M626" s="4">
        <v>120</v>
      </c>
      <c r="N626" s="4">
        <v>2004</v>
      </c>
      <c r="O626" s="4" t="str">
        <f>+IF(BDAlquilerDepartamentos[[#This Row],[Prec. Soles]]&gt;2500,"Caro","Economico")</f>
        <v>Economico</v>
      </c>
      <c r="P626" s="4" t="str">
        <f>+IF(AND(BDAlquilerDepartamentos[[#This Row],[N° de Dorm.]]&gt; 3,BDAlquilerDepartamentos[[#This Row],[Prec. Soles]]&lt;= 2500),"Buena Oferta", "Precio Estadar")</f>
        <v>Precio Estadar</v>
      </c>
      <c r="Q626" t="s">
        <v>1101</v>
      </c>
      <c r="R626" t="s">
        <v>1102</v>
      </c>
      <c r="S626" s="11">
        <v>45292</v>
      </c>
      <c r="T626" t="s">
        <v>2937</v>
      </c>
      <c r="U626" t="s">
        <v>2011</v>
      </c>
    </row>
    <row r="627" spans="2:21" x14ac:dyDescent="0.3">
      <c r="B627" t="s">
        <v>1476</v>
      </c>
      <c r="C627" t="s">
        <v>2570</v>
      </c>
      <c r="D627" t="s">
        <v>2422</v>
      </c>
      <c r="E627" t="s">
        <v>2580</v>
      </c>
      <c r="F627" t="s">
        <v>2580</v>
      </c>
      <c r="G627" s="8">
        <v>2775</v>
      </c>
      <c r="H627" s="8">
        <f>+IF(BDAlquilerDepartamentos[[#This Row],[Ciudad]]="Lima",BDAlquilerDepartamentos[[#This Row],[Prec. Soles]]*0.1,BDAlquilerDepartamentos[[#This Row],[Prec. Soles]]*0.05)</f>
        <v>277.5</v>
      </c>
      <c r="I627" s="4">
        <v>3</v>
      </c>
      <c r="J627" s="4">
        <v>3</v>
      </c>
      <c r="K627" s="4" t="s">
        <v>3096</v>
      </c>
      <c r="L627" s="4" t="s">
        <v>3095</v>
      </c>
      <c r="M627" s="4">
        <v>121</v>
      </c>
      <c r="N627" s="4">
        <v>2012</v>
      </c>
      <c r="O627" s="4" t="str">
        <f>+IF(BDAlquilerDepartamentos[[#This Row],[Prec. Soles]]&gt;2500,"Caro","Economico")</f>
        <v>Caro</v>
      </c>
      <c r="P627" s="4" t="str">
        <f>+IF(AND(BDAlquilerDepartamentos[[#This Row],[N° de Dorm.]]&gt; 3,BDAlquilerDepartamentos[[#This Row],[Prec. Soles]]&lt;= 2500),"Buena Oferta", "Precio Estadar")</f>
        <v>Precio Estadar</v>
      </c>
      <c r="Q627" t="s">
        <v>1101</v>
      </c>
      <c r="R627" t="s">
        <v>1102</v>
      </c>
      <c r="S627" s="11">
        <v>45643</v>
      </c>
      <c r="T627" t="s">
        <v>2833</v>
      </c>
      <c r="U627" t="s">
        <v>2012</v>
      </c>
    </row>
    <row r="628" spans="2:21" x14ac:dyDescent="0.3">
      <c r="B628" t="s">
        <v>2013</v>
      </c>
      <c r="C628" t="s">
        <v>2708</v>
      </c>
      <c r="D628" t="s">
        <v>2432</v>
      </c>
      <c r="E628" t="s">
        <v>2580</v>
      </c>
      <c r="F628" t="s">
        <v>2580</v>
      </c>
      <c r="G628" s="8">
        <v>8</v>
      </c>
      <c r="H628" s="8">
        <f>+IF(BDAlquilerDepartamentos[[#This Row],[Ciudad]]="Lima",BDAlquilerDepartamentos[[#This Row],[Prec. Soles]]*0.1,BDAlquilerDepartamentos[[#This Row],[Prec. Soles]]*0.05)</f>
        <v>0.8</v>
      </c>
      <c r="I628" s="4">
        <v>3</v>
      </c>
      <c r="J628" s="4">
        <v>1</v>
      </c>
      <c r="K628" s="4" t="s">
        <v>3095</v>
      </c>
      <c r="L628" s="4" t="s">
        <v>3095</v>
      </c>
      <c r="M628" s="4">
        <v>49</v>
      </c>
      <c r="N628" s="4">
        <v>2011</v>
      </c>
      <c r="O628" s="4" t="str">
        <f>+IF(BDAlquilerDepartamentos[[#This Row],[Prec. Soles]]&gt;2500,"Caro","Economico")</f>
        <v>Economico</v>
      </c>
      <c r="P628" s="4" t="str">
        <f>+IF(AND(BDAlquilerDepartamentos[[#This Row],[N° de Dorm.]]&gt; 3,BDAlquilerDepartamentos[[#This Row],[Prec. Soles]]&lt;= 2500),"Buena Oferta", "Precio Estadar")</f>
        <v>Precio Estadar</v>
      </c>
      <c r="Q628" t="s">
        <v>1101</v>
      </c>
      <c r="R628" t="s">
        <v>1102</v>
      </c>
      <c r="S628" s="11">
        <v>44976</v>
      </c>
      <c r="T628" t="s">
        <v>2833</v>
      </c>
      <c r="U628" t="s">
        <v>2014</v>
      </c>
    </row>
    <row r="629" spans="2:21" x14ac:dyDescent="0.3">
      <c r="B629" t="s">
        <v>2015</v>
      </c>
      <c r="C629" t="s">
        <v>2709</v>
      </c>
      <c r="D629" t="s">
        <v>2485</v>
      </c>
      <c r="E629" t="s">
        <v>2580</v>
      </c>
      <c r="F629" t="s">
        <v>2580</v>
      </c>
      <c r="G629" s="8">
        <v>2300</v>
      </c>
      <c r="H629" s="8">
        <f>+IF(BDAlquilerDepartamentos[[#This Row],[Ciudad]]="Lima",BDAlquilerDepartamentos[[#This Row],[Prec. Soles]]*0.1,BDAlquilerDepartamentos[[#This Row],[Prec. Soles]]*0.05)</f>
        <v>230</v>
      </c>
      <c r="I629" s="4">
        <v>2</v>
      </c>
      <c r="J629" s="4">
        <v>3</v>
      </c>
      <c r="K629" s="4" t="s">
        <v>3095</v>
      </c>
      <c r="L629" s="4" t="s">
        <v>3095</v>
      </c>
      <c r="M629" s="4">
        <v>76</v>
      </c>
      <c r="N629" s="4">
        <v>2007</v>
      </c>
      <c r="O629" s="4" t="str">
        <f>+IF(BDAlquilerDepartamentos[[#This Row],[Prec. Soles]]&gt;2500,"Caro","Economico")</f>
        <v>Economico</v>
      </c>
      <c r="P629" s="4" t="str">
        <f>+IF(AND(BDAlquilerDepartamentos[[#This Row],[N° de Dorm.]]&gt; 3,BDAlquilerDepartamentos[[#This Row],[Prec. Soles]]&lt;= 2500),"Buena Oferta", "Precio Estadar")</f>
        <v>Precio Estadar</v>
      </c>
      <c r="Q629" t="s">
        <v>1101</v>
      </c>
      <c r="R629" t="s">
        <v>1102</v>
      </c>
      <c r="S629" s="11">
        <v>45648</v>
      </c>
      <c r="T629" t="s">
        <v>2835</v>
      </c>
      <c r="U629" t="s">
        <v>2016</v>
      </c>
    </row>
    <row r="630" spans="2:21" x14ac:dyDescent="0.3">
      <c r="B630" t="s">
        <v>1118</v>
      </c>
      <c r="C630" t="s">
        <v>2426</v>
      </c>
      <c r="D630" t="s">
        <v>2436</v>
      </c>
      <c r="E630" t="s">
        <v>2580</v>
      </c>
      <c r="F630" t="s">
        <v>2580</v>
      </c>
      <c r="G630" s="8">
        <v>3515</v>
      </c>
      <c r="H630" s="8">
        <f>+IF(BDAlquilerDepartamentos[[#This Row],[Ciudad]]="Lima",BDAlquilerDepartamentos[[#This Row],[Prec. Soles]]*0.1,BDAlquilerDepartamentos[[#This Row],[Prec. Soles]]*0.05)</f>
        <v>351.5</v>
      </c>
      <c r="I630" s="4">
        <v>2</v>
      </c>
      <c r="J630" s="4">
        <v>3</v>
      </c>
      <c r="K630" s="4" t="s">
        <v>3096</v>
      </c>
      <c r="L630" s="4" t="s">
        <v>3096</v>
      </c>
      <c r="M630" s="4">
        <v>128</v>
      </c>
      <c r="N630" s="4">
        <v>2014</v>
      </c>
      <c r="O630" s="4" t="str">
        <f>+IF(BDAlquilerDepartamentos[[#This Row],[Prec. Soles]]&gt;2500,"Caro","Economico")</f>
        <v>Caro</v>
      </c>
      <c r="P630" s="4" t="str">
        <f>+IF(AND(BDAlquilerDepartamentos[[#This Row],[N° de Dorm.]]&gt; 3,BDAlquilerDepartamentos[[#This Row],[Prec. Soles]]&lt;= 2500),"Buena Oferta", "Precio Estadar")</f>
        <v>Precio Estadar</v>
      </c>
      <c r="Q630" t="s">
        <v>1101</v>
      </c>
      <c r="R630" t="s">
        <v>1102</v>
      </c>
      <c r="S630" s="11">
        <v>45131</v>
      </c>
      <c r="T630" t="s">
        <v>2943</v>
      </c>
      <c r="U630" t="s">
        <v>2017</v>
      </c>
    </row>
    <row r="631" spans="2:21" x14ac:dyDescent="0.3">
      <c r="B631" t="s">
        <v>2018</v>
      </c>
      <c r="C631" t="s">
        <v>2704</v>
      </c>
      <c r="D631" t="s">
        <v>2805</v>
      </c>
      <c r="E631" t="s">
        <v>2580</v>
      </c>
      <c r="F631" t="s">
        <v>2580</v>
      </c>
      <c r="G631" s="8">
        <v>2220</v>
      </c>
      <c r="H631" s="8">
        <f>+IF(BDAlquilerDepartamentos[[#This Row],[Ciudad]]="Lima",BDAlquilerDepartamentos[[#This Row],[Prec. Soles]]*0.1,BDAlquilerDepartamentos[[#This Row],[Prec. Soles]]*0.05)</f>
        <v>222</v>
      </c>
      <c r="I631" s="4">
        <v>4</v>
      </c>
      <c r="J631" s="4">
        <v>4</v>
      </c>
      <c r="K631" s="4" t="s">
        <v>3095</v>
      </c>
      <c r="L631" s="4" t="s">
        <v>3096</v>
      </c>
      <c r="M631" s="4">
        <v>700</v>
      </c>
      <c r="N631" s="4">
        <v>2018</v>
      </c>
      <c r="O631" s="4" t="str">
        <f>+IF(BDAlquilerDepartamentos[[#This Row],[Prec. Soles]]&gt;2500,"Caro","Economico")</f>
        <v>Economico</v>
      </c>
      <c r="P631" s="4" t="str">
        <f>+IF(AND(BDAlquilerDepartamentos[[#This Row],[N° de Dorm.]]&gt; 3,BDAlquilerDepartamentos[[#This Row],[Prec. Soles]]&lt;= 2500),"Buena Oferta", "Precio Estadar")</f>
        <v>Buena Oferta</v>
      </c>
      <c r="Q631" t="s">
        <v>1113</v>
      </c>
      <c r="R631" t="s">
        <v>1102</v>
      </c>
      <c r="S631" s="11">
        <v>45532</v>
      </c>
      <c r="T631" t="s">
        <v>2894</v>
      </c>
      <c r="U631" t="s">
        <v>2019</v>
      </c>
    </row>
    <row r="632" spans="2:21" x14ac:dyDescent="0.3">
      <c r="B632" t="s">
        <v>1237</v>
      </c>
      <c r="C632" t="s">
        <v>2488</v>
      </c>
      <c r="D632" t="s">
        <v>2580</v>
      </c>
      <c r="E632" t="s">
        <v>2580</v>
      </c>
      <c r="F632" t="s">
        <v>2580</v>
      </c>
      <c r="G632" s="8">
        <v>2960</v>
      </c>
      <c r="H632" s="8">
        <f>+IF(BDAlquilerDepartamentos[[#This Row],[Ciudad]]="Lima",BDAlquilerDepartamentos[[#This Row],[Prec. Soles]]*0.1,BDAlquilerDepartamentos[[#This Row],[Prec. Soles]]*0.05)</f>
        <v>296</v>
      </c>
      <c r="I632" s="4">
        <v>2</v>
      </c>
      <c r="J632" s="4">
        <v>2</v>
      </c>
      <c r="K632" s="4" t="s">
        <v>3095</v>
      </c>
      <c r="L632" s="4" t="s">
        <v>3096</v>
      </c>
      <c r="M632" s="4">
        <v>145</v>
      </c>
      <c r="N632" s="4">
        <v>2016</v>
      </c>
      <c r="O632" s="4" t="str">
        <f>+IF(BDAlquilerDepartamentos[[#This Row],[Prec. Soles]]&gt;2500,"Caro","Economico")</f>
        <v>Caro</v>
      </c>
      <c r="P632" s="4" t="str">
        <f>+IF(AND(BDAlquilerDepartamentos[[#This Row],[N° de Dorm.]]&gt; 3,BDAlquilerDepartamentos[[#This Row],[Prec. Soles]]&lt;= 2500),"Buena Oferta", "Precio Estadar")</f>
        <v>Precio Estadar</v>
      </c>
      <c r="Q632" t="s">
        <v>1101</v>
      </c>
      <c r="R632" t="s">
        <v>1102</v>
      </c>
      <c r="S632" s="11">
        <v>45437</v>
      </c>
      <c r="T632" t="s">
        <v>3027</v>
      </c>
      <c r="U632" t="s">
        <v>2020</v>
      </c>
    </row>
    <row r="633" spans="2:21" x14ac:dyDescent="0.3">
      <c r="B633" t="s">
        <v>2021</v>
      </c>
      <c r="C633" t="s">
        <v>2710</v>
      </c>
      <c r="D633" t="s">
        <v>2478</v>
      </c>
      <c r="E633" t="s">
        <v>2580</v>
      </c>
      <c r="F633" t="s">
        <v>2580</v>
      </c>
      <c r="G633" s="8">
        <v>2000</v>
      </c>
      <c r="H633" s="8">
        <f>+IF(BDAlquilerDepartamentos[[#This Row],[Ciudad]]="Lima",BDAlquilerDepartamentos[[#This Row],[Prec. Soles]]*0.1,BDAlquilerDepartamentos[[#This Row],[Prec. Soles]]*0.05)</f>
        <v>200</v>
      </c>
      <c r="I633" s="4">
        <v>2</v>
      </c>
      <c r="J633" s="4">
        <v>2</v>
      </c>
      <c r="K633" s="4" t="s">
        <v>3096</v>
      </c>
      <c r="L633" s="4" t="s">
        <v>3095</v>
      </c>
      <c r="M633" s="4">
        <v>120</v>
      </c>
      <c r="N633" s="4">
        <v>2015</v>
      </c>
      <c r="O633" s="4" t="str">
        <f>+IF(BDAlquilerDepartamentos[[#This Row],[Prec. Soles]]&gt;2500,"Caro","Economico")</f>
        <v>Economico</v>
      </c>
      <c r="P633" s="4" t="str">
        <f>+IF(AND(BDAlquilerDepartamentos[[#This Row],[N° de Dorm.]]&gt; 3,BDAlquilerDepartamentos[[#This Row],[Prec. Soles]]&lt;= 2500),"Buena Oferta", "Precio Estadar")</f>
        <v>Precio Estadar</v>
      </c>
      <c r="Q633" t="s">
        <v>1101</v>
      </c>
      <c r="R633" t="s">
        <v>1102</v>
      </c>
      <c r="S633" s="11">
        <v>45076</v>
      </c>
      <c r="T633" t="s">
        <v>2861</v>
      </c>
      <c r="U633" t="s">
        <v>2022</v>
      </c>
    </row>
    <row r="634" spans="2:21" x14ac:dyDescent="0.3">
      <c r="B634" t="s">
        <v>1126</v>
      </c>
      <c r="C634" t="s">
        <v>2431</v>
      </c>
      <c r="D634" t="s">
        <v>2432</v>
      </c>
      <c r="E634" t="s">
        <v>2580</v>
      </c>
      <c r="F634" t="s">
        <v>2580</v>
      </c>
      <c r="G634" s="8">
        <v>8</v>
      </c>
      <c r="H634" s="8">
        <f>+IF(BDAlquilerDepartamentos[[#This Row],[Ciudad]]="Lima",BDAlquilerDepartamentos[[#This Row],[Prec. Soles]]*0.1,BDAlquilerDepartamentos[[#This Row],[Prec. Soles]]*0.05)</f>
        <v>0.8</v>
      </c>
      <c r="I634" s="4">
        <v>2</v>
      </c>
      <c r="J634" s="4">
        <v>1</v>
      </c>
      <c r="K634" s="4" t="s">
        <v>3095</v>
      </c>
      <c r="L634" s="4" t="s">
        <v>3095</v>
      </c>
      <c r="M634" s="4">
        <v>60</v>
      </c>
      <c r="N634" s="4">
        <v>2010</v>
      </c>
      <c r="O634" s="4" t="str">
        <f>+IF(BDAlquilerDepartamentos[[#This Row],[Prec. Soles]]&gt;2500,"Caro","Economico")</f>
        <v>Economico</v>
      </c>
      <c r="P634" s="4" t="str">
        <f>+IF(AND(BDAlquilerDepartamentos[[#This Row],[N° de Dorm.]]&gt; 3,BDAlquilerDepartamentos[[#This Row],[Prec. Soles]]&lt;= 2500),"Buena Oferta", "Precio Estadar")</f>
        <v>Precio Estadar</v>
      </c>
      <c r="Q634" t="s">
        <v>1101</v>
      </c>
      <c r="R634" t="s">
        <v>1102</v>
      </c>
      <c r="S634" s="11">
        <v>45269</v>
      </c>
      <c r="T634" t="s">
        <v>2902</v>
      </c>
      <c r="U634" t="s">
        <v>2023</v>
      </c>
    </row>
    <row r="635" spans="2:21" x14ac:dyDescent="0.3">
      <c r="B635" t="s">
        <v>1110</v>
      </c>
      <c r="C635" t="s">
        <v>2421</v>
      </c>
      <c r="D635" t="s">
        <v>2422</v>
      </c>
      <c r="E635" t="s">
        <v>2580</v>
      </c>
      <c r="F635" t="s">
        <v>2580</v>
      </c>
      <c r="G635" s="8">
        <v>8140</v>
      </c>
      <c r="H635" s="8">
        <f>+IF(BDAlquilerDepartamentos[[#This Row],[Ciudad]]="Lima",BDAlquilerDepartamentos[[#This Row],[Prec. Soles]]*0.1,BDAlquilerDepartamentos[[#This Row],[Prec. Soles]]*0.05)</f>
        <v>814</v>
      </c>
      <c r="I635" s="4">
        <v>3</v>
      </c>
      <c r="J635" s="4">
        <v>3</v>
      </c>
      <c r="K635" s="4" t="s">
        <v>3096</v>
      </c>
      <c r="L635" s="4" t="s">
        <v>3096</v>
      </c>
      <c r="M635" s="4">
        <v>300</v>
      </c>
      <c r="N635" s="4">
        <v>2007</v>
      </c>
      <c r="O635" s="4" t="str">
        <f>+IF(BDAlquilerDepartamentos[[#This Row],[Prec. Soles]]&gt;2500,"Caro","Economico")</f>
        <v>Caro</v>
      </c>
      <c r="P635" s="4" t="str">
        <f>+IF(AND(BDAlquilerDepartamentos[[#This Row],[N° de Dorm.]]&gt; 3,BDAlquilerDepartamentos[[#This Row],[Prec. Soles]]&lt;= 2500),"Buena Oferta", "Precio Estadar")</f>
        <v>Precio Estadar</v>
      </c>
      <c r="Q635" t="s">
        <v>1101</v>
      </c>
      <c r="R635" t="s">
        <v>1102</v>
      </c>
      <c r="S635" s="11">
        <v>45140</v>
      </c>
      <c r="T635" t="s">
        <v>3028</v>
      </c>
      <c r="U635" t="s">
        <v>2024</v>
      </c>
    </row>
    <row r="636" spans="2:21" x14ac:dyDescent="0.3">
      <c r="B636" t="s">
        <v>1159</v>
      </c>
      <c r="C636" t="s">
        <v>2450</v>
      </c>
      <c r="D636" t="s">
        <v>2580</v>
      </c>
      <c r="E636" t="s">
        <v>2580</v>
      </c>
      <c r="F636" t="s">
        <v>2580</v>
      </c>
      <c r="G636" s="8">
        <v>3600</v>
      </c>
      <c r="H636" s="8">
        <f>+IF(BDAlquilerDepartamentos[[#This Row],[Ciudad]]="Lima",BDAlquilerDepartamentos[[#This Row],[Prec. Soles]]*0.1,BDAlquilerDepartamentos[[#This Row],[Prec. Soles]]*0.05)</f>
        <v>360</v>
      </c>
      <c r="I636" s="4">
        <v>3</v>
      </c>
      <c r="J636" s="4">
        <v>2</v>
      </c>
      <c r="K636" s="4" t="s">
        <v>3096</v>
      </c>
      <c r="L636" s="4" t="s">
        <v>3095</v>
      </c>
      <c r="M636" s="4">
        <v>99</v>
      </c>
      <c r="N636" s="4">
        <v>2010</v>
      </c>
      <c r="O636" s="4" t="str">
        <f>+IF(BDAlquilerDepartamentos[[#This Row],[Prec. Soles]]&gt;2500,"Caro","Economico")</f>
        <v>Caro</v>
      </c>
      <c r="P636" s="4" t="str">
        <f>+IF(AND(BDAlquilerDepartamentos[[#This Row],[N° de Dorm.]]&gt; 3,BDAlquilerDepartamentos[[#This Row],[Prec. Soles]]&lt;= 2500),"Buena Oferta", "Precio Estadar")</f>
        <v>Precio Estadar</v>
      </c>
      <c r="Q636" t="s">
        <v>1101</v>
      </c>
      <c r="R636" t="s">
        <v>1102</v>
      </c>
      <c r="S636" s="11">
        <v>45581</v>
      </c>
      <c r="T636" t="s">
        <v>2863</v>
      </c>
      <c r="U636" t="s">
        <v>2025</v>
      </c>
    </row>
    <row r="637" spans="2:21" x14ac:dyDescent="0.3">
      <c r="B637" t="s">
        <v>2026</v>
      </c>
      <c r="C637" t="s">
        <v>2711</v>
      </c>
      <c r="D637" t="s">
        <v>2580</v>
      </c>
      <c r="E637" t="s">
        <v>2580</v>
      </c>
      <c r="F637" t="s">
        <v>2580</v>
      </c>
      <c r="G637" s="8">
        <v>2405</v>
      </c>
      <c r="H637" s="8">
        <f>+IF(BDAlquilerDepartamentos[[#This Row],[Ciudad]]="Lima",BDAlquilerDepartamentos[[#This Row],[Prec. Soles]]*0.1,BDAlquilerDepartamentos[[#This Row],[Prec. Soles]]*0.05)</f>
        <v>240.5</v>
      </c>
      <c r="I637" s="4">
        <v>1</v>
      </c>
      <c r="J637" s="4">
        <v>1</v>
      </c>
      <c r="K637" s="4" t="s">
        <v>3096</v>
      </c>
      <c r="L637" s="4" t="s">
        <v>3096</v>
      </c>
      <c r="M637" s="4">
        <v>130</v>
      </c>
      <c r="N637" s="4">
        <v>2006</v>
      </c>
      <c r="O637" s="4" t="str">
        <f>+IF(BDAlquilerDepartamentos[[#This Row],[Prec. Soles]]&gt;2500,"Caro","Economico")</f>
        <v>Economico</v>
      </c>
      <c r="P637" s="4" t="str">
        <f>+IF(AND(BDAlquilerDepartamentos[[#This Row],[N° de Dorm.]]&gt; 3,BDAlquilerDepartamentos[[#This Row],[Prec. Soles]]&lt;= 2500),"Buena Oferta", "Precio Estadar")</f>
        <v>Precio Estadar</v>
      </c>
      <c r="Q637" t="s">
        <v>1101</v>
      </c>
      <c r="R637" t="s">
        <v>1102</v>
      </c>
      <c r="S637" s="11">
        <v>44986</v>
      </c>
      <c r="T637" t="s">
        <v>3099</v>
      </c>
      <c r="U637" t="s">
        <v>2027</v>
      </c>
    </row>
    <row r="638" spans="2:21" x14ac:dyDescent="0.3">
      <c r="B638" t="s">
        <v>3116</v>
      </c>
      <c r="C638" t="s">
        <v>2436</v>
      </c>
      <c r="D638" t="s">
        <v>2580</v>
      </c>
      <c r="E638" t="s">
        <v>2580</v>
      </c>
      <c r="F638" t="s">
        <v>2580</v>
      </c>
      <c r="G638" s="8">
        <v>2220</v>
      </c>
      <c r="H638" s="8">
        <f>+IF(BDAlquilerDepartamentos[[#This Row],[Ciudad]]="Lima",BDAlquilerDepartamentos[[#This Row],[Prec. Soles]]*0.1,BDAlquilerDepartamentos[[#This Row],[Prec. Soles]]*0.05)</f>
        <v>222</v>
      </c>
      <c r="I638" s="4">
        <v>1</v>
      </c>
      <c r="J638" s="4">
        <v>1</v>
      </c>
      <c r="K638" s="4" t="s">
        <v>3095</v>
      </c>
      <c r="L638" s="4" t="s">
        <v>3096</v>
      </c>
      <c r="M638" s="4">
        <v>60</v>
      </c>
      <c r="N638" s="4">
        <v>2010</v>
      </c>
      <c r="O638" s="4" t="str">
        <f>+IF(BDAlquilerDepartamentos[[#This Row],[Prec. Soles]]&gt;2500,"Caro","Economico")</f>
        <v>Economico</v>
      </c>
      <c r="P638" s="4" t="str">
        <f>+IF(AND(BDAlquilerDepartamentos[[#This Row],[N° de Dorm.]]&gt; 3,BDAlquilerDepartamentos[[#This Row],[Prec. Soles]]&lt;= 2500),"Buena Oferta", "Precio Estadar")</f>
        <v>Precio Estadar</v>
      </c>
      <c r="Q638" t="s">
        <v>1101</v>
      </c>
      <c r="R638" t="s">
        <v>1102</v>
      </c>
      <c r="S638" s="11">
        <v>45439</v>
      </c>
      <c r="T638" t="s">
        <v>3027</v>
      </c>
      <c r="U638" t="s">
        <v>2028</v>
      </c>
    </row>
    <row r="639" spans="2:21" x14ac:dyDescent="0.3">
      <c r="B639" t="s">
        <v>1326</v>
      </c>
      <c r="C639" t="s">
        <v>2521</v>
      </c>
      <c r="D639" t="s">
        <v>2444</v>
      </c>
      <c r="E639" t="s">
        <v>2580</v>
      </c>
      <c r="F639" t="s">
        <v>2580</v>
      </c>
      <c r="G639" s="8">
        <v>3515</v>
      </c>
      <c r="H639" s="8">
        <f>+IF(BDAlquilerDepartamentos[[#This Row],[Ciudad]]="Lima",BDAlquilerDepartamentos[[#This Row],[Prec. Soles]]*0.1,BDAlquilerDepartamentos[[#This Row],[Prec. Soles]]*0.05)</f>
        <v>351.5</v>
      </c>
      <c r="I639" s="4">
        <v>3</v>
      </c>
      <c r="J639" s="4">
        <v>2</v>
      </c>
      <c r="K639" s="4" t="s">
        <v>3095</v>
      </c>
      <c r="L639" s="4" t="s">
        <v>3096</v>
      </c>
      <c r="M639" s="4">
        <v>82</v>
      </c>
      <c r="N639" s="4">
        <v>2018</v>
      </c>
      <c r="O639" s="4" t="str">
        <f>+IF(BDAlquilerDepartamentos[[#This Row],[Prec. Soles]]&gt;2500,"Caro","Economico")</f>
        <v>Caro</v>
      </c>
      <c r="P639" s="4" t="str">
        <f>+IF(AND(BDAlquilerDepartamentos[[#This Row],[N° de Dorm.]]&gt; 3,BDAlquilerDepartamentos[[#This Row],[Prec. Soles]]&lt;= 2500),"Buena Oferta", "Precio Estadar")</f>
        <v>Precio Estadar</v>
      </c>
      <c r="Q639" t="s">
        <v>1101</v>
      </c>
      <c r="R639" t="s">
        <v>1102</v>
      </c>
      <c r="S639" s="11">
        <v>45449</v>
      </c>
      <c r="T639" t="s">
        <v>2845</v>
      </c>
      <c r="U639" t="s">
        <v>2029</v>
      </c>
    </row>
    <row r="640" spans="2:21" x14ac:dyDescent="0.3">
      <c r="B640" t="s">
        <v>1150</v>
      </c>
      <c r="C640" t="s">
        <v>2445</v>
      </c>
      <c r="D640" t="s">
        <v>2436</v>
      </c>
      <c r="E640" t="s">
        <v>2580</v>
      </c>
      <c r="F640" t="s">
        <v>2580</v>
      </c>
      <c r="G640" s="8">
        <v>3700</v>
      </c>
      <c r="H640" s="8">
        <f>+IF(BDAlquilerDepartamentos[[#This Row],[Ciudad]]="Lima",BDAlquilerDepartamentos[[#This Row],[Prec. Soles]]*0.1,BDAlquilerDepartamentos[[#This Row],[Prec. Soles]]*0.05)</f>
        <v>370</v>
      </c>
      <c r="I640" s="4">
        <v>3</v>
      </c>
      <c r="J640" s="4">
        <v>2</v>
      </c>
      <c r="K640" s="4" t="s">
        <v>3095</v>
      </c>
      <c r="L640" s="4" t="s">
        <v>3096</v>
      </c>
      <c r="M640" s="4">
        <v>112</v>
      </c>
      <c r="N640" s="4">
        <v>2004</v>
      </c>
      <c r="O640" s="4" t="str">
        <f>+IF(BDAlquilerDepartamentos[[#This Row],[Prec. Soles]]&gt;2500,"Caro","Economico")</f>
        <v>Caro</v>
      </c>
      <c r="P640" s="4" t="str">
        <f>+IF(AND(BDAlquilerDepartamentos[[#This Row],[N° de Dorm.]]&gt; 3,BDAlquilerDepartamentos[[#This Row],[Prec. Soles]]&lt;= 2500),"Buena Oferta", "Precio Estadar")</f>
        <v>Precio Estadar</v>
      </c>
      <c r="Q640" t="s">
        <v>1101</v>
      </c>
      <c r="R640" t="s">
        <v>1102</v>
      </c>
      <c r="S640" s="11">
        <v>45215</v>
      </c>
      <c r="T640" t="s">
        <v>3001</v>
      </c>
      <c r="U640" t="s">
        <v>2030</v>
      </c>
    </row>
    <row r="641" spans="2:21" x14ac:dyDescent="0.3">
      <c r="B641" t="s">
        <v>1326</v>
      </c>
      <c r="C641" t="s">
        <v>2521</v>
      </c>
      <c r="D641" t="s">
        <v>2444</v>
      </c>
      <c r="E641" t="s">
        <v>2580</v>
      </c>
      <c r="F641" t="s">
        <v>2580</v>
      </c>
      <c r="G641" s="8">
        <v>758500</v>
      </c>
      <c r="H641" s="8">
        <f>+IF(BDAlquilerDepartamentos[[#This Row],[Ciudad]]="Lima",BDAlquilerDepartamentos[[#This Row],[Prec. Soles]]*0.1,BDAlquilerDepartamentos[[#This Row],[Prec. Soles]]*0.05)</f>
        <v>75850</v>
      </c>
      <c r="I641" s="4">
        <v>3</v>
      </c>
      <c r="J641" s="4">
        <v>2</v>
      </c>
      <c r="K641" s="4" t="s">
        <v>3096</v>
      </c>
      <c r="L641" s="4" t="s">
        <v>3096</v>
      </c>
      <c r="M641" s="4">
        <v>117</v>
      </c>
      <c r="N641" s="4">
        <v>2013</v>
      </c>
      <c r="O641" s="4" t="str">
        <f>+IF(BDAlquilerDepartamentos[[#This Row],[Prec. Soles]]&gt;2500,"Caro","Economico")</f>
        <v>Caro</v>
      </c>
      <c r="P641" s="4" t="str">
        <f>+IF(AND(BDAlquilerDepartamentos[[#This Row],[N° de Dorm.]]&gt; 3,BDAlquilerDepartamentos[[#This Row],[Prec. Soles]]&lt;= 2500),"Buena Oferta", "Precio Estadar")</f>
        <v>Precio Estadar</v>
      </c>
      <c r="Q641" t="s">
        <v>1101</v>
      </c>
      <c r="R641" t="s">
        <v>1102</v>
      </c>
      <c r="S641" s="11">
        <v>45270</v>
      </c>
      <c r="T641" t="s">
        <v>3029</v>
      </c>
      <c r="U641" t="s">
        <v>2031</v>
      </c>
    </row>
    <row r="642" spans="2:21" x14ac:dyDescent="0.3">
      <c r="B642" t="s">
        <v>2032</v>
      </c>
      <c r="C642" t="s">
        <v>2712</v>
      </c>
      <c r="D642" t="s">
        <v>2478</v>
      </c>
      <c r="E642" t="s">
        <v>2580</v>
      </c>
      <c r="F642" t="s">
        <v>2580</v>
      </c>
      <c r="G642" s="8">
        <v>1000</v>
      </c>
      <c r="H642" s="8">
        <f>+IF(BDAlquilerDepartamentos[[#This Row],[Ciudad]]="Lima",BDAlquilerDepartamentos[[#This Row],[Prec. Soles]]*0.1,BDAlquilerDepartamentos[[#This Row],[Prec. Soles]]*0.05)</f>
        <v>100</v>
      </c>
      <c r="I642" s="4">
        <v>3</v>
      </c>
      <c r="J642" s="4">
        <v>2</v>
      </c>
      <c r="K642" s="4" t="s">
        <v>3096</v>
      </c>
      <c r="L642" s="4" t="s">
        <v>3095</v>
      </c>
      <c r="M642" s="4">
        <v>65</v>
      </c>
      <c r="N642" s="4">
        <v>2009</v>
      </c>
      <c r="O642" s="4" t="str">
        <f>+IF(BDAlquilerDepartamentos[[#This Row],[Prec. Soles]]&gt;2500,"Caro","Economico")</f>
        <v>Economico</v>
      </c>
      <c r="P642" s="4" t="str">
        <f>+IF(AND(BDAlquilerDepartamentos[[#This Row],[N° de Dorm.]]&gt; 3,BDAlquilerDepartamentos[[#This Row],[Prec. Soles]]&lt;= 2500),"Buena Oferta", "Precio Estadar")</f>
        <v>Precio Estadar</v>
      </c>
      <c r="Q642" t="s">
        <v>1101</v>
      </c>
      <c r="R642" t="s">
        <v>1102</v>
      </c>
      <c r="S642" s="11">
        <v>45623</v>
      </c>
      <c r="T642" t="s">
        <v>3002</v>
      </c>
      <c r="U642" t="s">
        <v>2033</v>
      </c>
    </row>
    <row r="643" spans="2:21" x14ac:dyDescent="0.3">
      <c r="B643" t="s">
        <v>1855</v>
      </c>
      <c r="C643" t="s">
        <v>2670</v>
      </c>
      <c r="D643" t="s">
        <v>2463</v>
      </c>
      <c r="E643" t="s">
        <v>2580</v>
      </c>
      <c r="F643" t="s">
        <v>2580</v>
      </c>
      <c r="G643" s="8">
        <v>2500</v>
      </c>
      <c r="H643" s="8">
        <f>+IF(BDAlquilerDepartamentos[[#This Row],[Ciudad]]="Lima",BDAlquilerDepartamentos[[#This Row],[Prec. Soles]]*0.1,BDAlquilerDepartamentos[[#This Row],[Prec. Soles]]*0.05)</f>
        <v>250</v>
      </c>
      <c r="I643" s="4">
        <v>3</v>
      </c>
      <c r="J643" s="4">
        <v>2</v>
      </c>
      <c r="K643" s="4" t="s">
        <v>3095</v>
      </c>
      <c r="L643" s="4" t="s">
        <v>3095</v>
      </c>
      <c r="M643" s="4">
        <v>124</v>
      </c>
      <c r="N643" s="4">
        <v>2014</v>
      </c>
      <c r="O643" s="4" t="str">
        <f>+IF(BDAlquilerDepartamentos[[#This Row],[Prec. Soles]]&gt;2500,"Caro","Economico")</f>
        <v>Economico</v>
      </c>
      <c r="P643" s="4" t="str">
        <f>+IF(AND(BDAlquilerDepartamentos[[#This Row],[N° de Dorm.]]&gt; 3,BDAlquilerDepartamentos[[#This Row],[Prec. Soles]]&lt;= 2500),"Buena Oferta", "Precio Estadar")</f>
        <v>Precio Estadar</v>
      </c>
      <c r="Q643" t="s">
        <v>1101</v>
      </c>
      <c r="R643" t="s">
        <v>1102</v>
      </c>
      <c r="S643" s="11">
        <v>45007</v>
      </c>
      <c r="T643" t="s">
        <v>2852</v>
      </c>
      <c r="U643" t="s">
        <v>2034</v>
      </c>
    </row>
    <row r="644" spans="2:21" x14ac:dyDescent="0.3">
      <c r="B644" t="s">
        <v>1122</v>
      </c>
      <c r="C644" t="s">
        <v>2429</v>
      </c>
      <c r="D644" t="s">
        <v>3121</v>
      </c>
      <c r="E644" t="s">
        <v>2580</v>
      </c>
      <c r="F644" t="s">
        <v>2580</v>
      </c>
      <c r="G644" s="8">
        <v>3145</v>
      </c>
      <c r="H644" s="8">
        <f>+IF(BDAlquilerDepartamentos[[#This Row],[Ciudad]]="Lima",BDAlquilerDepartamentos[[#This Row],[Prec. Soles]]*0.1,BDAlquilerDepartamentos[[#This Row],[Prec. Soles]]*0.05)</f>
        <v>314.5</v>
      </c>
      <c r="I644" s="4">
        <v>2</v>
      </c>
      <c r="J644" s="4">
        <v>2</v>
      </c>
      <c r="K644" s="4" t="s">
        <v>3095</v>
      </c>
      <c r="L644" s="4" t="s">
        <v>3095</v>
      </c>
      <c r="M644" s="4">
        <v>90</v>
      </c>
      <c r="N644" s="4">
        <v>2013</v>
      </c>
      <c r="O644" s="4" t="str">
        <f>+IF(BDAlquilerDepartamentos[[#This Row],[Prec. Soles]]&gt;2500,"Caro","Economico")</f>
        <v>Caro</v>
      </c>
      <c r="P644" s="4" t="str">
        <f>+IF(AND(BDAlquilerDepartamentos[[#This Row],[N° de Dorm.]]&gt; 3,BDAlquilerDepartamentos[[#This Row],[Prec. Soles]]&lt;= 2500),"Buena Oferta", "Precio Estadar")</f>
        <v>Precio Estadar</v>
      </c>
      <c r="Q644" t="s">
        <v>1101</v>
      </c>
      <c r="R644" t="s">
        <v>1102</v>
      </c>
      <c r="S644" s="11">
        <v>45413</v>
      </c>
      <c r="T644" t="s">
        <v>2896</v>
      </c>
      <c r="U644" t="s">
        <v>2035</v>
      </c>
    </row>
    <row r="645" spans="2:21" x14ac:dyDescent="0.3">
      <c r="B645" t="s">
        <v>1122</v>
      </c>
      <c r="C645" t="s">
        <v>2429</v>
      </c>
      <c r="D645" t="s">
        <v>3121</v>
      </c>
      <c r="E645" t="s">
        <v>2580</v>
      </c>
      <c r="F645" t="s">
        <v>2580</v>
      </c>
      <c r="G645" s="8">
        <v>3145</v>
      </c>
      <c r="H645" s="8">
        <f>+IF(BDAlquilerDepartamentos[[#This Row],[Ciudad]]="Lima",BDAlquilerDepartamentos[[#This Row],[Prec. Soles]]*0.1,BDAlquilerDepartamentos[[#This Row],[Prec. Soles]]*0.05)</f>
        <v>314.5</v>
      </c>
      <c r="I645" s="4">
        <v>2</v>
      </c>
      <c r="J645" s="4">
        <v>2</v>
      </c>
      <c r="K645" s="4" t="s">
        <v>3095</v>
      </c>
      <c r="L645" s="4" t="s">
        <v>3095</v>
      </c>
      <c r="M645" s="4">
        <v>90</v>
      </c>
      <c r="N645" s="4">
        <v>2016</v>
      </c>
      <c r="O645" s="4" t="str">
        <f>+IF(BDAlquilerDepartamentos[[#This Row],[Prec. Soles]]&gt;2500,"Caro","Economico")</f>
        <v>Caro</v>
      </c>
      <c r="P645" s="4" t="str">
        <f>+IF(AND(BDAlquilerDepartamentos[[#This Row],[N° de Dorm.]]&gt; 3,BDAlquilerDepartamentos[[#This Row],[Prec. Soles]]&lt;= 2500),"Buena Oferta", "Precio Estadar")</f>
        <v>Precio Estadar</v>
      </c>
      <c r="Q645" t="s">
        <v>1101</v>
      </c>
      <c r="R645" t="s">
        <v>1102</v>
      </c>
      <c r="S645" s="11">
        <v>45212</v>
      </c>
      <c r="T645" t="s">
        <v>2896</v>
      </c>
      <c r="U645" t="s">
        <v>2036</v>
      </c>
    </row>
    <row r="646" spans="2:21" x14ac:dyDescent="0.3">
      <c r="B646" t="s">
        <v>1381</v>
      </c>
      <c r="C646" t="s">
        <v>2537</v>
      </c>
      <c r="D646" t="s">
        <v>2428</v>
      </c>
      <c r="E646" t="s">
        <v>2580</v>
      </c>
      <c r="F646" t="s">
        <v>2580</v>
      </c>
      <c r="G646" s="8">
        <v>4070</v>
      </c>
      <c r="H646" s="8">
        <f>+IF(BDAlquilerDepartamentos[[#This Row],[Ciudad]]="Lima",BDAlquilerDepartamentos[[#This Row],[Prec. Soles]]*0.1,BDAlquilerDepartamentos[[#This Row],[Prec. Soles]]*0.05)</f>
        <v>407</v>
      </c>
      <c r="I646" s="4">
        <v>2</v>
      </c>
      <c r="J646" s="4">
        <v>3</v>
      </c>
      <c r="K646" s="4" t="s">
        <v>3095</v>
      </c>
      <c r="L646" s="4" t="s">
        <v>3096</v>
      </c>
      <c r="M646" s="4">
        <v>110</v>
      </c>
      <c r="N646" s="4">
        <v>2007</v>
      </c>
      <c r="O646" s="4" t="str">
        <f>+IF(BDAlquilerDepartamentos[[#This Row],[Prec. Soles]]&gt;2500,"Caro","Economico")</f>
        <v>Caro</v>
      </c>
      <c r="P646" s="4" t="str">
        <f>+IF(AND(BDAlquilerDepartamentos[[#This Row],[N° de Dorm.]]&gt; 3,BDAlquilerDepartamentos[[#This Row],[Prec. Soles]]&lt;= 2500),"Buena Oferta", "Precio Estadar")</f>
        <v>Precio Estadar</v>
      </c>
      <c r="Q646" t="s">
        <v>1101</v>
      </c>
      <c r="R646" t="s">
        <v>1102</v>
      </c>
      <c r="S646" s="11">
        <v>45060</v>
      </c>
      <c r="T646" t="s">
        <v>3030</v>
      </c>
      <c r="U646" t="s">
        <v>2037</v>
      </c>
    </row>
    <row r="647" spans="2:21" x14ac:dyDescent="0.3">
      <c r="B647" t="s">
        <v>3105</v>
      </c>
      <c r="C647" t="s">
        <v>3106</v>
      </c>
      <c r="D647" t="s">
        <v>2428</v>
      </c>
      <c r="E647" t="s">
        <v>2580</v>
      </c>
      <c r="F647" t="s">
        <v>2580</v>
      </c>
      <c r="G647" s="8">
        <v>5550</v>
      </c>
      <c r="H647" s="8">
        <f>+IF(BDAlquilerDepartamentos[[#This Row],[Ciudad]]="Lima",BDAlquilerDepartamentos[[#This Row],[Prec. Soles]]*0.1,BDAlquilerDepartamentos[[#This Row],[Prec. Soles]]*0.05)</f>
        <v>555</v>
      </c>
      <c r="I647" s="4">
        <v>3</v>
      </c>
      <c r="J647" s="4">
        <v>4</v>
      </c>
      <c r="K647" s="4" t="s">
        <v>3096</v>
      </c>
      <c r="L647" s="4" t="s">
        <v>3095</v>
      </c>
      <c r="M647" s="4">
        <v>200</v>
      </c>
      <c r="N647" s="4">
        <v>2014</v>
      </c>
      <c r="O647" s="4" t="str">
        <f>+IF(BDAlquilerDepartamentos[[#This Row],[Prec. Soles]]&gt;2500,"Caro","Economico")</f>
        <v>Caro</v>
      </c>
      <c r="P647" s="4" t="str">
        <f>+IF(AND(BDAlquilerDepartamentos[[#This Row],[N° de Dorm.]]&gt; 3,BDAlquilerDepartamentos[[#This Row],[Prec. Soles]]&lt;= 2500),"Buena Oferta", "Precio Estadar")</f>
        <v>Precio Estadar</v>
      </c>
      <c r="Q647" t="s">
        <v>1101</v>
      </c>
      <c r="R647" t="s">
        <v>1102</v>
      </c>
      <c r="S647" s="11">
        <v>45172</v>
      </c>
      <c r="T647" t="s">
        <v>3031</v>
      </c>
      <c r="U647" t="s">
        <v>2038</v>
      </c>
    </row>
    <row r="648" spans="2:21" x14ac:dyDescent="0.3">
      <c r="B648" t="s">
        <v>1118</v>
      </c>
      <c r="C648" t="s">
        <v>2426</v>
      </c>
      <c r="D648" t="s">
        <v>2436</v>
      </c>
      <c r="E648" t="s">
        <v>2580</v>
      </c>
      <c r="F648" t="s">
        <v>2580</v>
      </c>
      <c r="G648" s="8">
        <v>4625</v>
      </c>
      <c r="H648" s="8">
        <f>+IF(BDAlquilerDepartamentos[[#This Row],[Ciudad]]="Lima",BDAlquilerDepartamentos[[#This Row],[Prec. Soles]]*0.1,BDAlquilerDepartamentos[[#This Row],[Prec. Soles]]*0.05)</f>
        <v>462.5</v>
      </c>
      <c r="I648" s="4">
        <v>1</v>
      </c>
      <c r="J648" s="4">
        <v>1</v>
      </c>
      <c r="K648" s="4" t="s">
        <v>3096</v>
      </c>
      <c r="L648" s="4" t="s">
        <v>3095</v>
      </c>
      <c r="M648" s="4">
        <v>110</v>
      </c>
      <c r="N648" s="4">
        <v>2004</v>
      </c>
      <c r="O648" s="4" t="str">
        <f>+IF(BDAlquilerDepartamentos[[#This Row],[Prec. Soles]]&gt;2500,"Caro","Economico")</f>
        <v>Caro</v>
      </c>
      <c r="P648" s="4" t="str">
        <f>+IF(AND(BDAlquilerDepartamentos[[#This Row],[N° de Dorm.]]&gt; 3,BDAlquilerDepartamentos[[#This Row],[Prec. Soles]]&lt;= 2500),"Buena Oferta", "Precio Estadar")</f>
        <v>Precio Estadar</v>
      </c>
      <c r="Q648" t="s">
        <v>1101</v>
      </c>
      <c r="R648" t="s">
        <v>1102</v>
      </c>
      <c r="S648" s="11">
        <v>45116</v>
      </c>
      <c r="T648" t="s">
        <v>3123</v>
      </c>
      <c r="U648" t="s">
        <v>2039</v>
      </c>
    </row>
    <row r="649" spans="2:21" x14ac:dyDescent="0.3">
      <c r="B649" t="s">
        <v>2040</v>
      </c>
      <c r="C649" t="s">
        <v>2713</v>
      </c>
      <c r="D649" t="s">
        <v>2485</v>
      </c>
      <c r="E649" t="s">
        <v>2580</v>
      </c>
      <c r="F649" t="s">
        <v>2580</v>
      </c>
      <c r="G649" s="8">
        <v>8140</v>
      </c>
      <c r="H649" s="8">
        <f>+IF(BDAlquilerDepartamentos[[#This Row],[Ciudad]]="Lima",BDAlquilerDepartamentos[[#This Row],[Prec. Soles]]*0.1,BDAlquilerDepartamentos[[#This Row],[Prec. Soles]]*0.05)</f>
        <v>814</v>
      </c>
      <c r="I649" s="4">
        <v>4</v>
      </c>
      <c r="J649" s="4">
        <v>3</v>
      </c>
      <c r="K649" s="4" t="s">
        <v>3095</v>
      </c>
      <c r="L649" s="4" t="s">
        <v>3096</v>
      </c>
      <c r="M649" s="4">
        <v>330</v>
      </c>
      <c r="N649" s="4">
        <v>2010</v>
      </c>
      <c r="O649" s="4" t="str">
        <f>+IF(BDAlquilerDepartamentos[[#This Row],[Prec. Soles]]&gt;2500,"Caro","Economico")</f>
        <v>Caro</v>
      </c>
      <c r="P649" s="4" t="str">
        <f>+IF(AND(BDAlquilerDepartamentos[[#This Row],[N° de Dorm.]]&gt; 3,BDAlquilerDepartamentos[[#This Row],[Prec. Soles]]&lt;= 2500),"Buena Oferta", "Precio Estadar")</f>
        <v>Precio Estadar</v>
      </c>
      <c r="Q649" t="s">
        <v>1113</v>
      </c>
      <c r="R649" t="s">
        <v>1102</v>
      </c>
      <c r="S649" s="11">
        <v>45009</v>
      </c>
      <c r="T649" t="s">
        <v>2833</v>
      </c>
      <c r="U649" t="s">
        <v>2041</v>
      </c>
    </row>
    <row r="650" spans="2:21" x14ac:dyDescent="0.3">
      <c r="B650" t="s">
        <v>1574</v>
      </c>
      <c r="C650" t="s">
        <v>2597</v>
      </c>
      <c r="D650" t="s">
        <v>2580</v>
      </c>
      <c r="E650" t="s">
        <v>2580</v>
      </c>
      <c r="F650" t="s">
        <v>2580</v>
      </c>
      <c r="G650" s="8">
        <v>1469</v>
      </c>
      <c r="H650" s="8">
        <f>+IF(BDAlquilerDepartamentos[[#This Row],[Ciudad]]="Lima",BDAlquilerDepartamentos[[#This Row],[Prec. Soles]]*0.1,BDAlquilerDepartamentos[[#This Row],[Prec. Soles]]*0.05)</f>
        <v>146.9</v>
      </c>
      <c r="I650" s="4">
        <v>2</v>
      </c>
      <c r="J650" s="4">
        <v>2</v>
      </c>
      <c r="K650" s="4" t="s">
        <v>3095</v>
      </c>
      <c r="L650" s="4" t="s">
        <v>3096</v>
      </c>
      <c r="M650" s="4">
        <v>58</v>
      </c>
      <c r="N650" s="4">
        <v>2003</v>
      </c>
      <c r="O650" s="4" t="str">
        <f>+IF(BDAlquilerDepartamentos[[#This Row],[Prec. Soles]]&gt;2500,"Caro","Economico")</f>
        <v>Economico</v>
      </c>
      <c r="P650" s="4" t="str">
        <f>+IF(AND(BDAlquilerDepartamentos[[#This Row],[N° de Dorm.]]&gt; 3,BDAlquilerDepartamentos[[#This Row],[Prec. Soles]]&lt;= 2500),"Buena Oferta", "Precio Estadar")</f>
        <v>Precio Estadar</v>
      </c>
      <c r="Q650" t="s">
        <v>1101</v>
      </c>
      <c r="R650" t="s">
        <v>1102</v>
      </c>
      <c r="S650" s="11">
        <v>45277</v>
      </c>
      <c r="T650" t="s">
        <v>2942</v>
      </c>
      <c r="U650" t="s">
        <v>2042</v>
      </c>
    </row>
    <row r="651" spans="2:21" x14ac:dyDescent="0.3">
      <c r="B651" t="s">
        <v>2040</v>
      </c>
      <c r="C651" t="s">
        <v>2713</v>
      </c>
      <c r="D651" t="s">
        <v>2485</v>
      </c>
      <c r="E651" t="s">
        <v>2580</v>
      </c>
      <c r="F651" t="s">
        <v>2580</v>
      </c>
      <c r="G651" s="8">
        <v>8510</v>
      </c>
      <c r="H651" s="8">
        <f>+IF(BDAlquilerDepartamentos[[#This Row],[Ciudad]]="Lima",BDAlquilerDepartamentos[[#This Row],[Prec. Soles]]*0.1,BDAlquilerDepartamentos[[#This Row],[Prec. Soles]]*0.05)</f>
        <v>851</v>
      </c>
      <c r="I651" s="4">
        <v>4</v>
      </c>
      <c r="J651" s="4">
        <v>3</v>
      </c>
      <c r="K651" s="4" t="s">
        <v>3096</v>
      </c>
      <c r="L651" s="4" t="s">
        <v>3095</v>
      </c>
      <c r="M651" s="4">
        <v>330</v>
      </c>
      <c r="N651" s="4">
        <v>2015</v>
      </c>
      <c r="O651" s="4" t="str">
        <f>+IF(BDAlquilerDepartamentos[[#This Row],[Prec. Soles]]&gt;2500,"Caro","Economico")</f>
        <v>Caro</v>
      </c>
      <c r="P651" s="4" t="str">
        <f>+IF(AND(BDAlquilerDepartamentos[[#This Row],[N° de Dorm.]]&gt; 3,BDAlquilerDepartamentos[[#This Row],[Prec. Soles]]&lt;= 2500),"Buena Oferta", "Precio Estadar")</f>
        <v>Precio Estadar</v>
      </c>
      <c r="Q651" t="s">
        <v>1113</v>
      </c>
      <c r="R651" t="s">
        <v>1102</v>
      </c>
      <c r="S651" s="11">
        <v>45041</v>
      </c>
      <c r="T651" t="s">
        <v>2833</v>
      </c>
      <c r="U651" t="s">
        <v>2043</v>
      </c>
    </row>
    <row r="652" spans="2:21" x14ac:dyDescent="0.3">
      <c r="B652" t="s">
        <v>2040</v>
      </c>
      <c r="C652" t="s">
        <v>2713</v>
      </c>
      <c r="D652" t="s">
        <v>2485</v>
      </c>
      <c r="E652" t="s">
        <v>2580</v>
      </c>
      <c r="F652" t="s">
        <v>2580</v>
      </c>
      <c r="G652" s="8">
        <v>7770</v>
      </c>
      <c r="H652" s="8">
        <f>+IF(BDAlquilerDepartamentos[[#This Row],[Ciudad]]="Lima",BDAlquilerDepartamentos[[#This Row],[Prec. Soles]]*0.1,BDAlquilerDepartamentos[[#This Row],[Prec. Soles]]*0.05)</f>
        <v>777</v>
      </c>
      <c r="I652" s="4">
        <v>4</v>
      </c>
      <c r="J652" s="4">
        <v>3</v>
      </c>
      <c r="K652" s="4" t="s">
        <v>3096</v>
      </c>
      <c r="L652" s="4" t="s">
        <v>3095</v>
      </c>
      <c r="M652" s="4">
        <v>300</v>
      </c>
      <c r="N652" s="4">
        <v>2008</v>
      </c>
      <c r="O652" s="4" t="str">
        <f>+IF(BDAlquilerDepartamentos[[#This Row],[Prec. Soles]]&gt;2500,"Caro","Economico")</f>
        <v>Caro</v>
      </c>
      <c r="P652" s="4" t="str">
        <f>+IF(AND(BDAlquilerDepartamentos[[#This Row],[N° de Dorm.]]&gt; 3,BDAlquilerDepartamentos[[#This Row],[Prec. Soles]]&lt;= 2500),"Buena Oferta", "Precio Estadar")</f>
        <v>Precio Estadar</v>
      </c>
      <c r="Q652" t="s">
        <v>1113</v>
      </c>
      <c r="R652" t="s">
        <v>1102</v>
      </c>
      <c r="S652" s="11">
        <v>45583</v>
      </c>
      <c r="T652" t="s">
        <v>2833</v>
      </c>
      <c r="U652" t="s">
        <v>2044</v>
      </c>
    </row>
    <row r="653" spans="2:21" x14ac:dyDescent="0.3">
      <c r="B653" t="s">
        <v>2045</v>
      </c>
      <c r="C653" t="s">
        <v>2714</v>
      </c>
      <c r="D653" t="s">
        <v>2422</v>
      </c>
      <c r="E653" t="s">
        <v>2580</v>
      </c>
      <c r="F653" t="s">
        <v>2580</v>
      </c>
      <c r="G653" s="8">
        <v>5800</v>
      </c>
      <c r="H653" s="8">
        <f>+IF(BDAlquilerDepartamentos[[#This Row],[Ciudad]]="Lima",BDAlquilerDepartamentos[[#This Row],[Prec. Soles]]*0.1,BDAlquilerDepartamentos[[#This Row],[Prec. Soles]]*0.05)</f>
        <v>580</v>
      </c>
      <c r="I653" s="4">
        <v>4</v>
      </c>
      <c r="J653" s="4">
        <v>3</v>
      </c>
      <c r="K653" s="4" t="s">
        <v>3096</v>
      </c>
      <c r="L653" s="4" t="s">
        <v>3096</v>
      </c>
      <c r="M653" s="4">
        <v>274</v>
      </c>
      <c r="N653" s="4">
        <v>2008</v>
      </c>
      <c r="O653" s="4" t="str">
        <f>+IF(BDAlquilerDepartamentos[[#This Row],[Prec. Soles]]&gt;2500,"Caro","Economico")</f>
        <v>Caro</v>
      </c>
      <c r="P653" s="4" t="str">
        <f>+IF(AND(BDAlquilerDepartamentos[[#This Row],[N° de Dorm.]]&gt; 3,BDAlquilerDepartamentos[[#This Row],[Prec. Soles]]&lt;= 2500),"Buena Oferta", "Precio Estadar")</f>
        <v>Precio Estadar</v>
      </c>
      <c r="Q653" t="s">
        <v>1113</v>
      </c>
      <c r="R653" t="s">
        <v>1102</v>
      </c>
      <c r="S653" s="11">
        <v>45267</v>
      </c>
      <c r="T653" t="s">
        <v>3032</v>
      </c>
      <c r="U653" t="s">
        <v>2046</v>
      </c>
    </row>
    <row r="654" spans="2:21" x14ac:dyDescent="0.3">
      <c r="B654" t="s">
        <v>1432</v>
      </c>
      <c r="C654" t="s">
        <v>2556</v>
      </c>
      <c r="D654" t="s">
        <v>2420</v>
      </c>
      <c r="E654" t="s">
        <v>2580</v>
      </c>
      <c r="F654" t="s">
        <v>2580</v>
      </c>
      <c r="G654" s="8">
        <v>1900</v>
      </c>
      <c r="H654" s="8">
        <f>+IF(BDAlquilerDepartamentos[[#This Row],[Ciudad]]="Lima",BDAlquilerDepartamentos[[#This Row],[Prec. Soles]]*0.1,BDAlquilerDepartamentos[[#This Row],[Prec. Soles]]*0.05)</f>
        <v>190</v>
      </c>
      <c r="I654" s="4">
        <v>1</v>
      </c>
      <c r="J654" s="4">
        <v>1</v>
      </c>
      <c r="K654" s="4" t="s">
        <v>3095</v>
      </c>
      <c r="L654" s="4" t="s">
        <v>3095</v>
      </c>
      <c r="M654" s="4">
        <v>47</v>
      </c>
      <c r="N654" s="4">
        <v>2010</v>
      </c>
      <c r="O654" s="4" t="str">
        <f>+IF(BDAlquilerDepartamentos[[#This Row],[Prec. Soles]]&gt;2500,"Caro","Economico")</f>
        <v>Economico</v>
      </c>
      <c r="P654" s="4" t="str">
        <f>+IF(AND(BDAlquilerDepartamentos[[#This Row],[N° de Dorm.]]&gt; 3,BDAlquilerDepartamentos[[#This Row],[Prec. Soles]]&lt;= 2500),"Buena Oferta", "Precio Estadar")</f>
        <v>Precio Estadar</v>
      </c>
      <c r="Q654" t="s">
        <v>1101</v>
      </c>
      <c r="R654" t="s">
        <v>1102</v>
      </c>
      <c r="S654" s="11">
        <v>45576</v>
      </c>
      <c r="T654" t="s">
        <v>2827</v>
      </c>
      <c r="U654" t="s">
        <v>2047</v>
      </c>
    </row>
    <row r="655" spans="2:21" x14ac:dyDescent="0.3">
      <c r="B655" t="s">
        <v>3113</v>
      </c>
      <c r="C655" t="s">
        <v>3114</v>
      </c>
      <c r="D655" t="s">
        <v>2436</v>
      </c>
      <c r="E655" t="s">
        <v>2580</v>
      </c>
      <c r="F655" t="s">
        <v>2580</v>
      </c>
      <c r="G655" s="8">
        <v>5735</v>
      </c>
      <c r="H655" s="8">
        <f>+IF(BDAlquilerDepartamentos[[#This Row],[Ciudad]]="Lima",BDAlquilerDepartamentos[[#This Row],[Prec. Soles]]*0.1,BDAlquilerDepartamentos[[#This Row],[Prec. Soles]]*0.05)</f>
        <v>573.5</v>
      </c>
      <c r="I655" s="4">
        <v>2</v>
      </c>
      <c r="J655" s="4">
        <v>3</v>
      </c>
      <c r="K655" s="4" t="s">
        <v>3096</v>
      </c>
      <c r="L655" s="4" t="s">
        <v>3096</v>
      </c>
      <c r="M655" s="4">
        <v>153</v>
      </c>
      <c r="N655" s="4">
        <v>2016</v>
      </c>
      <c r="O655" s="4" t="str">
        <f>+IF(BDAlquilerDepartamentos[[#This Row],[Prec. Soles]]&gt;2500,"Caro","Economico")</f>
        <v>Caro</v>
      </c>
      <c r="P655" s="4" t="str">
        <f>+IF(AND(BDAlquilerDepartamentos[[#This Row],[N° de Dorm.]]&gt; 3,BDAlquilerDepartamentos[[#This Row],[Prec. Soles]]&lt;= 2500),"Buena Oferta", "Precio Estadar")</f>
        <v>Precio Estadar</v>
      </c>
      <c r="Q655" t="s">
        <v>1101</v>
      </c>
      <c r="R655" t="s">
        <v>1102</v>
      </c>
      <c r="S655" s="11">
        <v>45635</v>
      </c>
      <c r="T655" t="s">
        <v>2844</v>
      </c>
      <c r="U655" t="s">
        <v>2048</v>
      </c>
    </row>
    <row r="656" spans="2:21" x14ac:dyDescent="0.3">
      <c r="B656" t="s">
        <v>2049</v>
      </c>
      <c r="C656" t="s">
        <v>2715</v>
      </c>
      <c r="D656" t="s">
        <v>2485</v>
      </c>
      <c r="E656" t="s">
        <v>2580</v>
      </c>
      <c r="F656" t="s">
        <v>2580</v>
      </c>
      <c r="G656" s="8">
        <v>1500</v>
      </c>
      <c r="H656" s="8">
        <f>+IF(BDAlquilerDepartamentos[[#This Row],[Ciudad]]="Lima",BDAlquilerDepartamentos[[#This Row],[Prec. Soles]]*0.1,BDAlquilerDepartamentos[[#This Row],[Prec. Soles]]*0.05)</f>
        <v>150</v>
      </c>
      <c r="I656" s="4">
        <v>2</v>
      </c>
      <c r="J656" s="4">
        <v>1</v>
      </c>
      <c r="K656" s="4" t="s">
        <v>3095</v>
      </c>
      <c r="L656" s="4" t="s">
        <v>3095</v>
      </c>
      <c r="M656" s="4">
        <v>75</v>
      </c>
      <c r="N656" s="4">
        <v>2004</v>
      </c>
      <c r="O656" s="4" t="str">
        <f>+IF(BDAlquilerDepartamentos[[#This Row],[Prec. Soles]]&gt;2500,"Caro","Economico")</f>
        <v>Economico</v>
      </c>
      <c r="P656" s="4" t="str">
        <f>+IF(AND(BDAlquilerDepartamentos[[#This Row],[N° de Dorm.]]&gt; 3,BDAlquilerDepartamentos[[#This Row],[Prec. Soles]]&lt;= 2500),"Buena Oferta", "Precio Estadar")</f>
        <v>Precio Estadar</v>
      </c>
      <c r="Q656" t="s">
        <v>1101</v>
      </c>
      <c r="R656" t="s">
        <v>1102</v>
      </c>
      <c r="S656" s="11">
        <v>45400</v>
      </c>
      <c r="T656" t="s">
        <v>2848</v>
      </c>
      <c r="U656" t="s">
        <v>2050</v>
      </c>
    </row>
    <row r="657" spans="2:21" x14ac:dyDescent="0.3">
      <c r="B657" t="s">
        <v>2051</v>
      </c>
      <c r="C657" t="s">
        <v>2596</v>
      </c>
      <c r="D657" t="s">
        <v>2580</v>
      </c>
      <c r="E657" t="s">
        <v>2580</v>
      </c>
      <c r="F657" t="s">
        <v>2580</v>
      </c>
      <c r="G657" s="8">
        <v>4810</v>
      </c>
      <c r="H657" s="8">
        <f>+IF(BDAlquilerDepartamentos[[#This Row],[Ciudad]]="Lima",BDAlquilerDepartamentos[[#This Row],[Prec. Soles]]*0.1,BDAlquilerDepartamentos[[#This Row],[Prec. Soles]]*0.05)</f>
        <v>481</v>
      </c>
      <c r="I657" s="4">
        <v>4</v>
      </c>
      <c r="J657" s="4">
        <v>2</v>
      </c>
      <c r="K657" s="4" t="s">
        <v>3096</v>
      </c>
      <c r="L657" s="4" t="s">
        <v>3096</v>
      </c>
      <c r="N657" s="4">
        <v>2013</v>
      </c>
      <c r="O657" s="4" t="str">
        <f>+IF(BDAlquilerDepartamentos[[#This Row],[Prec. Soles]]&gt;2500,"Caro","Economico")</f>
        <v>Caro</v>
      </c>
      <c r="P657" s="4" t="str">
        <f>+IF(AND(BDAlquilerDepartamentos[[#This Row],[N° de Dorm.]]&gt; 3,BDAlquilerDepartamentos[[#This Row],[Prec. Soles]]&lt;= 2500),"Buena Oferta", "Precio Estadar")</f>
        <v>Precio Estadar</v>
      </c>
      <c r="Q657" t="s">
        <v>1164</v>
      </c>
      <c r="R657" t="s">
        <v>1102</v>
      </c>
      <c r="S657" s="11">
        <v>45332</v>
      </c>
      <c r="T657" t="s">
        <v>3033</v>
      </c>
      <c r="U657" t="s">
        <v>2052</v>
      </c>
    </row>
    <row r="658" spans="2:21" x14ac:dyDescent="0.3">
      <c r="B658" t="s">
        <v>2053</v>
      </c>
      <c r="C658" t="s">
        <v>2716</v>
      </c>
      <c r="D658" t="s">
        <v>3165</v>
      </c>
      <c r="E658" t="s">
        <v>2580</v>
      </c>
      <c r="F658" t="s">
        <v>2580</v>
      </c>
      <c r="G658" s="8">
        <v>1100</v>
      </c>
      <c r="H658" s="8">
        <f>+IF(BDAlquilerDepartamentos[[#This Row],[Ciudad]]="Lima",BDAlquilerDepartamentos[[#This Row],[Prec. Soles]]*0.1,BDAlquilerDepartamentos[[#This Row],[Prec. Soles]]*0.05)</f>
        <v>110</v>
      </c>
      <c r="I658" s="4">
        <v>2</v>
      </c>
      <c r="J658" s="4">
        <v>1</v>
      </c>
      <c r="K658" s="4" t="s">
        <v>3095</v>
      </c>
      <c r="L658" s="4" t="s">
        <v>3095</v>
      </c>
      <c r="M658" s="4">
        <v>60</v>
      </c>
      <c r="N658" s="4">
        <v>2004</v>
      </c>
      <c r="O658" s="4" t="str">
        <f>+IF(BDAlquilerDepartamentos[[#This Row],[Prec. Soles]]&gt;2500,"Caro","Economico")</f>
        <v>Economico</v>
      </c>
      <c r="P658" s="4" t="str">
        <f>+IF(AND(BDAlquilerDepartamentos[[#This Row],[N° de Dorm.]]&gt; 3,BDAlquilerDepartamentos[[#This Row],[Prec. Soles]]&lt;= 2500),"Buena Oferta", "Precio Estadar")</f>
        <v>Precio Estadar</v>
      </c>
      <c r="Q658" t="s">
        <v>1101</v>
      </c>
      <c r="R658" t="s">
        <v>1102</v>
      </c>
      <c r="S658" s="11">
        <v>45329</v>
      </c>
      <c r="T658" t="s">
        <v>2848</v>
      </c>
      <c r="U658" t="s">
        <v>2054</v>
      </c>
    </row>
    <row r="659" spans="2:21" x14ac:dyDescent="0.3">
      <c r="B659" t="s">
        <v>1167</v>
      </c>
      <c r="C659" t="s">
        <v>2454</v>
      </c>
      <c r="D659" t="s">
        <v>2418</v>
      </c>
      <c r="E659" t="s">
        <v>2580</v>
      </c>
      <c r="F659" t="s">
        <v>2580</v>
      </c>
      <c r="G659" s="8">
        <v>2220</v>
      </c>
      <c r="H659" s="8">
        <f>+IF(BDAlquilerDepartamentos[[#This Row],[Ciudad]]="Lima",BDAlquilerDepartamentos[[#This Row],[Prec. Soles]]*0.1,BDAlquilerDepartamentos[[#This Row],[Prec. Soles]]*0.05)</f>
        <v>222</v>
      </c>
      <c r="I659" s="4">
        <v>1</v>
      </c>
      <c r="J659" s="4">
        <v>1</v>
      </c>
      <c r="K659" s="4" t="s">
        <v>3095</v>
      </c>
      <c r="L659" s="4" t="s">
        <v>3096</v>
      </c>
      <c r="M659" s="4">
        <v>41</v>
      </c>
      <c r="N659" s="4">
        <v>2014</v>
      </c>
      <c r="O659" s="4" t="str">
        <f>+IF(BDAlquilerDepartamentos[[#This Row],[Prec. Soles]]&gt;2500,"Caro","Economico")</f>
        <v>Economico</v>
      </c>
      <c r="P659" s="4" t="str">
        <f>+IF(AND(BDAlquilerDepartamentos[[#This Row],[N° de Dorm.]]&gt; 3,BDAlquilerDepartamentos[[#This Row],[Prec. Soles]]&lt;= 2500),"Buena Oferta", "Precio Estadar")</f>
        <v>Precio Estadar</v>
      </c>
      <c r="Q659" t="s">
        <v>1101</v>
      </c>
      <c r="R659" t="s">
        <v>1102</v>
      </c>
      <c r="S659" s="11">
        <v>45179</v>
      </c>
      <c r="T659" t="s">
        <v>2926</v>
      </c>
      <c r="U659" t="s">
        <v>2055</v>
      </c>
    </row>
    <row r="660" spans="2:21" x14ac:dyDescent="0.3">
      <c r="B660" t="s">
        <v>2056</v>
      </c>
      <c r="C660" t="s">
        <v>2717</v>
      </c>
      <c r="D660" t="s">
        <v>2485</v>
      </c>
      <c r="E660" t="s">
        <v>2580</v>
      </c>
      <c r="F660" t="s">
        <v>2580</v>
      </c>
      <c r="G660" s="8">
        <v>1100</v>
      </c>
      <c r="H660" s="8">
        <f>+IF(BDAlquilerDepartamentos[[#This Row],[Ciudad]]="Lima",BDAlquilerDepartamentos[[#This Row],[Prec. Soles]]*0.1,BDAlquilerDepartamentos[[#This Row],[Prec. Soles]]*0.05)</f>
        <v>110</v>
      </c>
      <c r="I660" s="4">
        <v>2</v>
      </c>
      <c r="J660" s="4">
        <v>1</v>
      </c>
      <c r="K660" s="4" t="s">
        <v>3096</v>
      </c>
      <c r="L660" s="4" t="s">
        <v>3096</v>
      </c>
      <c r="M660" s="4">
        <v>50</v>
      </c>
      <c r="N660" s="4">
        <v>2013</v>
      </c>
      <c r="O660" s="4" t="str">
        <f>+IF(BDAlquilerDepartamentos[[#This Row],[Prec. Soles]]&gt;2500,"Caro","Economico")</f>
        <v>Economico</v>
      </c>
      <c r="P660" s="4" t="str">
        <f>+IF(AND(BDAlquilerDepartamentos[[#This Row],[N° de Dorm.]]&gt; 3,BDAlquilerDepartamentos[[#This Row],[Prec. Soles]]&lt;= 2500),"Buena Oferta", "Precio Estadar")</f>
        <v>Precio Estadar</v>
      </c>
      <c r="Q660" t="s">
        <v>1101</v>
      </c>
      <c r="R660" t="s">
        <v>1102</v>
      </c>
      <c r="S660" s="11">
        <v>45512</v>
      </c>
      <c r="T660" t="s">
        <v>2848</v>
      </c>
      <c r="U660" t="s">
        <v>2057</v>
      </c>
    </row>
    <row r="661" spans="2:21" x14ac:dyDescent="0.3">
      <c r="B661" t="s">
        <v>2058</v>
      </c>
      <c r="C661" t="s">
        <v>2718</v>
      </c>
      <c r="D661" t="s">
        <v>2418</v>
      </c>
      <c r="E661" t="s">
        <v>2580</v>
      </c>
      <c r="F661" t="s">
        <v>2580</v>
      </c>
      <c r="G661" s="8">
        <v>2183</v>
      </c>
      <c r="H661" s="8">
        <f>+IF(BDAlquilerDepartamentos[[#This Row],[Ciudad]]="Lima",BDAlquilerDepartamentos[[#This Row],[Prec. Soles]]*0.1,BDAlquilerDepartamentos[[#This Row],[Prec. Soles]]*0.05)</f>
        <v>218.3</v>
      </c>
      <c r="I661" s="4">
        <v>1</v>
      </c>
      <c r="J661" s="4">
        <v>1</v>
      </c>
      <c r="K661" s="4" t="s">
        <v>3095</v>
      </c>
      <c r="L661" s="4" t="s">
        <v>3095</v>
      </c>
      <c r="M661" s="4">
        <v>45</v>
      </c>
      <c r="N661" s="4">
        <v>2004</v>
      </c>
      <c r="O661" s="4" t="str">
        <f>+IF(BDAlquilerDepartamentos[[#This Row],[Prec. Soles]]&gt;2500,"Caro","Economico")</f>
        <v>Economico</v>
      </c>
      <c r="P661" s="4" t="str">
        <f>+IF(AND(BDAlquilerDepartamentos[[#This Row],[N° de Dorm.]]&gt; 3,BDAlquilerDepartamentos[[#This Row],[Prec. Soles]]&lt;= 2500),"Buena Oferta", "Precio Estadar")</f>
        <v>Precio Estadar</v>
      </c>
      <c r="Q661" t="s">
        <v>1101</v>
      </c>
      <c r="R661" t="s">
        <v>1102</v>
      </c>
      <c r="S661" s="11">
        <v>45249</v>
      </c>
      <c r="T661" t="s">
        <v>3123</v>
      </c>
      <c r="U661" t="s">
        <v>2059</v>
      </c>
    </row>
    <row r="662" spans="2:21" x14ac:dyDescent="0.3">
      <c r="B662" t="s">
        <v>1216</v>
      </c>
      <c r="C662" t="s">
        <v>2462</v>
      </c>
      <c r="D662" t="s">
        <v>2463</v>
      </c>
      <c r="E662" t="s">
        <v>2580</v>
      </c>
      <c r="F662" t="s">
        <v>2580</v>
      </c>
      <c r="G662" s="8">
        <v>2600</v>
      </c>
      <c r="H662" s="8">
        <f>+IF(BDAlquilerDepartamentos[[#This Row],[Ciudad]]="Lima",BDAlquilerDepartamentos[[#This Row],[Prec. Soles]]*0.1,BDAlquilerDepartamentos[[#This Row],[Prec. Soles]]*0.05)</f>
        <v>260</v>
      </c>
      <c r="I662" s="4">
        <v>2</v>
      </c>
      <c r="J662" s="4">
        <v>2</v>
      </c>
      <c r="K662" s="4" t="s">
        <v>3095</v>
      </c>
      <c r="L662" s="4" t="s">
        <v>3095</v>
      </c>
      <c r="M662" s="4">
        <v>69</v>
      </c>
      <c r="N662" s="4">
        <v>2005</v>
      </c>
      <c r="O662" s="4" t="str">
        <f>+IF(BDAlquilerDepartamentos[[#This Row],[Prec. Soles]]&gt;2500,"Caro","Economico")</f>
        <v>Caro</v>
      </c>
      <c r="P662" s="4" t="str">
        <f>+IF(AND(BDAlquilerDepartamentos[[#This Row],[N° de Dorm.]]&gt; 3,BDAlquilerDepartamentos[[#This Row],[Prec. Soles]]&lt;= 2500),"Buena Oferta", "Precio Estadar")</f>
        <v>Precio Estadar</v>
      </c>
      <c r="Q662" t="s">
        <v>1101</v>
      </c>
      <c r="R662" t="s">
        <v>1102</v>
      </c>
      <c r="S662" s="11">
        <v>45448</v>
      </c>
      <c r="T662" t="s">
        <v>2873</v>
      </c>
      <c r="U662" t="s">
        <v>2060</v>
      </c>
    </row>
    <row r="663" spans="2:21" x14ac:dyDescent="0.3">
      <c r="B663" t="s">
        <v>3113</v>
      </c>
      <c r="C663" t="s">
        <v>3114</v>
      </c>
      <c r="D663" t="s">
        <v>2436</v>
      </c>
      <c r="E663" t="s">
        <v>2580</v>
      </c>
      <c r="F663" t="s">
        <v>2580</v>
      </c>
      <c r="G663" s="8">
        <v>3145</v>
      </c>
      <c r="H663" s="8">
        <f>+IF(BDAlquilerDepartamentos[[#This Row],[Ciudad]]="Lima",BDAlquilerDepartamentos[[#This Row],[Prec. Soles]]*0.1,BDAlquilerDepartamentos[[#This Row],[Prec. Soles]]*0.05)</f>
        <v>314.5</v>
      </c>
      <c r="I663" s="4">
        <v>2</v>
      </c>
      <c r="J663" s="4">
        <v>2</v>
      </c>
      <c r="K663" s="4" t="s">
        <v>3095</v>
      </c>
      <c r="L663" s="4" t="s">
        <v>3095</v>
      </c>
      <c r="M663" s="4">
        <v>90</v>
      </c>
      <c r="N663" s="4">
        <v>2012</v>
      </c>
      <c r="O663" s="4" t="str">
        <f>+IF(BDAlquilerDepartamentos[[#This Row],[Prec. Soles]]&gt;2500,"Caro","Economico")</f>
        <v>Caro</v>
      </c>
      <c r="P663" s="4" t="str">
        <f>+IF(AND(BDAlquilerDepartamentos[[#This Row],[N° de Dorm.]]&gt; 3,BDAlquilerDepartamentos[[#This Row],[Prec. Soles]]&lt;= 2500),"Buena Oferta", "Precio Estadar")</f>
        <v>Precio Estadar</v>
      </c>
      <c r="Q663" t="s">
        <v>1101</v>
      </c>
      <c r="R663" t="s">
        <v>1102</v>
      </c>
      <c r="S663" s="11">
        <v>45296</v>
      </c>
      <c r="T663" t="s">
        <v>2875</v>
      </c>
      <c r="U663" t="s">
        <v>2061</v>
      </c>
    </row>
    <row r="664" spans="2:21" x14ac:dyDescent="0.3">
      <c r="B664" t="s">
        <v>1118</v>
      </c>
      <c r="C664" t="s">
        <v>2426</v>
      </c>
      <c r="D664" t="s">
        <v>2436</v>
      </c>
      <c r="E664" t="s">
        <v>2580</v>
      </c>
      <c r="F664" t="s">
        <v>2580</v>
      </c>
      <c r="G664" s="8">
        <v>3145</v>
      </c>
      <c r="H664" s="8">
        <f>+IF(BDAlquilerDepartamentos[[#This Row],[Ciudad]]="Lima",BDAlquilerDepartamentos[[#This Row],[Prec. Soles]]*0.1,BDAlquilerDepartamentos[[#This Row],[Prec. Soles]]*0.05)</f>
        <v>314.5</v>
      </c>
      <c r="I664" s="4">
        <v>2</v>
      </c>
      <c r="J664" s="4">
        <v>2</v>
      </c>
      <c r="K664" s="4" t="s">
        <v>3095</v>
      </c>
      <c r="L664" s="4" t="s">
        <v>3096</v>
      </c>
      <c r="N664" s="4">
        <v>2015</v>
      </c>
      <c r="O664" s="4" t="str">
        <f>+IF(BDAlquilerDepartamentos[[#This Row],[Prec. Soles]]&gt;2500,"Caro","Economico")</f>
        <v>Caro</v>
      </c>
      <c r="P664" s="4" t="str">
        <f>+IF(AND(BDAlquilerDepartamentos[[#This Row],[N° de Dorm.]]&gt; 3,BDAlquilerDepartamentos[[#This Row],[Prec. Soles]]&lt;= 2500),"Buena Oferta", "Precio Estadar")</f>
        <v>Precio Estadar</v>
      </c>
      <c r="Q664" t="s">
        <v>1101</v>
      </c>
      <c r="R664" t="s">
        <v>1102</v>
      </c>
      <c r="S664" s="11">
        <v>45531</v>
      </c>
      <c r="T664" t="s">
        <v>3034</v>
      </c>
      <c r="U664" t="s">
        <v>2062</v>
      </c>
    </row>
    <row r="665" spans="2:21" x14ac:dyDescent="0.3">
      <c r="B665" t="s">
        <v>1143</v>
      </c>
      <c r="C665" t="s">
        <v>2441</v>
      </c>
      <c r="D665" t="s">
        <v>2428</v>
      </c>
      <c r="E665" t="s">
        <v>2580</v>
      </c>
      <c r="F665" t="s">
        <v>2580</v>
      </c>
      <c r="G665" s="8">
        <v>2886</v>
      </c>
      <c r="H665" s="8">
        <f>+IF(BDAlquilerDepartamentos[[#This Row],[Ciudad]]="Lima",BDAlquilerDepartamentos[[#This Row],[Prec. Soles]]*0.1,BDAlquilerDepartamentos[[#This Row],[Prec. Soles]]*0.05)</f>
        <v>288.60000000000002</v>
      </c>
      <c r="I665" s="4">
        <v>3</v>
      </c>
      <c r="J665" s="4">
        <v>2</v>
      </c>
      <c r="K665" s="4" t="s">
        <v>3095</v>
      </c>
      <c r="L665" s="4" t="s">
        <v>3095</v>
      </c>
      <c r="M665" s="4">
        <v>105</v>
      </c>
      <c r="N665" s="4">
        <v>2011</v>
      </c>
      <c r="O665" s="4" t="str">
        <f>+IF(BDAlquilerDepartamentos[[#This Row],[Prec. Soles]]&gt;2500,"Caro","Economico")</f>
        <v>Caro</v>
      </c>
      <c r="P665" s="4" t="str">
        <f>+IF(AND(BDAlquilerDepartamentos[[#This Row],[N° de Dorm.]]&gt; 3,BDAlquilerDepartamentos[[#This Row],[Prec. Soles]]&lt;= 2500),"Buena Oferta", "Precio Estadar")</f>
        <v>Precio Estadar</v>
      </c>
      <c r="Q665" t="s">
        <v>1101</v>
      </c>
      <c r="R665" t="s">
        <v>1102</v>
      </c>
      <c r="S665" s="11">
        <v>45586</v>
      </c>
      <c r="T665" t="s">
        <v>3035</v>
      </c>
      <c r="U665" t="s">
        <v>2063</v>
      </c>
    </row>
    <row r="666" spans="2:21" x14ac:dyDescent="0.3">
      <c r="B666" t="s">
        <v>1964</v>
      </c>
      <c r="C666" t="s">
        <v>2697</v>
      </c>
      <c r="D666" t="s">
        <v>2580</v>
      </c>
      <c r="E666" t="s">
        <v>2580</v>
      </c>
      <c r="F666" t="s">
        <v>2580</v>
      </c>
      <c r="G666" s="8">
        <v>2800</v>
      </c>
      <c r="H666" s="8">
        <f>+IF(BDAlquilerDepartamentos[[#This Row],[Ciudad]]="Lima",BDAlquilerDepartamentos[[#This Row],[Prec. Soles]]*0.1,BDAlquilerDepartamentos[[#This Row],[Prec. Soles]]*0.05)</f>
        <v>280</v>
      </c>
      <c r="I666" s="4">
        <v>3</v>
      </c>
      <c r="J666" s="4">
        <v>3</v>
      </c>
      <c r="K666" s="4" t="s">
        <v>3095</v>
      </c>
      <c r="L666" s="4" t="s">
        <v>3096</v>
      </c>
      <c r="M666" s="4">
        <v>108</v>
      </c>
      <c r="N666" s="4">
        <v>2008</v>
      </c>
      <c r="O666" s="4" t="str">
        <f>+IF(BDAlquilerDepartamentos[[#This Row],[Prec. Soles]]&gt;2500,"Caro","Economico")</f>
        <v>Caro</v>
      </c>
      <c r="P666" s="4" t="str">
        <f>+IF(AND(BDAlquilerDepartamentos[[#This Row],[N° de Dorm.]]&gt; 3,BDAlquilerDepartamentos[[#This Row],[Prec. Soles]]&lt;= 2500),"Buena Oferta", "Precio Estadar")</f>
        <v>Precio Estadar</v>
      </c>
      <c r="Q666" t="s">
        <v>1101</v>
      </c>
      <c r="R666" t="s">
        <v>1102</v>
      </c>
      <c r="S666" s="11">
        <v>45612</v>
      </c>
      <c r="T666" t="s">
        <v>2831</v>
      </c>
      <c r="U666" t="s">
        <v>2064</v>
      </c>
    </row>
    <row r="667" spans="2:21" x14ac:dyDescent="0.3">
      <c r="B667" t="s">
        <v>1189</v>
      </c>
      <c r="C667" t="s">
        <v>2465</v>
      </c>
      <c r="D667" t="s">
        <v>2418</v>
      </c>
      <c r="E667" t="s">
        <v>2580</v>
      </c>
      <c r="F667" t="s">
        <v>2580</v>
      </c>
      <c r="G667" s="8">
        <v>6660</v>
      </c>
      <c r="H667" s="8">
        <f>+IF(BDAlquilerDepartamentos[[#This Row],[Ciudad]]="Lima",BDAlquilerDepartamentos[[#This Row],[Prec. Soles]]*0.1,BDAlquilerDepartamentos[[#This Row],[Prec. Soles]]*0.05)</f>
        <v>666</v>
      </c>
      <c r="I667" s="4">
        <v>2</v>
      </c>
      <c r="J667" s="4">
        <v>2</v>
      </c>
      <c r="K667" s="4" t="s">
        <v>3095</v>
      </c>
      <c r="L667" s="4" t="s">
        <v>3095</v>
      </c>
      <c r="M667" s="4">
        <v>165</v>
      </c>
      <c r="N667" s="4">
        <v>2016</v>
      </c>
      <c r="O667" s="4" t="str">
        <f>+IF(BDAlquilerDepartamentos[[#This Row],[Prec. Soles]]&gt;2500,"Caro","Economico")</f>
        <v>Caro</v>
      </c>
      <c r="P667" s="4" t="str">
        <f>+IF(AND(BDAlquilerDepartamentos[[#This Row],[N° de Dorm.]]&gt; 3,BDAlquilerDepartamentos[[#This Row],[Prec. Soles]]&lt;= 2500),"Buena Oferta", "Precio Estadar")</f>
        <v>Precio Estadar</v>
      </c>
      <c r="Q667" t="s">
        <v>1101</v>
      </c>
      <c r="R667" t="s">
        <v>1102</v>
      </c>
      <c r="S667" s="11">
        <v>45155</v>
      </c>
      <c r="T667" t="s">
        <v>3019</v>
      </c>
      <c r="U667" t="s">
        <v>2065</v>
      </c>
    </row>
    <row r="668" spans="2:21" x14ac:dyDescent="0.3">
      <c r="B668" t="s">
        <v>1210</v>
      </c>
      <c r="C668" t="s">
        <v>2476</v>
      </c>
      <c r="D668" t="s">
        <v>2436</v>
      </c>
      <c r="E668" t="s">
        <v>2580</v>
      </c>
      <c r="F668" t="s">
        <v>2580</v>
      </c>
      <c r="G668" s="8">
        <v>7030</v>
      </c>
      <c r="H668" s="8">
        <f>+IF(BDAlquilerDepartamentos[[#This Row],[Ciudad]]="Lima",BDAlquilerDepartamentos[[#This Row],[Prec. Soles]]*0.1,BDAlquilerDepartamentos[[#This Row],[Prec. Soles]]*0.05)</f>
        <v>703</v>
      </c>
      <c r="I668" s="4">
        <v>3</v>
      </c>
      <c r="J668" s="4">
        <v>3</v>
      </c>
      <c r="K668" s="4" t="s">
        <v>3096</v>
      </c>
      <c r="L668" s="4" t="s">
        <v>3095</v>
      </c>
      <c r="M668" s="4">
        <v>195</v>
      </c>
      <c r="N668" s="4">
        <v>2013</v>
      </c>
      <c r="O668" s="4" t="str">
        <f>+IF(BDAlquilerDepartamentos[[#This Row],[Prec. Soles]]&gt;2500,"Caro","Economico")</f>
        <v>Caro</v>
      </c>
      <c r="P668" s="4" t="str">
        <f>+IF(AND(BDAlquilerDepartamentos[[#This Row],[N° de Dorm.]]&gt; 3,BDAlquilerDepartamentos[[#This Row],[Prec. Soles]]&lt;= 2500),"Buena Oferta", "Precio Estadar")</f>
        <v>Precio Estadar</v>
      </c>
      <c r="Q668" t="s">
        <v>1101</v>
      </c>
      <c r="R668" t="s">
        <v>1102</v>
      </c>
      <c r="S668" s="11">
        <v>45492</v>
      </c>
      <c r="T668" t="s">
        <v>3019</v>
      </c>
      <c r="U668" t="s">
        <v>2066</v>
      </c>
    </row>
    <row r="669" spans="2:21" x14ac:dyDescent="0.3">
      <c r="B669" t="s">
        <v>1208</v>
      </c>
      <c r="C669" t="s">
        <v>2475</v>
      </c>
      <c r="D669" t="s">
        <v>2422</v>
      </c>
      <c r="E669" t="s">
        <v>2580</v>
      </c>
      <c r="F669" t="s">
        <v>2580</v>
      </c>
      <c r="G669" s="8">
        <v>4440</v>
      </c>
      <c r="H669" s="8">
        <f>+IF(BDAlquilerDepartamentos[[#This Row],[Ciudad]]="Lima",BDAlquilerDepartamentos[[#This Row],[Prec. Soles]]*0.1,BDAlquilerDepartamentos[[#This Row],[Prec. Soles]]*0.05)</f>
        <v>444</v>
      </c>
      <c r="I669" s="4">
        <v>3</v>
      </c>
      <c r="J669" s="4">
        <v>2</v>
      </c>
      <c r="K669" s="4" t="s">
        <v>3095</v>
      </c>
      <c r="L669" s="4" t="s">
        <v>3096</v>
      </c>
      <c r="M669" s="4">
        <v>133</v>
      </c>
      <c r="N669" s="4">
        <v>2012</v>
      </c>
      <c r="O669" s="4" t="str">
        <f>+IF(BDAlquilerDepartamentos[[#This Row],[Prec. Soles]]&gt;2500,"Caro","Economico")</f>
        <v>Caro</v>
      </c>
      <c r="P669" s="4" t="str">
        <f>+IF(AND(BDAlquilerDepartamentos[[#This Row],[N° de Dorm.]]&gt; 3,BDAlquilerDepartamentos[[#This Row],[Prec. Soles]]&lt;= 2500),"Buena Oferta", "Precio Estadar")</f>
        <v>Precio Estadar</v>
      </c>
      <c r="Q669" t="s">
        <v>1101</v>
      </c>
      <c r="R669" t="s">
        <v>1102</v>
      </c>
      <c r="S669" s="11">
        <v>45307</v>
      </c>
      <c r="T669" t="s">
        <v>3019</v>
      </c>
      <c r="U669" t="s">
        <v>2067</v>
      </c>
    </row>
    <row r="670" spans="2:21" x14ac:dyDescent="0.3">
      <c r="B670" t="s">
        <v>1746</v>
      </c>
      <c r="C670" t="s">
        <v>2640</v>
      </c>
      <c r="D670" t="s">
        <v>2428</v>
      </c>
      <c r="E670" t="s">
        <v>2580</v>
      </c>
      <c r="F670" t="s">
        <v>2580</v>
      </c>
      <c r="G670" s="8">
        <v>7030</v>
      </c>
      <c r="H670" s="8">
        <f>+IF(BDAlquilerDepartamentos[[#This Row],[Ciudad]]="Lima",BDAlquilerDepartamentos[[#This Row],[Prec. Soles]]*0.1,BDAlquilerDepartamentos[[#This Row],[Prec. Soles]]*0.05)</f>
        <v>703</v>
      </c>
      <c r="I670" s="4">
        <v>3</v>
      </c>
      <c r="J670" s="4">
        <v>2</v>
      </c>
      <c r="K670" s="4" t="s">
        <v>3095</v>
      </c>
      <c r="L670" s="4" t="s">
        <v>3095</v>
      </c>
      <c r="M670" s="4">
        <v>203</v>
      </c>
      <c r="N670" s="4">
        <v>2013</v>
      </c>
      <c r="O670" s="4" t="str">
        <f>+IF(BDAlquilerDepartamentos[[#This Row],[Prec. Soles]]&gt;2500,"Caro","Economico")</f>
        <v>Caro</v>
      </c>
      <c r="P670" s="4" t="str">
        <f>+IF(AND(BDAlquilerDepartamentos[[#This Row],[N° de Dorm.]]&gt; 3,BDAlquilerDepartamentos[[#This Row],[Prec. Soles]]&lt;= 2500),"Buena Oferta", "Precio Estadar")</f>
        <v>Precio Estadar</v>
      </c>
      <c r="Q670" t="s">
        <v>1101</v>
      </c>
      <c r="R670" t="s">
        <v>1102</v>
      </c>
      <c r="S670" s="11">
        <v>45656</v>
      </c>
      <c r="T670" t="s">
        <v>2904</v>
      </c>
      <c r="U670" t="s">
        <v>2068</v>
      </c>
    </row>
    <row r="671" spans="2:21" x14ac:dyDescent="0.3">
      <c r="B671" t="s">
        <v>2069</v>
      </c>
      <c r="C671" t="s">
        <v>2719</v>
      </c>
      <c r="D671" t="s">
        <v>2580</v>
      </c>
      <c r="E671" t="s">
        <v>2580</v>
      </c>
      <c r="F671" t="s">
        <v>2580</v>
      </c>
      <c r="G671" s="8">
        <v>12950</v>
      </c>
      <c r="H671" s="8">
        <f>+IF(BDAlquilerDepartamentos[[#This Row],[Ciudad]]="Lima",BDAlquilerDepartamentos[[#This Row],[Prec. Soles]]*0.1,BDAlquilerDepartamentos[[#This Row],[Prec. Soles]]*0.05)</f>
        <v>1295</v>
      </c>
      <c r="I671" s="4">
        <v>3</v>
      </c>
      <c r="J671" s="4">
        <v>2</v>
      </c>
      <c r="K671" s="4" t="s">
        <v>3095</v>
      </c>
      <c r="L671" s="4" t="s">
        <v>3096</v>
      </c>
      <c r="M671" s="4">
        <v>570</v>
      </c>
      <c r="N671" s="4">
        <v>2015</v>
      </c>
      <c r="O671" s="4" t="str">
        <f>+IF(BDAlquilerDepartamentos[[#This Row],[Prec. Soles]]&gt;2500,"Caro","Economico")</f>
        <v>Caro</v>
      </c>
      <c r="P671" s="4" t="str">
        <f>+IF(AND(BDAlquilerDepartamentos[[#This Row],[N° de Dorm.]]&gt; 3,BDAlquilerDepartamentos[[#This Row],[Prec. Soles]]&lt;= 2500),"Buena Oferta", "Precio Estadar")</f>
        <v>Precio Estadar</v>
      </c>
      <c r="Q671" t="s">
        <v>1113</v>
      </c>
      <c r="R671" t="s">
        <v>1102</v>
      </c>
      <c r="S671" s="11">
        <v>45584</v>
      </c>
      <c r="T671" t="s">
        <v>3036</v>
      </c>
      <c r="U671" t="s">
        <v>2070</v>
      </c>
    </row>
    <row r="672" spans="2:21" x14ac:dyDescent="0.3">
      <c r="B672" t="s">
        <v>1187</v>
      </c>
      <c r="C672" t="s">
        <v>2464</v>
      </c>
      <c r="D672" t="s">
        <v>2436</v>
      </c>
      <c r="E672" t="s">
        <v>2580</v>
      </c>
      <c r="F672" t="s">
        <v>2580</v>
      </c>
      <c r="G672" s="8">
        <v>3145</v>
      </c>
      <c r="H672" s="8">
        <f>+IF(BDAlquilerDepartamentos[[#This Row],[Ciudad]]="Lima",BDAlquilerDepartamentos[[#This Row],[Prec. Soles]]*0.1,BDAlquilerDepartamentos[[#This Row],[Prec. Soles]]*0.05)</f>
        <v>314.5</v>
      </c>
      <c r="I672" s="4">
        <v>2</v>
      </c>
      <c r="J672" s="4">
        <v>2</v>
      </c>
      <c r="K672" s="4" t="s">
        <v>3096</v>
      </c>
      <c r="L672" s="4" t="s">
        <v>3096</v>
      </c>
      <c r="M672" s="4">
        <v>90</v>
      </c>
      <c r="N672" s="4">
        <v>2004</v>
      </c>
      <c r="O672" s="4" t="str">
        <f>+IF(BDAlquilerDepartamentos[[#This Row],[Prec. Soles]]&gt;2500,"Caro","Economico")</f>
        <v>Caro</v>
      </c>
      <c r="P672" s="4" t="str">
        <f>+IF(AND(BDAlquilerDepartamentos[[#This Row],[N° de Dorm.]]&gt; 3,BDAlquilerDepartamentos[[#This Row],[Prec. Soles]]&lt;= 2500),"Buena Oferta", "Precio Estadar")</f>
        <v>Precio Estadar</v>
      </c>
      <c r="Q672" t="s">
        <v>1101</v>
      </c>
      <c r="R672" t="s">
        <v>1102</v>
      </c>
      <c r="S672" s="11">
        <v>45224</v>
      </c>
      <c r="T672" t="s">
        <v>3037</v>
      </c>
      <c r="U672" t="s">
        <v>2071</v>
      </c>
    </row>
    <row r="673" spans="2:21" x14ac:dyDescent="0.3">
      <c r="B673" t="s">
        <v>3107</v>
      </c>
      <c r="C673" t="s">
        <v>2580</v>
      </c>
      <c r="D673" t="s">
        <v>2580</v>
      </c>
      <c r="E673" t="s">
        <v>2580</v>
      </c>
      <c r="F673" t="s">
        <v>2580</v>
      </c>
      <c r="G673" s="8">
        <v>29600</v>
      </c>
      <c r="H673" s="8">
        <f>+IF(BDAlquilerDepartamentos[[#This Row],[Ciudad]]="Lima",BDAlquilerDepartamentos[[#This Row],[Prec. Soles]]*0.1,BDAlquilerDepartamentos[[#This Row],[Prec. Soles]]*0.05)</f>
        <v>2960</v>
      </c>
      <c r="I673" s="4">
        <v>4</v>
      </c>
      <c r="J673" s="4">
        <v>3</v>
      </c>
      <c r="K673" s="4" t="s">
        <v>3095</v>
      </c>
      <c r="L673" s="4" t="s">
        <v>3096</v>
      </c>
      <c r="M673" s="17">
        <v>1477</v>
      </c>
      <c r="N673" s="4">
        <v>2006</v>
      </c>
      <c r="O673" s="4" t="str">
        <f>+IF(BDAlquilerDepartamentos[[#This Row],[Prec. Soles]]&gt;2500,"Caro","Economico")</f>
        <v>Caro</v>
      </c>
      <c r="P673" s="4" t="str">
        <f>+IF(AND(BDAlquilerDepartamentos[[#This Row],[N° de Dorm.]]&gt; 3,BDAlquilerDepartamentos[[#This Row],[Prec. Soles]]&lt;= 2500),"Buena Oferta", "Precio Estadar")</f>
        <v>Precio Estadar</v>
      </c>
      <c r="Q673" t="s">
        <v>1113</v>
      </c>
      <c r="R673" t="s">
        <v>1102</v>
      </c>
      <c r="S673" s="11">
        <v>45367</v>
      </c>
      <c r="T673" t="s">
        <v>2844</v>
      </c>
      <c r="U673" t="s">
        <v>2072</v>
      </c>
    </row>
    <row r="674" spans="2:21" x14ac:dyDescent="0.3">
      <c r="B674" t="s">
        <v>1381</v>
      </c>
      <c r="C674" t="s">
        <v>2537</v>
      </c>
      <c r="D674" t="s">
        <v>2428</v>
      </c>
      <c r="E674" t="s">
        <v>2580</v>
      </c>
      <c r="F674" t="s">
        <v>2580</v>
      </c>
      <c r="G674" s="8">
        <v>5180</v>
      </c>
      <c r="H674" s="8">
        <f>+IF(BDAlquilerDepartamentos[[#This Row],[Ciudad]]="Lima",BDAlquilerDepartamentos[[#This Row],[Prec. Soles]]*0.1,BDAlquilerDepartamentos[[#This Row],[Prec. Soles]]*0.05)</f>
        <v>518</v>
      </c>
      <c r="I674" s="4">
        <v>2</v>
      </c>
      <c r="J674" s="4">
        <v>2</v>
      </c>
      <c r="K674" s="4" t="s">
        <v>3096</v>
      </c>
      <c r="L674" s="4" t="s">
        <v>3096</v>
      </c>
      <c r="M674" s="4">
        <v>191</v>
      </c>
      <c r="N674" s="4">
        <v>2014</v>
      </c>
      <c r="O674" s="4" t="str">
        <f>+IF(BDAlquilerDepartamentos[[#This Row],[Prec. Soles]]&gt;2500,"Caro","Economico")</f>
        <v>Caro</v>
      </c>
      <c r="P674" s="4" t="str">
        <f>+IF(AND(BDAlquilerDepartamentos[[#This Row],[N° de Dorm.]]&gt; 3,BDAlquilerDepartamentos[[#This Row],[Prec. Soles]]&lt;= 2500),"Buena Oferta", "Precio Estadar")</f>
        <v>Precio Estadar</v>
      </c>
      <c r="Q674" t="s">
        <v>1101</v>
      </c>
      <c r="R674" t="s">
        <v>1102</v>
      </c>
      <c r="S674" s="11">
        <v>45212</v>
      </c>
      <c r="T674" t="s">
        <v>3157</v>
      </c>
      <c r="U674" t="s">
        <v>2073</v>
      </c>
    </row>
    <row r="675" spans="2:21" x14ac:dyDescent="0.3">
      <c r="B675" t="s">
        <v>2074</v>
      </c>
      <c r="C675" t="s">
        <v>2720</v>
      </c>
      <c r="D675" t="s">
        <v>2804</v>
      </c>
      <c r="E675" t="s">
        <v>2580</v>
      </c>
      <c r="F675" t="s">
        <v>2580</v>
      </c>
      <c r="G675" s="8">
        <v>2960</v>
      </c>
      <c r="H675" s="8">
        <f>+IF(BDAlquilerDepartamentos[[#This Row],[Ciudad]]="Lima",BDAlquilerDepartamentos[[#This Row],[Prec. Soles]]*0.1,BDAlquilerDepartamentos[[#This Row],[Prec. Soles]]*0.05)</f>
        <v>296</v>
      </c>
      <c r="I675" s="4">
        <v>3</v>
      </c>
      <c r="J675" s="4">
        <v>2</v>
      </c>
      <c r="K675" s="4" t="s">
        <v>3096</v>
      </c>
      <c r="L675" s="4" t="s">
        <v>3096</v>
      </c>
      <c r="M675" s="4">
        <v>76</v>
      </c>
      <c r="N675" s="4">
        <v>2015</v>
      </c>
      <c r="O675" s="4" t="str">
        <f>+IF(BDAlquilerDepartamentos[[#This Row],[Prec. Soles]]&gt;2500,"Caro","Economico")</f>
        <v>Caro</v>
      </c>
      <c r="P675" s="4" t="str">
        <f>+IF(AND(BDAlquilerDepartamentos[[#This Row],[N° de Dorm.]]&gt; 3,BDAlquilerDepartamentos[[#This Row],[Prec. Soles]]&lt;= 2500),"Buena Oferta", "Precio Estadar")</f>
        <v>Precio Estadar</v>
      </c>
      <c r="Q675" t="s">
        <v>1101</v>
      </c>
      <c r="R675" t="s">
        <v>1102</v>
      </c>
      <c r="S675" s="11">
        <v>45337</v>
      </c>
      <c r="T675" t="s">
        <v>2829</v>
      </c>
      <c r="U675" t="s">
        <v>2075</v>
      </c>
    </row>
    <row r="676" spans="2:21" x14ac:dyDescent="0.3">
      <c r="B676" t="s">
        <v>2076</v>
      </c>
      <c r="C676" t="s">
        <v>2721</v>
      </c>
      <c r="D676" t="s">
        <v>2430</v>
      </c>
      <c r="E676" t="s">
        <v>2580</v>
      </c>
      <c r="F676" t="s">
        <v>2580</v>
      </c>
      <c r="G676" s="8">
        <v>1480</v>
      </c>
      <c r="H676" s="8">
        <f>+IF(BDAlquilerDepartamentos[[#This Row],[Ciudad]]="Lima",BDAlquilerDepartamentos[[#This Row],[Prec. Soles]]*0.1,BDAlquilerDepartamentos[[#This Row],[Prec. Soles]]*0.05)</f>
        <v>148</v>
      </c>
      <c r="I676" s="4">
        <v>1</v>
      </c>
      <c r="J676" s="4">
        <v>1</v>
      </c>
      <c r="K676" s="4" t="s">
        <v>3095</v>
      </c>
      <c r="L676" s="4" t="s">
        <v>3095</v>
      </c>
      <c r="M676" s="4">
        <v>40</v>
      </c>
      <c r="N676" s="4">
        <v>2005</v>
      </c>
      <c r="O676" s="4" t="str">
        <f>+IF(BDAlquilerDepartamentos[[#This Row],[Prec. Soles]]&gt;2500,"Caro","Economico")</f>
        <v>Economico</v>
      </c>
      <c r="P676" s="4" t="str">
        <f>+IF(AND(BDAlquilerDepartamentos[[#This Row],[N° de Dorm.]]&gt; 3,BDAlquilerDepartamentos[[#This Row],[Prec. Soles]]&lt;= 2500),"Buena Oferta", "Precio Estadar")</f>
        <v>Precio Estadar</v>
      </c>
      <c r="Q676" t="s">
        <v>1101</v>
      </c>
      <c r="R676" t="s">
        <v>1102</v>
      </c>
      <c r="S676" s="11">
        <v>45464</v>
      </c>
      <c r="T676" t="s">
        <v>2920</v>
      </c>
      <c r="U676" t="s">
        <v>2077</v>
      </c>
    </row>
    <row r="677" spans="2:21" x14ac:dyDescent="0.3">
      <c r="B677" t="s">
        <v>1154</v>
      </c>
      <c r="C677" t="s">
        <v>2448</v>
      </c>
      <c r="D677" t="s">
        <v>2804</v>
      </c>
      <c r="E677" t="s">
        <v>2580</v>
      </c>
      <c r="F677" t="s">
        <v>2580</v>
      </c>
      <c r="G677" s="8">
        <v>2960</v>
      </c>
      <c r="H677" s="8">
        <f>+IF(BDAlquilerDepartamentos[[#This Row],[Ciudad]]="Lima",BDAlquilerDepartamentos[[#This Row],[Prec. Soles]]*0.1,BDAlquilerDepartamentos[[#This Row],[Prec. Soles]]*0.05)</f>
        <v>296</v>
      </c>
      <c r="I677" s="4">
        <v>3</v>
      </c>
      <c r="J677" s="4">
        <v>2</v>
      </c>
      <c r="K677" s="4" t="s">
        <v>3095</v>
      </c>
      <c r="L677" s="4" t="s">
        <v>3096</v>
      </c>
      <c r="M677" s="4">
        <v>93</v>
      </c>
      <c r="N677" s="4">
        <v>2006</v>
      </c>
      <c r="O677" s="4" t="str">
        <f>+IF(BDAlquilerDepartamentos[[#This Row],[Prec. Soles]]&gt;2500,"Caro","Economico")</f>
        <v>Caro</v>
      </c>
      <c r="P677" s="4" t="str">
        <f>+IF(AND(BDAlquilerDepartamentos[[#This Row],[N° de Dorm.]]&gt; 3,BDAlquilerDepartamentos[[#This Row],[Prec. Soles]]&lt;= 2500),"Buena Oferta", "Precio Estadar")</f>
        <v>Precio Estadar</v>
      </c>
      <c r="Q677" t="s">
        <v>1101</v>
      </c>
      <c r="R677" t="s">
        <v>1102</v>
      </c>
      <c r="S677" s="11">
        <v>45031</v>
      </c>
      <c r="T677" t="s">
        <v>2833</v>
      </c>
      <c r="U677" t="s">
        <v>2078</v>
      </c>
    </row>
    <row r="678" spans="2:21" x14ac:dyDescent="0.3">
      <c r="B678" t="s">
        <v>1629</v>
      </c>
      <c r="C678" t="s">
        <v>2608</v>
      </c>
      <c r="D678" t="s">
        <v>2422</v>
      </c>
      <c r="E678" t="s">
        <v>2580</v>
      </c>
      <c r="F678" t="s">
        <v>2580</v>
      </c>
      <c r="G678" s="8">
        <v>4070</v>
      </c>
      <c r="H678" s="8">
        <f>+IF(BDAlquilerDepartamentos[[#This Row],[Ciudad]]="Lima",BDAlquilerDepartamentos[[#This Row],[Prec. Soles]]*0.1,BDAlquilerDepartamentos[[#This Row],[Prec. Soles]]*0.05)</f>
        <v>407</v>
      </c>
      <c r="I678" s="4">
        <v>3</v>
      </c>
      <c r="J678" s="4">
        <v>3</v>
      </c>
      <c r="K678" s="4" t="s">
        <v>3096</v>
      </c>
      <c r="L678" s="4" t="s">
        <v>3096</v>
      </c>
      <c r="M678" s="4">
        <v>165</v>
      </c>
      <c r="N678" s="4">
        <v>2008</v>
      </c>
      <c r="O678" s="4" t="str">
        <f>+IF(BDAlquilerDepartamentos[[#This Row],[Prec. Soles]]&gt;2500,"Caro","Economico")</f>
        <v>Caro</v>
      </c>
      <c r="P678" s="4" t="str">
        <f>+IF(AND(BDAlquilerDepartamentos[[#This Row],[N° de Dorm.]]&gt; 3,BDAlquilerDepartamentos[[#This Row],[Prec. Soles]]&lt;= 2500),"Buena Oferta", "Precio Estadar")</f>
        <v>Precio Estadar</v>
      </c>
      <c r="Q678" t="s">
        <v>1101</v>
      </c>
      <c r="R678" t="s">
        <v>1102</v>
      </c>
      <c r="S678" s="11">
        <v>45317</v>
      </c>
      <c r="T678" t="s">
        <v>2896</v>
      </c>
      <c r="U678" t="s">
        <v>2079</v>
      </c>
    </row>
    <row r="679" spans="2:21" x14ac:dyDescent="0.3">
      <c r="B679" t="s">
        <v>1167</v>
      </c>
      <c r="C679" t="s">
        <v>2454</v>
      </c>
      <c r="D679" t="s">
        <v>2418</v>
      </c>
      <c r="E679" t="s">
        <v>2580</v>
      </c>
      <c r="F679" t="s">
        <v>2580</v>
      </c>
      <c r="G679" s="8">
        <v>1700</v>
      </c>
      <c r="H679" s="8">
        <f>+IF(BDAlquilerDepartamentos[[#This Row],[Ciudad]]="Lima",BDAlquilerDepartamentos[[#This Row],[Prec. Soles]]*0.1,BDAlquilerDepartamentos[[#This Row],[Prec. Soles]]*0.05)</f>
        <v>170</v>
      </c>
      <c r="I679" s="4">
        <v>1</v>
      </c>
      <c r="J679" s="4">
        <v>1</v>
      </c>
      <c r="K679" s="4" t="s">
        <v>3096</v>
      </c>
      <c r="L679" s="4" t="s">
        <v>3096</v>
      </c>
      <c r="M679" s="4">
        <v>40</v>
      </c>
      <c r="N679" s="4">
        <v>2012</v>
      </c>
      <c r="O679" s="4" t="str">
        <f>+IF(BDAlquilerDepartamentos[[#This Row],[Prec. Soles]]&gt;2500,"Caro","Economico")</f>
        <v>Economico</v>
      </c>
      <c r="P679" s="4" t="str">
        <f>+IF(AND(BDAlquilerDepartamentos[[#This Row],[N° de Dorm.]]&gt; 3,BDAlquilerDepartamentos[[#This Row],[Prec. Soles]]&lt;= 2500),"Buena Oferta", "Precio Estadar")</f>
        <v>Precio Estadar</v>
      </c>
      <c r="Q679" t="s">
        <v>1101</v>
      </c>
      <c r="R679" t="s">
        <v>1102</v>
      </c>
      <c r="S679" s="11">
        <v>45218</v>
      </c>
      <c r="T679" t="s">
        <v>3038</v>
      </c>
      <c r="U679" t="s">
        <v>2080</v>
      </c>
    </row>
    <row r="680" spans="2:21" x14ac:dyDescent="0.3">
      <c r="B680" t="s">
        <v>2081</v>
      </c>
      <c r="C680" t="s">
        <v>2722</v>
      </c>
      <c r="D680" t="s">
        <v>2472</v>
      </c>
      <c r="E680" t="s">
        <v>2473</v>
      </c>
      <c r="F680" t="s">
        <v>2473</v>
      </c>
      <c r="G680" s="8">
        <v>1600</v>
      </c>
      <c r="H680" s="8">
        <f>+IF(BDAlquilerDepartamentos[[#This Row],[Ciudad]]="Lima",BDAlquilerDepartamentos[[#This Row],[Prec. Soles]]*0.1,BDAlquilerDepartamentos[[#This Row],[Prec. Soles]]*0.05)</f>
        <v>80</v>
      </c>
      <c r="I680" s="4">
        <v>3</v>
      </c>
      <c r="J680" s="4">
        <v>2</v>
      </c>
      <c r="K680" s="4" t="s">
        <v>3096</v>
      </c>
      <c r="L680" s="4" t="s">
        <v>3096</v>
      </c>
      <c r="M680" s="4">
        <v>82</v>
      </c>
      <c r="N680" s="4">
        <v>2012</v>
      </c>
      <c r="O680" s="4" t="str">
        <f>+IF(BDAlquilerDepartamentos[[#This Row],[Prec. Soles]]&gt;2500,"Caro","Economico")</f>
        <v>Economico</v>
      </c>
      <c r="P680" s="4" t="str">
        <f>+IF(AND(BDAlquilerDepartamentos[[#This Row],[N° de Dorm.]]&gt; 3,BDAlquilerDepartamentos[[#This Row],[Prec. Soles]]&lt;= 2500),"Buena Oferta", "Precio Estadar")</f>
        <v>Precio Estadar</v>
      </c>
      <c r="Q680" t="s">
        <v>1101</v>
      </c>
      <c r="R680" t="s">
        <v>1102</v>
      </c>
      <c r="S680" s="11">
        <v>45399</v>
      </c>
      <c r="T680" t="s">
        <v>3038</v>
      </c>
      <c r="U680" t="s">
        <v>2082</v>
      </c>
    </row>
    <row r="681" spans="2:21" x14ac:dyDescent="0.3">
      <c r="B681" t="s">
        <v>1381</v>
      </c>
      <c r="C681" t="s">
        <v>2537</v>
      </c>
      <c r="D681" t="s">
        <v>2428</v>
      </c>
      <c r="E681" t="s">
        <v>2580</v>
      </c>
      <c r="F681" t="s">
        <v>2580</v>
      </c>
      <c r="G681" s="8">
        <v>4440</v>
      </c>
      <c r="H681" s="8">
        <f>+IF(BDAlquilerDepartamentos[[#This Row],[Ciudad]]="Lima",BDAlquilerDepartamentos[[#This Row],[Prec. Soles]]*0.1,BDAlquilerDepartamentos[[#This Row],[Prec. Soles]]*0.05)</f>
        <v>444</v>
      </c>
      <c r="I681" s="4">
        <v>2</v>
      </c>
      <c r="J681" s="4">
        <v>2</v>
      </c>
      <c r="K681" s="4" t="s">
        <v>3096</v>
      </c>
      <c r="L681" s="4" t="s">
        <v>3096</v>
      </c>
      <c r="M681" s="4">
        <v>106</v>
      </c>
      <c r="N681" s="4">
        <v>2005</v>
      </c>
      <c r="O681" s="4" t="str">
        <f>+IF(BDAlquilerDepartamentos[[#This Row],[Prec. Soles]]&gt;2500,"Caro","Economico")</f>
        <v>Caro</v>
      </c>
      <c r="P681" s="4" t="str">
        <f>+IF(AND(BDAlquilerDepartamentos[[#This Row],[N° de Dorm.]]&gt; 3,BDAlquilerDepartamentos[[#This Row],[Prec. Soles]]&lt;= 2500),"Buena Oferta", "Precio Estadar")</f>
        <v>Precio Estadar</v>
      </c>
      <c r="Q681" t="s">
        <v>1101</v>
      </c>
      <c r="R681" t="s">
        <v>1102</v>
      </c>
      <c r="S681" s="11">
        <v>45484</v>
      </c>
      <c r="T681" t="s">
        <v>2904</v>
      </c>
      <c r="U681" t="s">
        <v>2083</v>
      </c>
    </row>
    <row r="682" spans="2:21" x14ac:dyDescent="0.3">
      <c r="B682" t="s">
        <v>2084</v>
      </c>
      <c r="C682" t="s">
        <v>2723</v>
      </c>
      <c r="D682" t="s">
        <v>2580</v>
      </c>
      <c r="E682" t="s">
        <v>2580</v>
      </c>
      <c r="F682" t="s">
        <v>2580</v>
      </c>
      <c r="G682" s="8">
        <v>4070</v>
      </c>
      <c r="H682" s="8">
        <f>+IF(BDAlquilerDepartamentos[[#This Row],[Ciudad]]="Lima",BDAlquilerDepartamentos[[#This Row],[Prec. Soles]]*0.1,BDAlquilerDepartamentos[[#This Row],[Prec. Soles]]*0.05)</f>
        <v>407</v>
      </c>
      <c r="I682" s="4">
        <v>3</v>
      </c>
      <c r="J682" s="4">
        <v>3</v>
      </c>
      <c r="K682" s="4" t="s">
        <v>3096</v>
      </c>
      <c r="L682" s="4" t="s">
        <v>3096</v>
      </c>
      <c r="M682" s="4">
        <v>131</v>
      </c>
      <c r="N682" s="4">
        <v>2018</v>
      </c>
      <c r="O682" s="4" t="str">
        <f>+IF(BDAlquilerDepartamentos[[#This Row],[Prec. Soles]]&gt;2500,"Caro","Economico")</f>
        <v>Caro</v>
      </c>
      <c r="P682" s="4" t="str">
        <f>+IF(AND(BDAlquilerDepartamentos[[#This Row],[N° de Dorm.]]&gt; 3,BDAlquilerDepartamentos[[#This Row],[Prec. Soles]]&lt;= 2500),"Buena Oferta", "Precio Estadar")</f>
        <v>Precio Estadar</v>
      </c>
      <c r="Q682" t="s">
        <v>1101</v>
      </c>
      <c r="R682" t="s">
        <v>1102</v>
      </c>
      <c r="S682" s="11">
        <v>45085</v>
      </c>
      <c r="T682" t="s">
        <v>2819</v>
      </c>
      <c r="U682" t="s">
        <v>2085</v>
      </c>
    </row>
    <row r="683" spans="2:21" x14ac:dyDescent="0.3">
      <c r="B683" t="s">
        <v>1715</v>
      </c>
      <c r="C683" t="s">
        <v>2634</v>
      </c>
      <c r="D683" t="s">
        <v>2428</v>
      </c>
      <c r="E683" t="s">
        <v>2580</v>
      </c>
      <c r="F683" t="s">
        <v>2580</v>
      </c>
      <c r="G683" s="8">
        <v>6105</v>
      </c>
      <c r="H683" s="8">
        <f>+IF(BDAlquilerDepartamentos[[#This Row],[Ciudad]]="Lima",BDAlquilerDepartamentos[[#This Row],[Prec. Soles]]*0.1,BDAlquilerDepartamentos[[#This Row],[Prec. Soles]]*0.05)</f>
        <v>610.5</v>
      </c>
      <c r="I683" s="4">
        <v>3</v>
      </c>
      <c r="J683" s="4">
        <v>2</v>
      </c>
      <c r="K683" s="4" t="s">
        <v>3096</v>
      </c>
      <c r="L683" s="4" t="s">
        <v>3096</v>
      </c>
      <c r="M683" s="4">
        <v>161</v>
      </c>
      <c r="N683" s="4">
        <v>2017</v>
      </c>
      <c r="O683" s="4" t="str">
        <f>+IF(BDAlquilerDepartamentos[[#This Row],[Prec. Soles]]&gt;2500,"Caro","Economico")</f>
        <v>Caro</v>
      </c>
      <c r="P683" s="4" t="str">
        <f>+IF(AND(BDAlquilerDepartamentos[[#This Row],[N° de Dorm.]]&gt; 3,BDAlquilerDepartamentos[[#This Row],[Prec. Soles]]&lt;= 2500),"Buena Oferta", "Precio Estadar")</f>
        <v>Precio Estadar</v>
      </c>
      <c r="Q683" t="s">
        <v>1101</v>
      </c>
      <c r="R683" t="s">
        <v>1102</v>
      </c>
      <c r="S683" s="11">
        <v>45600</v>
      </c>
      <c r="T683" t="s">
        <v>3037</v>
      </c>
      <c r="U683" t="s">
        <v>2086</v>
      </c>
    </row>
    <row r="684" spans="2:21" x14ac:dyDescent="0.3">
      <c r="B684" t="s">
        <v>1262</v>
      </c>
      <c r="C684" t="s">
        <v>2494</v>
      </c>
      <c r="D684" t="s">
        <v>2444</v>
      </c>
      <c r="E684" t="s">
        <v>2580</v>
      </c>
      <c r="F684" t="s">
        <v>2580</v>
      </c>
      <c r="G684" s="8">
        <v>3000</v>
      </c>
      <c r="H684" s="8">
        <f>+IF(BDAlquilerDepartamentos[[#This Row],[Ciudad]]="Lima",BDAlquilerDepartamentos[[#This Row],[Prec. Soles]]*0.1,BDAlquilerDepartamentos[[#This Row],[Prec. Soles]]*0.05)</f>
        <v>300</v>
      </c>
      <c r="I684" s="4">
        <v>3</v>
      </c>
      <c r="J684" s="4">
        <v>3</v>
      </c>
      <c r="K684" s="4" t="s">
        <v>3096</v>
      </c>
      <c r="L684" s="4" t="s">
        <v>3095</v>
      </c>
      <c r="M684" s="4">
        <v>94</v>
      </c>
      <c r="N684" s="4">
        <v>2011</v>
      </c>
      <c r="O684" s="4" t="str">
        <f>+IF(BDAlquilerDepartamentos[[#This Row],[Prec. Soles]]&gt;2500,"Caro","Economico")</f>
        <v>Caro</v>
      </c>
      <c r="P684" s="4" t="str">
        <f>+IF(AND(BDAlquilerDepartamentos[[#This Row],[N° de Dorm.]]&gt; 3,BDAlquilerDepartamentos[[#This Row],[Prec. Soles]]&lt;= 2500),"Buena Oferta", "Precio Estadar")</f>
        <v>Precio Estadar</v>
      </c>
      <c r="Q684" t="s">
        <v>1101</v>
      </c>
      <c r="R684" t="s">
        <v>1102</v>
      </c>
      <c r="S684" s="11">
        <v>45321</v>
      </c>
      <c r="T684" t="s">
        <v>2819</v>
      </c>
      <c r="U684" t="s">
        <v>2087</v>
      </c>
    </row>
    <row r="685" spans="2:21" x14ac:dyDescent="0.3">
      <c r="B685" t="s">
        <v>1992</v>
      </c>
      <c r="C685" t="s">
        <v>2703</v>
      </c>
      <c r="D685" t="s">
        <v>2452</v>
      </c>
      <c r="E685" t="s">
        <v>2580</v>
      </c>
      <c r="F685" t="s">
        <v>2580</v>
      </c>
      <c r="G685" s="8">
        <v>2775</v>
      </c>
      <c r="H685" s="8">
        <f>+IF(BDAlquilerDepartamentos[[#This Row],[Ciudad]]="Lima",BDAlquilerDepartamentos[[#This Row],[Prec. Soles]]*0.1,BDAlquilerDepartamentos[[#This Row],[Prec. Soles]]*0.05)</f>
        <v>277.5</v>
      </c>
      <c r="I685" s="4">
        <v>1</v>
      </c>
      <c r="J685" s="4">
        <v>1</v>
      </c>
      <c r="K685" s="4" t="s">
        <v>3096</v>
      </c>
      <c r="L685" s="4" t="s">
        <v>3095</v>
      </c>
      <c r="M685" s="4">
        <v>45</v>
      </c>
      <c r="N685" s="4">
        <v>2013</v>
      </c>
      <c r="O685" s="4" t="str">
        <f>+IF(BDAlquilerDepartamentos[[#This Row],[Prec. Soles]]&gt;2500,"Caro","Economico")</f>
        <v>Caro</v>
      </c>
      <c r="P685" s="4" t="str">
        <f>+IF(AND(BDAlquilerDepartamentos[[#This Row],[N° de Dorm.]]&gt; 3,BDAlquilerDepartamentos[[#This Row],[Prec. Soles]]&lt;= 2500),"Buena Oferta", "Precio Estadar")</f>
        <v>Precio Estadar</v>
      </c>
      <c r="Q685" t="s">
        <v>1101</v>
      </c>
      <c r="R685" t="s">
        <v>1102</v>
      </c>
      <c r="S685" s="11">
        <v>45577</v>
      </c>
      <c r="T685" t="s">
        <v>2919</v>
      </c>
      <c r="U685" t="s">
        <v>2088</v>
      </c>
    </row>
    <row r="686" spans="2:21" x14ac:dyDescent="0.3">
      <c r="B686" t="s">
        <v>2089</v>
      </c>
      <c r="C686" t="s">
        <v>2590</v>
      </c>
      <c r="D686" t="s">
        <v>2580</v>
      </c>
      <c r="E686" t="s">
        <v>2580</v>
      </c>
      <c r="F686" t="s">
        <v>2580</v>
      </c>
      <c r="G686" s="8">
        <v>2960</v>
      </c>
      <c r="H686" s="8">
        <f>+IF(BDAlquilerDepartamentos[[#This Row],[Ciudad]]="Lima",BDAlquilerDepartamentos[[#This Row],[Prec. Soles]]*0.1,BDAlquilerDepartamentos[[#This Row],[Prec. Soles]]*0.05)</f>
        <v>296</v>
      </c>
      <c r="I686" s="4">
        <v>3</v>
      </c>
      <c r="J686" s="4">
        <v>2</v>
      </c>
      <c r="K686" s="4" t="s">
        <v>3096</v>
      </c>
      <c r="L686" s="4" t="s">
        <v>3096</v>
      </c>
      <c r="M686" s="4">
        <v>95</v>
      </c>
      <c r="N686" s="4">
        <v>2015</v>
      </c>
      <c r="O686" s="4" t="str">
        <f>+IF(BDAlquilerDepartamentos[[#This Row],[Prec. Soles]]&gt;2500,"Caro","Economico")</f>
        <v>Caro</v>
      </c>
      <c r="P686" s="4" t="str">
        <f>+IF(AND(BDAlquilerDepartamentos[[#This Row],[N° de Dorm.]]&gt; 3,BDAlquilerDepartamentos[[#This Row],[Prec. Soles]]&lt;= 2500),"Buena Oferta", "Precio Estadar")</f>
        <v>Precio Estadar</v>
      </c>
      <c r="Q686" t="s">
        <v>1101</v>
      </c>
      <c r="R686" t="s">
        <v>1102</v>
      </c>
      <c r="S686" s="11">
        <v>45394</v>
      </c>
      <c r="T686" t="s">
        <v>2831</v>
      </c>
      <c r="U686" t="s">
        <v>2090</v>
      </c>
    </row>
    <row r="687" spans="2:21" x14ac:dyDescent="0.3">
      <c r="B687" t="s">
        <v>1418</v>
      </c>
      <c r="C687" t="s">
        <v>2551</v>
      </c>
      <c r="D687" t="s">
        <v>2501</v>
      </c>
      <c r="E687" t="s">
        <v>2580</v>
      </c>
      <c r="F687" t="s">
        <v>2580</v>
      </c>
      <c r="G687" s="8">
        <v>2500</v>
      </c>
      <c r="H687" s="8">
        <f>+IF(BDAlquilerDepartamentos[[#This Row],[Ciudad]]="Lima",BDAlquilerDepartamentos[[#This Row],[Prec. Soles]]*0.1,BDAlquilerDepartamentos[[#This Row],[Prec. Soles]]*0.05)</f>
        <v>250</v>
      </c>
      <c r="I687" s="4">
        <v>3</v>
      </c>
      <c r="J687" s="4">
        <v>3</v>
      </c>
      <c r="K687" s="4" t="s">
        <v>3095</v>
      </c>
      <c r="L687" s="4" t="s">
        <v>3096</v>
      </c>
      <c r="M687" s="4">
        <v>150</v>
      </c>
      <c r="N687" s="4">
        <v>2007</v>
      </c>
      <c r="O687" s="4" t="str">
        <f>+IF(BDAlquilerDepartamentos[[#This Row],[Prec. Soles]]&gt;2500,"Caro","Economico")</f>
        <v>Economico</v>
      </c>
      <c r="P687" s="4" t="str">
        <f>+IF(AND(BDAlquilerDepartamentos[[#This Row],[N° de Dorm.]]&gt; 3,BDAlquilerDepartamentos[[#This Row],[Prec. Soles]]&lt;= 2500),"Buena Oferta", "Precio Estadar")</f>
        <v>Precio Estadar</v>
      </c>
      <c r="Q687" t="s">
        <v>1101</v>
      </c>
      <c r="R687" t="s">
        <v>1102</v>
      </c>
      <c r="S687" s="11">
        <v>45386</v>
      </c>
      <c r="T687" t="s">
        <v>2833</v>
      </c>
      <c r="U687" t="s">
        <v>2091</v>
      </c>
    </row>
    <row r="688" spans="2:21" x14ac:dyDescent="0.3">
      <c r="B688" t="s">
        <v>2092</v>
      </c>
      <c r="C688" t="s">
        <v>2724</v>
      </c>
      <c r="D688" t="s">
        <v>2527</v>
      </c>
      <c r="E688" t="s">
        <v>2580</v>
      </c>
      <c r="F688" t="s">
        <v>2580</v>
      </c>
      <c r="G688" s="8">
        <v>14060</v>
      </c>
      <c r="H688" s="8">
        <f>+IF(BDAlquilerDepartamentos[[#This Row],[Ciudad]]="Lima",BDAlquilerDepartamentos[[#This Row],[Prec. Soles]]*0.1,BDAlquilerDepartamentos[[#This Row],[Prec. Soles]]*0.05)</f>
        <v>1406</v>
      </c>
      <c r="I688" s="4">
        <v>5</v>
      </c>
      <c r="J688" s="4">
        <v>5</v>
      </c>
      <c r="K688" s="4" t="s">
        <v>3095</v>
      </c>
      <c r="L688" s="4" t="s">
        <v>3096</v>
      </c>
      <c r="M688" s="4">
        <v>540</v>
      </c>
      <c r="N688" s="4">
        <v>2016</v>
      </c>
      <c r="O688" s="4" t="str">
        <f>+IF(BDAlquilerDepartamentos[[#This Row],[Prec. Soles]]&gt;2500,"Caro","Economico")</f>
        <v>Caro</v>
      </c>
      <c r="P688" s="4" t="str">
        <f>+IF(AND(BDAlquilerDepartamentos[[#This Row],[N° de Dorm.]]&gt; 3,BDAlquilerDepartamentos[[#This Row],[Prec. Soles]]&lt;= 2500),"Buena Oferta", "Precio Estadar")</f>
        <v>Precio Estadar</v>
      </c>
      <c r="Q688" t="s">
        <v>1113</v>
      </c>
      <c r="R688" t="s">
        <v>1102</v>
      </c>
      <c r="S688" s="11">
        <v>45310</v>
      </c>
      <c r="T688" t="s">
        <v>2952</v>
      </c>
      <c r="U688" t="s">
        <v>2093</v>
      </c>
    </row>
    <row r="689" spans="2:21" x14ac:dyDescent="0.3">
      <c r="B689" t="s">
        <v>2094</v>
      </c>
      <c r="C689" t="s">
        <v>2725</v>
      </c>
      <c r="D689" t="s">
        <v>2422</v>
      </c>
      <c r="E689" t="s">
        <v>2580</v>
      </c>
      <c r="F689" t="s">
        <v>2580</v>
      </c>
      <c r="G689" s="8">
        <v>4100</v>
      </c>
      <c r="H689" s="8">
        <f>+IF(BDAlquilerDepartamentos[[#This Row],[Ciudad]]="Lima",BDAlquilerDepartamentos[[#This Row],[Prec. Soles]]*0.1,BDAlquilerDepartamentos[[#This Row],[Prec. Soles]]*0.05)</f>
        <v>410</v>
      </c>
      <c r="I689" s="4">
        <v>3</v>
      </c>
      <c r="J689" s="4">
        <v>3</v>
      </c>
      <c r="K689" s="4" t="s">
        <v>3096</v>
      </c>
      <c r="L689" s="4" t="s">
        <v>3096</v>
      </c>
      <c r="M689" s="4">
        <v>92</v>
      </c>
      <c r="N689" s="4">
        <v>2012</v>
      </c>
      <c r="O689" s="4" t="str">
        <f>+IF(BDAlquilerDepartamentos[[#This Row],[Prec. Soles]]&gt;2500,"Caro","Economico")</f>
        <v>Caro</v>
      </c>
      <c r="P689" s="4" t="str">
        <f>+IF(AND(BDAlquilerDepartamentos[[#This Row],[N° de Dorm.]]&gt; 3,BDAlquilerDepartamentos[[#This Row],[Prec. Soles]]&lt;= 2500),"Buena Oferta", "Precio Estadar")</f>
        <v>Precio Estadar</v>
      </c>
      <c r="Q689" t="s">
        <v>1101</v>
      </c>
      <c r="R689" t="s">
        <v>1102</v>
      </c>
      <c r="S689" s="11">
        <v>45617</v>
      </c>
      <c r="T689" t="s">
        <v>2833</v>
      </c>
      <c r="U689" t="s">
        <v>2095</v>
      </c>
    </row>
    <row r="690" spans="2:21" x14ac:dyDescent="0.3">
      <c r="B690" t="s">
        <v>1108</v>
      </c>
      <c r="C690" t="s">
        <v>2419</v>
      </c>
      <c r="D690" t="s">
        <v>2420</v>
      </c>
      <c r="E690" t="s">
        <v>2580</v>
      </c>
      <c r="F690" t="s">
        <v>2580</v>
      </c>
      <c r="G690" s="8">
        <v>2500</v>
      </c>
      <c r="H690" s="8">
        <f>+IF(BDAlquilerDepartamentos[[#This Row],[Ciudad]]="Lima",BDAlquilerDepartamentos[[#This Row],[Prec. Soles]]*0.1,BDAlquilerDepartamentos[[#This Row],[Prec. Soles]]*0.05)</f>
        <v>250</v>
      </c>
      <c r="I690" s="4">
        <v>2</v>
      </c>
      <c r="J690" s="4">
        <v>2</v>
      </c>
      <c r="K690" s="4" t="s">
        <v>3096</v>
      </c>
      <c r="L690" s="4" t="s">
        <v>3096</v>
      </c>
      <c r="M690" s="4">
        <v>75</v>
      </c>
      <c r="N690" s="4">
        <v>2005</v>
      </c>
      <c r="O690" s="4" t="str">
        <f>+IF(BDAlquilerDepartamentos[[#This Row],[Prec. Soles]]&gt;2500,"Caro","Economico")</f>
        <v>Economico</v>
      </c>
      <c r="P690" s="4" t="str">
        <f>+IF(AND(BDAlquilerDepartamentos[[#This Row],[N° de Dorm.]]&gt; 3,BDAlquilerDepartamentos[[#This Row],[Prec. Soles]]&lt;= 2500),"Buena Oferta", "Precio Estadar")</f>
        <v>Precio Estadar</v>
      </c>
      <c r="Q690" t="s">
        <v>1101</v>
      </c>
      <c r="R690" t="s">
        <v>1102</v>
      </c>
      <c r="S690" s="11">
        <v>45067</v>
      </c>
      <c r="T690" t="s">
        <v>2835</v>
      </c>
      <c r="U690" t="s">
        <v>2096</v>
      </c>
    </row>
    <row r="691" spans="2:21" x14ac:dyDescent="0.3">
      <c r="B691" t="s">
        <v>2097</v>
      </c>
      <c r="C691" t="s">
        <v>2726</v>
      </c>
      <c r="D691" t="s">
        <v>2422</v>
      </c>
      <c r="E691" t="s">
        <v>2580</v>
      </c>
      <c r="F691" t="s">
        <v>2580</v>
      </c>
      <c r="G691" s="8">
        <v>5180</v>
      </c>
      <c r="H691" s="8">
        <f>+IF(BDAlquilerDepartamentos[[#This Row],[Ciudad]]="Lima",BDAlquilerDepartamentos[[#This Row],[Prec. Soles]]*0.1,BDAlquilerDepartamentos[[#This Row],[Prec. Soles]]*0.05)</f>
        <v>518</v>
      </c>
      <c r="I691" s="4">
        <v>3</v>
      </c>
      <c r="J691" s="4">
        <v>3</v>
      </c>
      <c r="K691" s="4" t="s">
        <v>3096</v>
      </c>
      <c r="L691" s="4" t="s">
        <v>3095</v>
      </c>
      <c r="M691" s="4">
        <v>300</v>
      </c>
      <c r="N691" s="4">
        <v>2008</v>
      </c>
      <c r="O691" s="4" t="str">
        <f>+IF(BDAlquilerDepartamentos[[#This Row],[Prec. Soles]]&gt;2500,"Caro","Economico")</f>
        <v>Caro</v>
      </c>
      <c r="P691" s="4" t="str">
        <f>+IF(AND(BDAlquilerDepartamentos[[#This Row],[N° de Dorm.]]&gt; 3,BDAlquilerDepartamentos[[#This Row],[Prec. Soles]]&lt;= 2500),"Buena Oferta", "Precio Estadar")</f>
        <v>Precio Estadar</v>
      </c>
      <c r="Q691" t="s">
        <v>1101</v>
      </c>
      <c r="R691" t="s">
        <v>1102</v>
      </c>
      <c r="S691" s="11">
        <v>45593</v>
      </c>
      <c r="T691" t="s">
        <v>3039</v>
      </c>
      <c r="U691" t="s">
        <v>2098</v>
      </c>
    </row>
    <row r="692" spans="2:21" x14ac:dyDescent="0.3">
      <c r="B692" t="s">
        <v>1165</v>
      </c>
      <c r="C692" t="s">
        <v>2453</v>
      </c>
      <c r="D692" t="s">
        <v>2580</v>
      </c>
      <c r="E692" t="s">
        <v>2580</v>
      </c>
      <c r="F692" t="s">
        <v>2580</v>
      </c>
      <c r="G692" s="8">
        <v>9620</v>
      </c>
      <c r="H692" s="8">
        <f>+IF(BDAlquilerDepartamentos[[#This Row],[Ciudad]]="Lima",BDAlquilerDepartamentos[[#This Row],[Prec. Soles]]*0.1,BDAlquilerDepartamentos[[#This Row],[Prec. Soles]]*0.05)</f>
        <v>962</v>
      </c>
      <c r="I692" s="4">
        <v>3</v>
      </c>
      <c r="J692" s="4">
        <v>3</v>
      </c>
      <c r="K692" s="4" t="s">
        <v>3096</v>
      </c>
      <c r="L692" s="4" t="s">
        <v>3096</v>
      </c>
      <c r="M692" s="4">
        <v>330</v>
      </c>
      <c r="N692" s="4">
        <v>2013</v>
      </c>
      <c r="O692" s="4" t="str">
        <f>+IF(BDAlquilerDepartamentos[[#This Row],[Prec. Soles]]&gt;2500,"Caro","Economico")</f>
        <v>Caro</v>
      </c>
      <c r="P692" s="4" t="str">
        <f>+IF(AND(BDAlquilerDepartamentos[[#This Row],[N° de Dorm.]]&gt; 3,BDAlquilerDepartamentos[[#This Row],[Prec. Soles]]&lt;= 2500),"Buena Oferta", "Precio Estadar")</f>
        <v>Precio Estadar</v>
      </c>
      <c r="Q692" t="s">
        <v>1101</v>
      </c>
      <c r="R692" t="s">
        <v>1102</v>
      </c>
      <c r="S692" s="11">
        <v>45448</v>
      </c>
      <c r="T692" t="s">
        <v>2844</v>
      </c>
      <c r="U692" t="s">
        <v>2099</v>
      </c>
    </row>
    <row r="693" spans="2:21" x14ac:dyDescent="0.3">
      <c r="B693" t="s">
        <v>3113</v>
      </c>
      <c r="C693" t="s">
        <v>3114</v>
      </c>
      <c r="D693" t="s">
        <v>2436</v>
      </c>
      <c r="E693" t="s">
        <v>2580</v>
      </c>
      <c r="F693" t="s">
        <v>2580</v>
      </c>
      <c r="G693" s="8">
        <v>3700</v>
      </c>
      <c r="H693" s="8">
        <f>+IF(BDAlquilerDepartamentos[[#This Row],[Ciudad]]="Lima",BDAlquilerDepartamentos[[#This Row],[Prec. Soles]]*0.1,BDAlquilerDepartamentos[[#This Row],[Prec. Soles]]*0.05)</f>
        <v>370</v>
      </c>
      <c r="I693" s="4">
        <v>3</v>
      </c>
      <c r="J693" s="4">
        <v>3</v>
      </c>
      <c r="K693" s="4" t="s">
        <v>3096</v>
      </c>
      <c r="L693" s="4" t="s">
        <v>3095</v>
      </c>
      <c r="M693" s="4">
        <v>112</v>
      </c>
      <c r="N693" s="4">
        <v>2005</v>
      </c>
      <c r="O693" s="4" t="str">
        <f>+IF(BDAlquilerDepartamentos[[#This Row],[Prec. Soles]]&gt;2500,"Caro","Economico")</f>
        <v>Caro</v>
      </c>
      <c r="P693" s="4" t="str">
        <f>+IF(AND(BDAlquilerDepartamentos[[#This Row],[N° de Dorm.]]&gt; 3,BDAlquilerDepartamentos[[#This Row],[Prec. Soles]]&lt;= 2500),"Buena Oferta", "Precio Estadar")</f>
        <v>Precio Estadar</v>
      </c>
      <c r="Q693" t="s">
        <v>1101</v>
      </c>
      <c r="R693" t="s">
        <v>1102</v>
      </c>
      <c r="S693" s="11">
        <v>45272</v>
      </c>
      <c r="T693" t="s">
        <v>2862</v>
      </c>
      <c r="U693" t="s">
        <v>2100</v>
      </c>
    </row>
    <row r="694" spans="2:21" x14ac:dyDescent="0.3">
      <c r="B694" t="s">
        <v>1423</v>
      </c>
      <c r="C694" t="s">
        <v>2552</v>
      </c>
      <c r="D694" t="s">
        <v>2447</v>
      </c>
      <c r="E694" t="s">
        <v>2580</v>
      </c>
      <c r="F694" t="s">
        <v>2580</v>
      </c>
      <c r="G694" s="8">
        <v>5550</v>
      </c>
      <c r="H694" s="8">
        <f>+IF(BDAlquilerDepartamentos[[#This Row],[Ciudad]]="Lima",BDAlquilerDepartamentos[[#This Row],[Prec. Soles]]*0.1,BDAlquilerDepartamentos[[#This Row],[Prec. Soles]]*0.05)</f>
        <v>555</v>
      </c>
      <c r="I694" s="4">
        <v>3</v>
      </c>
      <c r="J694" s="4">
        <v>2</v>
      </c>
      <c r="K694" s="4" t="s">
        <v>3095</v>
      </c>
      <c r="L694" s="4" t="s">
        <v>3096</v>
      </c>
      <c r="M694" s="4">
        <v>115</v>
      </c>
      <c r="N694" s="4">
        <v>2011</v>
      </c>
      <c r="O694" s="4" t="str">
        <f>+IF(BDAlquilerDepartamentos[[#This Row],[Prec. Soles]]&gt;2500,"Caro","Economico")</f>
        <v>Caro</v>
      </c>
      <c r="P694" s="4" t="str">
        <f>+IF(AND(BDAlquilerDepartamentos[[#This Row],[N° de Dorm.]]&gt; 3,BDAlquilerDepartamentos[[#This Row],[Prec. Soles]]&lt;= 2500),"Buena Oferta", "Precio Estadar")</f>
        <v>Precio Estadar</v>
      </c>
      <c r="Q694" t="s">
        <v>1101</v>
      </c>
      <c r="R694" t="s">
        <v>1102</v>
      </c>
      <c r="S694" s="11">
        <v>45537</v>
      </c>
      <c r="T694" t="s">
        <v>2829</v>
      </c>
      <c r="U694" t="s">
        <v>2101</v>
      </c>
    </row>
    <row r="695" spans="2:21" x14ac:dyDescent="0.3">
      <c r="B695" t="s">
        <v>2102</v>
      </c>
      <c r="C695" t="s">
        <v>2727</v>
      </c>
      <c r="D695" t="s">
        <v>2728</v>
      </c>
      <c r="E695" t="s">
        <v>2580</v>
      </c>
      <c r="F695" t="s">
        <v>2580</v>
      </c>
      <c r="G695" s="8">
        <v>1000</v>
      </c>
      <c r="H695" s="8">
        <f>+IF(BDAlquilerDepartamentos[[#This Row],[Ciudad]]="Lima",BDAlquilerDepartamentos[[#This Row],[Prec. Soles]]*0.1,BDAlquilerDepartamentos[[#This Row],[Prec. Soles]]*0.05)</f>
        <v>100</v>
      </c>
      <c r="I695" s="4">
        <v>3</v>
      </c>
      <c r="J695" s="4">
        <v>1</v>
      </c>
      <c r="K695" s="4" t="s">
        <v>3096</v>
      </c>
      <c r="L695" s="4" t="s">
        <v>3095</v>
      </c>
      <c r="N695" s="4">
        <v>2009</v>
      </c>
      <c r="O695" s="4" t="str">
        <f>+IF(BDAlquilerDepartamentos[[#This Row],[Prec. Soles]]&gt;2500,"Caro","Economico")</f>
        <v>Economico</v>
      </c>
      <c r="P695" s="4" t="str">
        <f>+IF(AND(BDAlquilerDepartamentos[[#This Row],[N° de Dorm.]]&gt; 3,BDAlquilerDepartamentos[[#This Row],[Prec. Soles]]&lt;= 2500),"Buena Oferta", "Precio Estadar")</f>
        <v>Precio Estadar</v>
      </c>
      <c r="Q695" t="s">
        <v>1101</v>
      </c>
      <c r="R695" t="s">
        <v>1102</v>
      </c>
      <c r="S695" s="11">
        <v>45045</v>
      </c>
      <c r="T695" t="s">
        <v>3088</v>
      </c>
      <c r="U695" t="s">
        <v>2103</v>
      </c>
    </row>
    <row r="696" spans="2:21" x14ac:dyDescent="0.3">
      <c r="B696" t="s">
        <v>2104</v>
      </c>
      <c r="C696" t="s">
        <v>2729</v>
      </c>
      <c r="D696" t="s">
        <v>2422</v>
      </c>
      <c r="E696" t="s">
        <v>2580</v>
      </c>
      <c r="F696" t="s">
        <v>2580</v>
      </c>
      <c r="G696" s="8">
        <v>3626</v>
      </c>
      <c r="H696" s="8">
        <f>+IF(BDAlquilerDepartamentos[[#This Row],[Ciudad]]="Lima",BDAlquilerDepartamentos[[#This Row],[Prec. Soles]]*0.1,BDAlquilerDepartamentos[[#This Row],[Prec. Soles]]*0.05)</f>
        <v>362.6</v>
      </c>
      <c r="I696" s="4">
        <v>3</v>
      </c>
      <c r="J696" s="4">
        <v>3</v>
      </c>
      <c r="K696" s="4" t="s">
        <v>3096</v>
      </c>
      <c r="L696" s="4" t="s">
        <v>3096</v>
      </c>
      <c r="M696" s="4">
        <v>140</v>
      </c>
      <c r="N696" s="4">
        <v>2003</v>
      </c>
      <c r="O696" s="4" t="str">
        <f>+IF(BDAlquilerDepartamentos[[#This Row],[Prec. Soles]]&gt;2500,"Caro","Economico")</f>
        <v>Caro</v>
      </c>
      <c r="P696" s="4" t="str">
        <f>+IF(AND(BDAlquilerDepartamentos[[#This Row],[N° de Dorm.]]&gt; 3,BDAlquilerDepartamentos[[#This Row],[Prec. Soles]]&lt;= 2500),"Buena Oferta", "Precio Estadar")</f>
        <v>Precio Estadar</v>
      </c>
      <c r="Q696" t="s">
        <v>1101</v>
      </c>
      <c r="R696" t="s">
        <v>1102</v>
      </c>
      <c r="S696" s="11">
        <v>45557</v>
      </c>
      <c r="T696" t="s">
        <v>3004</v>
      </c>
      <c r="U696" t="s">
        <v>2105</v>
      </c>
    </row>
    <row r="697" spans="2:21" x14ac:dyDescent="0.3">
      <c r="B697" t="s">
        <v>1165</v>
      </c>
      <c r="C697" t="s">
        <v>2453</v>
      </c>
      <c r="D697" t="s">
        <v>2580</v>
      </c>
      <c r="E697" t="s">
        <v>2580</v>
      </c>
      <c r="F697" t="s">
        <v>2580</v>
      </c>
      <c r="G697" s="8">
        <v>11285</v>
      </c>
      <c r="H697" s="8">
        <f>+IF(BDAlquilerDepartamentos[[#This Row],[Ciudad]]="Lima",BDAlquilerDepartamentos[[#This Row],[Prec. Soles]]*0.1,BDAlquilerDepartamentos[[#This Row],[Prec. Soles]]*0.05)</f>
        <v>1128.5</v>
      </c>
      <c r="I697" s="4">
        <v>3</v>
      </c>
      <c r="J697" s="4">
        <v>3</v>
      </c>
      <c r="K697" s="4" t="s">
        <v>3096</v>
      </c>
      <c r="L697" s="4" t="s">
        <v>3096</v>
      </c>
      <c r="M697" s="4">
        <v>173</v>
      </c>
      <c r="N697" s="4">
        <v>2015</v>
      </c>
      <c r="O697" s="4" t="str">
        <f>+IF(BDAlquilerDepartamentos[[#This Row],[Prec. Soles]]&gt;2500,"Caro","Economico")</f>
        <v>Caro</v>
      </c>
      <c r="P697" s="4" t="str">
        <f>+IF(AND(BDAlquilerDepartamentos[[#This Row],[N° de Dorm.]]&gt; 3,BDAlquilerDepartamentos[[#This Row],[Prec. Soles]]&lt;= 2500),"Buena Oferta", "Precio Estadar")</f>
        <v>Precio Estadar</v>
      </c>
      <c r="Q697" t="s">
        <v>1101</v>
      </c>
      <c r="R697" t="s">
        <v>1102</v>
      </c>
      <c r="S697" s="11">
        <v>45525</v>
      </c>
      <c r="T697" t="s">
        <v>2844</v>
      </c>
      <c r="U697" t="s">
        <v>2106</v>
      </c>
    </row>
    <row r="698" spans="2:21" x14ac:dyDescent="0.3">
      <c r="B698" t="s">
        <v>1180</v>
      </c>
      <c r="C698" t="s">
        <v>2461</v>
      </c>
      <c r="D698" t="s">
        <v>2580</v>
      </c>
      <c r="E698" t="s">
        <v>2580</v>
      </c>
      <c r="F698" t="s">
        <v>2580</v>
      </c>
      <c r="G698" s="8">
        <v>3663</v>
      </c>
      <c r="H698" s="8">
        <f>+IF(BDAlquilerDepartamentos[[#This Row],[Ciudad]]="Lima",BDAlquilerDepartamentos[[#This Row],[Prec. Soles]]*0.1,BDAlquilerDepartamentos[[#This Row],[Prec. Soles]]*0.05)</f>
        <v>366.3</v>
      </c>
      <c r="I698" s="4">
        <v>4</v>
      </c>
      <c r="J698" s="4">
        <v>3</v>
      </c>
      <c r="K698" s="4" t="s">
        <v>3096</v>
      </c>
      <c r="L698" s="4" t="s">
        <v>3095</v>
      </c>
      <c r="M698" s="17">
        <v>1024</v>
      </c>
      <c r="N698" s="4">
        <v>2017</v>
      </c>
      <c r="O698" s="4" t="str">
        <f>+IF(BDAlquilerDepartamentos[[#This Row],[Prec. Soles]]&gt;2500,"Caro","Economico")</f>
        <v>Caro</v>
      </c>
      <c r="P698" s="4" t="str">
        <f>+IF(AND(BDAlquilerDepartamentos[[#This Row],[N° de Dorm.]]&gt; 3,BDAlquilerDepartamentos[[#This Row],[Prec. Soles]]&lt;= 2500),"Buena Oferta", "Precio Estadar")</f>
        <v>Precio Estadar</v>
      </c>
      <c r="Q698" t="s">
        <v>1113</v>
      </c>
      <c r="R698" t="s">
        <v>1102</v>
      </c>
      <c r="S698" s="11">
        <v>45012</v>
      </c>
      <c r="T698" t="s">
        <v>3020</v>
      </c>
      <c r="U698" t="s">
        <v>2107</v>
      </c>
    </row>
    <row r="699" spans="2:21" x14ac:dyDescent="0.3">
      <c r="B699" t="s">
        <v>3107</v>
      </c>
      <c r="C699" t="s">
        <v>2580</v>
      </c>
      <c r="D699" t="s">
        <v>2580</v>
      </c>
      <c r="E699" t="s">
        <v>2580</v>
      </c>
      <c r="F699" t="s">
        <v>2580</v>
      </c>
      <c r="G699" s="8">
        <v>5920</v>
      </c>
      <c r="H699" s="8">
        <f>+IF(BDAlquilerDepartamentos[[#This Row],[Ciudad]]="Lima",BDAlquilerDepartamentos[[#This Row],[Prec. Soles]]*0.1,BDAlquilerDepartamentos[[#This Row],[Prec. Soles]]*0.05)</f>
        <v>592</v>
      </c>
      <c r="I699" s="4">
        <v>5</v>
      </c>
      <c r="J699" s="4">
        <v>6</v>
      </c>
      <c r="K699" s="4" t="s">
        <v>3095</v>
      </c>
      <c r="L699" s="4" t="s">
        <v>3095</v>
      </c>
      <c r="M699" s="17">
        <v>1024</v>
      </c>
      <c r="N699" s="4">
        <v>2010</v>
      </c>
      <c r="O699" s="4" t="str">
        <f>+IF(BDAlquilerDepartamentos[[#This Row],[Prec. Soles]]&gt;2500,"Caro","Economico")</f>
        <v>Caro</v>
      </c>
      <c r="P699" s="4" t="str">
        <f>+IF(AND(BDAlquilerDepartamentos[[#This Row],[N° de Dorm.]]&gt; 3,BDAlquilerDepartamentos[[#This Row],[Prec. Soles]]&lt;= 2500),"Buena Oferta", "Precio Estadar")</f>
        <v>Precio Estadar</v>
      </c>
      <c r="Q699" t="s">
        <v>1113</v>
      </c>
      <c r="R699" t="s">
        <v>1102</v>
      </c>
      <c r="S699" s="11">
        <v>45519</v>
      </c>
      <c r="T699" t="s">
        <v>3020</v>
      </c>
      <c r="U699" t="s">
        <v>2108</v>
      </c>
    </row>
    <row r="700" spans="2:21" x14ac:dyDescent="0.3">
      <c r="B700" t="s">
        <v>3113</v>
      </c>
      <c r="C700" t="s">
        <v>3114</v>
      </c>
      <c r="D700" t="s">
        <v>2436</v>
      </c>
      <c r="E700" t="s">
        <v>2580</v>
      </c>
      <c r="F700" t="s">
        <v>2580</v>
      </c>
      <c r="G700" s="8">
        <v>8880</v>
      </c>
      <c r="H700" s="8">
        <f>+IF(BDAlquilerDepartamentos[[#This Row],[Ciudad]]="Lima",BDAlquilerDepartamentos[[#This Row],[Prec. Soles]]*0.1,BDAlquilerDepartamentos[[#This Row],[Prec. Soles]]*0.05)</f>
        <v>888</v>
      </c>
      <c r="I700" s="4">
        <v>3</v>
      </c>
      <c r="J700" s="4">
        <v>2</v>
      </c>
      <c r="K700" s="4" t="s">
        <v>3096</v>
      </c>
      <c r="L700" s="4" t="s">
        <v>3096</v>
      </c>
      <c r="M700" s="4">
        <v>200</v>
      </c>
      <c r="N700" s="4">
        <v>2014</v>
      </c>
      <c r="O700" s="4" t="str">
        <f>+IF(BDAlquilerDepartamentos[[#This Row],[Prec. Soles]]&gt;2500,"Caro","Economico")</f>
        <v>Caro</v>
      </c>
      <c r="P700" s="4" t="str">
        <f>+IF(AND(BDAlquilerDepartamentos[[#This Row],[N° de Dorm.]]&gt; 3,BDAlquilerDepartamentos[[#This Row],[Prec. Soles]]&lt;= 2500),"Buena Oferta", "Precio Estadar")</f>
        <v>Precio Estadar</v>
      </c>
      <c r="Q700" t="s">
        <v>1101</v>
      </c>
      <c r="R700" t="s">
        <v>1102</v>
      </c>
      <c r="S700" s="11">
        <v>45493</v>
      </c>
      <c r="T700" t="s">
        <v>2844</v>
      </c>
      <c r="U700" t="s">
        <v>2109</v>
      </c>
    </row>
    <row r="701" spans="2:21" x14ac:dyDescent="0.3">
      <c r="B701" t="s">
        <v>1191</v>
      </c>
      <c r="C701" t="s">
        <v>2466</v>
      </c>
      <c r="D701" t="s">
        <v>2436</v>
      </c>
      <c r="E701" t="s">
        <v>2580</v>
      </c>
      <c r="F701" t="s">
        <v>2580</v>
      </c>
      <c r="G701" s="8">
        <v>2590</v>
      </c>
      <c r="H701" s="8">
        <f>+IF(BDAlquilerDepartamentos[[#This Row],[Ciudad]]="Lima",BDAlquilerDepartamentos[[#This Row],[Prec. Soles]]*0.1,BDAlquilerDepartamentos[[#This Row],[Prec. Soles]]*0.05)</f>
        <v>259</v>
      </c>
      <c r="I701" s="4">
        <v>1</v>
      </c>
      <c r="J701" s="4">
        <v>1</v>
      </c>
      <c r="K701" s="4" t="s">
        <v>3096</v>
      </c>
      <c r="L701" s="4" t="s">
        <v>3096</v>
      </c>
      <c r="M701" s="4">
        <v>50</v>
      </c>
      <c r="N701" s="4">
        <v>2008</v>
      </c>
      <c r="O701" s="4" t="str">
        <f>+IF(BDAlquilerDepartamentos[[#This Row],[Prec. Soles]]&gt;2500,"Caro","Economico")</f>
        <v>Caro</v>
      </c>
      <c r="P701" s="4" t="str">
        <f>+IF(AND(BDAlquilerDepartamentos[[#This Row],[N° de Dorm.]]&gt; 3,BDAlquilerDepartamentos[[#This Row],[Prec. Soles]]&lt;= 2500),"Buena Oferta", "Precio Estadar")</f>
        <v>Precio Estadar</v>
      </c>
      <c r="Q701" t="s">
        <v>1101</v>
      </c>
      <c r="R701" t="s">
        <v>1102</v>
      </c>
      <c r="S701" s="11">
        <v>45602</v>
      </c>
      <c r="T701" t="s">
        <v>3020</v>
      </c>
      <c r="U701" t="s">
        <v>2110</v>
      </c>
    </row>
    <row r="702" spans="2:21" x14ac:dyDescent="0.3">
      <c r="B702" t="s">
        <v>1189</v>
      </c>
      <c r="C702" t="s">
        <v>2465</v>
      </c>
      <c r="D702" t="s">
        <v>2418</v>
      </c>
      <c r="E702" t="s">
        <v>2580</v>
      </c>
      <c r="F702" t="s">
        <v>2580</v>
      </c>
      <c r="G702" s="8">
        <v>3515</v>
      </c>
      <c r="H702" s="8">
        <f>+IF(BDAlquilerDepartamentos[[#This Row],[Ciudad]]="Lima",BDAlquilerDepartamentos[[#This Row],[Prec. Soles]]*0.1,BDAlquilerDepartamentos[[#This Row],[Prec. Soles]]*0.05)</f>
        <v>351.5</v>
      </c>
      <c r="I702" s="4">
        <v>2</v>
      </c>
      <c r="J702" s="4">
        <v>3</v>
      </c>
      <c r="K702" s="4" t="s">
        <v>3096</v>
      </c>
      <c r="L702" s="4" t="s">
        <v>3096</v>
      </c>
      <c r="M702" s="4">
        <v>85</v>
      </c>
      <c r="N702" s="4">
        <v>2016</v>
      </c>
      <c r="O702" s="4" t="str">
        <f>+IF(BDAlquilerDepartamentos[[#This Row],[Prec. Soles]]&gt;2500,"Caro","Economico")</f>
        <v>Caro</v>
      </c>
      <c r="P702" s="4" t="str">
        <f>+IF(AND(BDAlquilerDepartamentos[[#This Row],[N° de Dorm.]]&gt; 3,BDAlquilerDepartamentos[[#This Row],[Prec. Soles]]&lt;= 2500),"Buena Oferta", "Precio Estadar")</f>
        <v>Precio Estadar</v>
      </c>
      <c r="Q702" t="s">
        <v>1101</v>
      </c>
      <c r="R702" t="s">
        <v>1102</v>
      </c>
      <c r="S702" s="11">
        <v>44952</v>
      </c>
      <c r="T702" t="s">
        <v>3020</v>
      </c>
      <c r="U702" t="s">
        <v>2111</v>
      </c>
    </row>
    <row r="703" spans="2:21" x14ac:dyDescent="0.3">
      <c r="B703" t="s">
        <v>1139</v>
      </c>
      <c r="C703" t="s">
        <v>2439</v>
      </c>
      <c r="D703" t="s">
        <v>2428</v>
      </c>
      <c r="E703" t="s">
        <v>2580</v>
      </c>
      <c r="F703" t="s">
        <v>2580</v>
      </c>
      <c r="G703" s="8">
        <v>9805</v>
      </c>
      <c r="H703" s="8">
        <f>+IF(BDAlquilerDepartamentos[[#This Row],[Ciudad]]="Lima",BDAlquilerDepartamentos[[#This Row],[Prec. Soles]]*0.1,BDAlquilerDepartamentos[[#This Row],[Prec. Soles]]*0.05)</f>
        <v>980.5</v>
      </c>
      <c r="I703" s="4">
        <v>3</v>
      </c>
      <c r="J703" s="4">
        <v>3</v>
      </c>
      <c r="K703" s="4" t="s">
        <v>3096</v>
      </c>
      <c r="L703" s="4" t="s">
        <v>3096</v>
      </c>
      <c r="M703" s="4">
        <v>450</v>
      </c>
      <c r="N703" s="4">
        <v>2012</v>
      </c>
      <c r="O703" s="4" t="str">
        <f>+IF(BDAlquilerDepartamentos[[#This Row],[Prec. Soles]]&gt;2500,"Caro","Economico")</f>
        <v>Caro</v>
      </c>
      <c r="P703" s="4" t="str">
        <f>+IF(AND(BDAlquilerDepartamentos[[#This Row],[N° de Dorm.]]&gt; 3,BDAlquilerDepartamentos[[#This Row],[Prec. Soles]]&lt;= 2500),"Buena Oferta", "Precio Estadar")</f>
        <v>Precio Estadar</v>
      </c>
      <c r="Q703" t="s">
        <v>1101</v>
      </c>
      <c r="R703" t="s">
        <v>1102</v>
      </c>
      <c r="S703" s="11">
        <v>45060</v>
      </c>
      <c r="T703" t="s">
        <v>2844</v>
      </c>
      <c r="U703" t="s">
        <v>2112</v>
      </c>
    </row>
    <row r="704" spans="2:21" x14ac:dyDescent="0.3">
      <c r="B704" t="s">
        <v>1425</v>
      </c>
      <c r="C704" t="s">
        <v>2554</v>
      </c>
      <c r="D704" t="s">
        <v>2463</v>
      </c>
      <c r="E704" t="s">
        <v>2580</v>
      </c>
      <c r="F704" t="s">
        <v>2580</v>
      </c>
      <c r="G704" s="8">
        <v>1600</v>
      </c>
      <c r="H704" s="8">
        <f>+IF(BDAlquilerDepartamentos[[#This Row],[Ciudad]]="Lima",BDAlquilerDepartamentos[[#This Row],[Prec. Soles]]*0.1,BDAlquilerDepartamentos[[#This Row],[Prec. Soles]]*0.05)</f>
        <v>160</v>
      </c>
      <c r="I704" s="4">
        <v>2</v>
      </c>
      <c r="J704" s="4">
        <v>1</v>
      </c>
      <c r="K704" s="4" t="s">
        <v>3096</v>
      </c>
      <c r="L704" s="4" t="s">
        <v>3096</v>
      </c>
      <c r="M704" s="4">
        <v>53</v>
      </c>
      <c r="N704" s="4">
        <v>2012</v>
      </c>
      <c r="O704" s="4" t="str">
        <f>+IF(BDAlquilerDepartamentos[[#This Row],[Prec. Soles]]&gt;2500,"Caro","Economico")</f>
        <v>Economico</v>
      </c>
      <c r="P704" s="4" t="str">
        <f>+IF(AND(BDAlquilerDepartamentos[[#This Row],[N° de Dorm.]]&gt; 3,BDAlquilerDepartamentos[[#This Row],[Prec. Soles]]&lt;= 2500),"Buena Oferta", "Precio Estadar")</f>
        <v>Precio Estadar</v>
      </c>
      <c r="Q704" t="s">
        <v>1101</v>
      </c>
      <c r="R704" t="s">
        <v>1102</v>
      </c>
      <c r="S704" s="11">
        <v>45046</v>
      </c>
      <c r="T704" t="s">
        <v>2860</v>
      </c>
      <c r="U704" t="s">
        <v>2113</v>
      </c>
    </row>
    <row r="705" spans="2:21" x14ac:dyDescent="0.3">
      <c r="B705" t="s">
        <v>3116</v>
      </c>
      <c r="C705" t="s">
        <v>2436</v>
      </c>
      <c r="D705" t="s">
        <v>2580</v>
      </c>
      <c r="E705" t="s">
        <v>2580</v>
      </c>
      <c r="F705" t="s">
        <v>2580</v>
      </c>
      <c r="G705" s="8">
        <v>2800</v>
      </c>
      <c r="H705" s="8">
        <f>+IF(BDAlquilerDepartamentos[[#This Row],[Ciudad]]="Lima",BDAlquilerDepartamentos[[#This Row],[Prec. Soles]]*0.1,BDAlquilerDepartamentos[[#This Row],[Prec. Soles]]*0.05)</f>
        <v>280</v>
      </c>
      <c r="I705" s="4">
        <v>2</v>
      </c>
      <c r="J705" s="4">
        <v>3</v>
      </c>
      <c r="K705" s="4" t="s">
        <v>3095</v>
      </c>
      <c r="L705" s="4" t="s">
        <v>3095</v>
      </c>
      <c r="M705" s="4">
        <v>115</v>
      </c>
      <c r="N705" s="4">
        <v>2011</v>
      </c>
      <c r="O705" s="4" t="str">
        <f>+IF(BDAlquilerDepartamentos[[#This Row],[Prec. Soles]]&gt;2500,"Caro","Economico")</f>
        <v>Caro</v>
      </c>
      <c r="P705" s="4" t="str">
        <f>+IF(AND(BDAlquilerDepartamentos[[#This Row],[N° de Dorm.]]&gt; 3,BDAlquilerDepartamentos[[#This Row],[Prec. Soles]]&lt;= 2500),"Buena Oferta", "Precio Estadar")</f>
        <v>Precio Estadar</v>
      </c>
      <c r="Q705" t="s">
        <v>1101</v>
      </c>
      <c r="R705" t="s">
        <v>1102</v>
      </c>
      <c r="S705" s="11">
        <v>45100</v>
      </c>
      <c r="T705" t="s">
        <v>2880</v>
      </c>
      <c r="U705" t="s">
        <v>2114</v>
      </c>
    </row>
    <row r="706" spans="2:21" x14ac:dyDescent="0.3">
      <c r="B706" t="s">
        <v>1941</v>
      </c>
      <c r="C706" t="s">
        <v>2456</v>
      </c>
      <c r="D706" t="s">
        <v>2457</v>
      </c>
      <c r="E706" t="s">
        <v>2580</v>
      </c>
      <c r="F706" t="s">
        <v>2580</v>
      </c>
      <c r="G706" s="8">
        <v>9250</v>
      </c>
      <c r="H706" s="8">
        <f>+IF(BDAlquilerDepartamentos[[#This Row],[Ciudad]]="Lima",BDAlquilerDepartamentos[[#This Row],[Prec. Soles]]*0.1,BDAlquilerDepartamentos[[#This Row],[Prec. Soles]]*0.05)</f>
        <v>925</v>
      </c>
      <c r="I706" s="4">
        <v>5</v>
      </c>
      <c r="J706" s="4">
        <v>5</v>
      </c>
      <c r="K706" s="4" t="s">
        <v>3095</v>
      </c>
      <c r="L706" s="4" t="s">
        <v>3096</v>
      </c>
      <c r="M706" s="4">
        <v>300</v>
      </c>
      <c r="N706" s="4">
        <v>2005</v>
      </c>
      <c r="O706" s="4" t="str">
        <f>+IF(BDAlquilerDepartamentos[[#This Row],[Prec. Soles]]&gt;2500,"Caro","Economico")</f>
        <v>Caro</v>
      </c>
      <c r="P706" s="4" t="str">
        <f>+IF(AND(BDAlquilerDepartamentos[[#This Row],[N° de Dorm.]]&gt; 3,BDAlquilerDepartamentos[[#This Row],[Prec. Soles]]&lt;= 2500),"Buena Oferta", "Precio Estadar")</f>
        <v>Precio Estadar</v>
      </c>
      <c r="Q706" t="s">
        <v>1113</v>
      </c>
      <c r="R706" t="s">
        <v>1102</v>
      </c>
      <c r="S706" s="11">
        <v>45255</v>
      </c>
      <c r="T706" t="s">
        <v>2833</v>
      </c>
      <c r="U706" t="s">
        <v>2115</v>
      </c>
    </row>
    <row r="707" spans="2:21" x14ac:dyDescent="0.3">
      <c r="B707" t="s">
        <v>1817</v>
      </c>
      <c r="C707" t="s">
        <v>2507</v>
      </c>
      <c r="D707" t="s">
        <v>2422</v>
      </c>
      <c r="E707" t="s">
        <v>2580</v>
      </c>
      <c r="F707" t="s">
        <v>2580</v>
      </c>
      <c r="G707" s="8">
        <v>2960</v>
      </c>
      <c r="H707" s="8">
        <f>+IF(BDAlquilerDepartamentos[[#This Row],[Ciudad]]="Lima",BDAlquilerDepartamentos[[#This Row],[Prec. Soles]]*0.1,BDAlquilerDepartamentos[[#This Row],[Prec. Soles]]*0.05)</f>
        <v>296</v>
      </c>
      <c r="I707" s="4">
        <v>3</v>
      </c>
      <c r="J707" s="4">
        <v>3</v>
      </c>
      <c r="K707" s="4" t="s">
        <v>3096</v>
      </c>
      <c r="L707" s="4" t="s">
        <v>3095</v>
      </c>
      <c r="M707" s="4">
        <v>170</v>
      </c>
      <c r="N707" s="4">
        <v>2008</v>
      </c>
      <c r="O707" s="4" t="str">
        <f>+IF(BDAlquilerDepartamentos[[#This Row],[Prec. Soles]]&gt;2500,"Caro","Economico")</f>
        <v>Caro</v>
      </c>
      <c r="P707" s="4" t="str">
        <f>+IF(AND(BDAlquilerDepartamentos[[#This Row],[N° de Dorm.]]&gt; 3,BDAlquilerDepartamentos[[#This Row],[Prec. Soles]]&lt;= 2500),"Buena Oferta", "Precio Estadar")</f>
        <v>Precio Estadar</v>
      </c>
      <c r="Q707" t="s">
        <v>1101</v>
      </c>
      <c r="R707" t="s">
        <v>1102</v>
      </c>
      <c r="S707" s="11">
        <v>45093</v>
      </c>
      <c r="T707" t="s">
        <v>2862</v>
      </c>
      <c r="U707" t="s">
        <v>2116</v>
      </c>
    </row>
    <row r="708" spans="2:21" x14ac:dyDescent="0.3">
      <c r="B708" t="s">
        <v>2117</v>
      </c>
      <c r="C708" t="s">
        <v>2730</v>
      </c>
      <c r="D708" t="s">
        <v>2580</v>
      </c>
      <c r="E708" t="s">
        <v>2580</v>
      </c>
      <c r="F708" t="s">
        <v>2580</v>
      </c>
      <c r="G708" s="8">
        <v>1300</v>
      </c>
      <c r="H708" s="8">
        <f>+IF(BDAlquilerDepartamentos[[#This Row],[Ciudad]]="Lima",BDAlquilerDepartamentos[[#This Row],[Prec. Soles]]*0.1,BDAlquilerDepartamentos[[#This Row],[Prec. Soles]]*0.05)</f>
        <v>130</v>
      </c>
      <c r="I708" s="4">
        <v>1</v>
      </c>
      <c r="J708" s="4">
        <v>1</v>
      </c>
      <c r="K708" s="4" t="s">
        <v>3096</v>
      </c>
      <c r="L708" s="4" t="s">
        <v>3095</v>
      </c>
      <c r="M708" s="4">
        <v>15</v>
      </c>
      <c r="N708" s="4">
        <v>2003</v>
      </c>
      <c r="O708" s="4" t="str">
        <f>+IF(BDAlquilerDepartamentos[[#This Row],[Prec. Soles]]&gt;2500,"Caro","Economico")</f>
        <v>Economico</v>
      </c>
      <c r="P708" s="4" t="str">
        <f>+IF(AND(BDAlquilerDepartamentos[[#This Row],[N° de Dorm.]]&gt; 3,BDAlquilerDepartamentos[[#This Row],[Prec. Soles]]&lt;= 2500),"Buena Oferta", "Precio Estadar")</f>
        <v>Precio Estadar</v>
      </c>
      <c r="Q708" t="s">
        <v>1101</v>
      </c>
      <c r="R708" t="s">
        <v>1102</v>
      </c>
      <c r="S708" s="11">
        <v>45208</v>
      </c>
      <c r="T708" t="s">
        <v>3040</v>
      </c>
      <c r="U708" t="s">
        <v>2118</v>
      </c>
    </row>
    <row r="709" spans="2:21" x14ac:dyDescent="0.3">
      <c r="B709" t="s">
        <v>1133</v>
      </c>
      <c r="C709" t="s">
        <v>2437</v>
      </c>
      <c r="D709" t="s">
        <v>2436</v>
      </c>
      <c r="E709" t="s">
        <v>2580</v>
      </c>
      <c r="F709" t="s">
        <v>2580</v>
      </c>
      <c r="G709" s="8">
        <v>11063</v>
      </c>
      <c r="H709" s="8">
        <f>+IF(BDAlquilerDepartamentos[[#This Row],[Ciudad]]="Lima",BDAlquilerDepartamentos[[#This Row],[Prec. Soles]]*0.1,BDAlquilerDepartamentos[[#This Row],[Prec. Soles]]*0.05)</f>
        <v>1106.3</v>
      </c>
      <c r="I709" s="4">
        <v>3</v>
      </c>
      <c r="J709" s="4">
        <v>4</v>
      </c>
      <c r="K709" s="4" t="s">
        <v>3096</v>
      </c>
      <c r="L709" s="4" t="s">
        <v>3096</v>
      </c>
      <c r="M709" s="4">
        <v>355</v>
      </c>
      <c r="N709" s="4">
        <v>2010</v>
      </c>
      <c r="O709" s="4" t="str">
        <f>+IF(BDAlquilerDepartamentos[[#This Row],[Prec. Soles]]&gt;2500,"Caro","Economico")</f>
        <v>Caro</v>
      </c>
      <c r="P709" s="4" t="str">
        <f>+IF(AND(BDAlquilerDepartamentos[[#This Row],[N° de Dorm.]]&gt; 3,BDAlquilerDepartamentos[[#This Row],[Prec. Soles]]&lt;= 2500),"Buena Oferta", "Precio Estadar")</f>
        <v>Precio Estadar</v>
      </c>
      <c r="Q709" t="s">
        <v>1101</v>
      </c>
      <c r="R709" t="s">
        <v>1102</v>
      </c>
      <c r="S709" s="11">
        <v>45098</v>
      </c>
      <c r="T709" t="s">
        <v>3123</v>
      </c>
      <c r="U709" t="s">
        <v>2119</v>
      </c>
    </row>
    <row r="710" spans="2:21" x14ac:dyDescent="0.3">
      <c r="B710" t="s">
        <v>1122</v>
      </c>
      <c r="C710" t="s">
        <v>2429</v>
      </c>
      <c r="D710" t="s">
        <v>2553</v>
      </c>
      <c r="E710" t="s">
        <v>2580</v>
      </c>
      <c r="F710" t="s">
        <v>2580</v>
      </c>
      <c r="G710" s="8">
        <v>4465.9000000000005</v>
      </c>
      <c r="H710" s="8">
        <f>+IF(BDAlquilerDepartamentos[[#This Row],[Ciudad]]="Lima",BDAlquilerDepartamentos[[#This Row],[Prec. Soles]]*0.1,BDAlquilerDepartamentos[[#This Row],[Prec. Soles]]*0.05)</f>
        <v>446.59000000000009</v>
      </c>
      <c r="I710" s="4">
        <v>3</v>
      </c>
      <c r="J710" s="4">
        <v>4</v>
      </c>
      <c r="K710" s="4" t="s">
        <v>3096</v>
      </c>
      <c r="L710" s="4" t="s">
        <v>3095</v>
      </c>
      <c r="M710" s="4">
        <v>132</v>
      </c>
      <c r="N710" s="4">
        <v>2007</v>
      </c>
      <c r="O710" s="4" t="str">
        <f>+IF(BDAlquilerDepartamentos[[#This Row],[Prec. Soles]]&gt;2500,"Caro","Economico")</f>
        <v>Caro</v>
      </c>
      <c r="P710" s="4" t="str">
        <f>+IF(AND(BDAlquilerDepartamentos[[#This Row],[N° de Dorm.]]&gt; 3,BDAlquilerDepartamentos[[#This Row],[Prec. Soles]]&lt;= 2500),"Buena Oferta", "Precio Estadar")</f>
        <v>Precio Estadar</v>
      </c>
      <c r="Q710" t="s">
        <v>1101</v>
      </c>
      <c r="R710" t="s">
        <v>1102</v>
      </c>
      <c r="S710" s="11">
        <v>45017</v>
      </c>
      <c r="T710" t="s">
        <v>3123</v>
      </c>
      <c r="U710" t="s">
        <v>2120</v>
      </c>
    </row>
    <row r="711" spans="2:21" x14ac:dyDescent="0.3">
      <c r="B711" t="s">
        <v>1277</v>
      </c>
      <c r="C711" t="s">
        <v>2503</v>
      </c>
      <c r="D711" t="s">
        <v>2422</v>
      </c>
      <c r="E711" t="s">
        <v>2580</v>
      </c>
      <c r="F711" t="s">
        <v>2580</v>
      </c>
      <c r="G711" s="8">
        <v>1800</v>
      </c>
      <c r="H711" s="8">
        <f>+IF(BDAlquilerDepartamentos[[#This Row],[Ciudad]]="Lima",BDAlquilerDepartamentos[[#This Row],[Prec. Soles]]*0.1,BDAlquilerDepartamentos[[#This Row],[Prec. Soles]]*0.05)</f>
        <v>180</v>
      </c>
      <c r="I711" s="4">
        <v>2</v>
      </c>
      <c r="J711" s="4">
        <v>1</v>
      </c>
      <c r="K711" s="4" t="s">
        <v>3096</v>
      </c>
      <c r="L711" s="4" t="s">
        <v>3095</v>
      </c>
      <c r="M711" s="4">
        <v>90</v>
      </c>
      <c r="N711" s="4">
        <v>2010</v>
      </c>
      <c r="O711" s="4" t="str">
        <f>+IF(BDAlquilerDepartamentos[[#This Row],[Prec. Soles]]&gt;2500,"Caro","Economico")</f>
        <v>Economico</v>
      </c>
      <c r="P711" s="4" t="str">
        <f>+IF(AND(BDAlquilerDepartamentos[[#This Row],[N° de Dorm.]]&gt; 3,BDAlquilerDepartamentos[[#This Row],[Prec. Soles]]&lt;= 2500),"Buena Oferta", "Precio Estadar")</f>
        <v>Precio Estadar</v>
      </c>
      <c r="Q711" t="s">
        <v>1101</v>
      </c>
      <c r="R711" t="s">
        <v>1102</v>
      </c>
      <c r="S711" s="11">
        <v>44969</v>
      </c>
      <c r="T711" t="s">
        <v>2821</v>
      </c>
      <c r="U711" t="s">
        <v>2121</v>
      </c>
    </row>
    <row r="712" spans="2:21" x14ac:dyDescent="0.3">
      <c r="B712" t="s">
        <v>1118</v>
      </c>
      <c r="C712" t="s">
        <v>2426</v>
      </c>
      <c r="D712" t="s">
        <v>2436</v>
      </c>
      <c r="E712" t="s">
        <v>2580</v>
      </c>
      <c r="F712" t="s">
        <v>2580</v>
      </c>
      <c r="G712" s="8">
        <v>7770</v>
      </c>
      <c r="H712" s="8">
        <f>+IF(BDAlquilerDepartamentos[[#This Row],[Ciudad]]="Lima",BDAlquilerDepartamentos[[#This Row],[Prec. Soles]]*0.1,BDAlquilerDepartamentos[[#This Row],[Prec. Soles]]*0.05)</f>
        <v>777</v>
      </c>
      <c r="I712" s="4">
        <v>3</v>
      </c>
      <c r="J712" s="4">
        <v>3</v>
      </c>
      <c r="K712" s="4" t="s">
        <v>3095</v>
      </c>
      <c r="L712" s="4" t="s">
        <v>3095</v>
      </c>
      <c r="M712" s="4">
        <v>190</v>
      </c>
      <c r="N712" s="4">
        <v>2003</v>
      </c>
      <c r="O712" s="4" t="str">
        <f>+IF(BDAlquilerDepartamentos[[#This Row],[Prec. Soles]]&gt;2500,"Caro","Economico")</f>
        <v>Caro</v>
      </c>
      <c r="P712" s="4" t="str">
        <f>+IF(AND(BDAlquilerDepartamentos[[#This Row],[N° de Dorm.]]&gt; 3,BDAlquilerDepartamentos[[#This Row],[Prec. Soles]]&lt;= 2500),"Buena Oferta", "Precio Estadar")</f>
        <v>Precio Estadar</v>
      </c>
      <c r="Q712" t="s">
        <v>1101</v>
      </c>
      <c r="R712" t="s">
        <v>1102</v>
      </c>
      <c r="S712" s="11">
        <v>44973</v>
      </c>
      <c r="T712" t="s">
        <v>2977</v>
      </c>
      <c r="U712" t="s">
        <v>2122</v>
      </c>
    </row>
    <row r="713" spans="2:21" x14ac:dyDescent="0.3">
      <c r="B713" t="s">
        <v>2123</v>
      </c>
      <c r="C713" t="s">
        <v>2731</v>
      </c>
      <c r="D713" t="s">
        <v>2580</v>
      </c>
      <c r="E713" t="s">
        <v>2580</v>
      </c>
      <c r="F713" t="s">
        <v>2580</v>
      </c>
      <c r="G713" s="8">
        <v>2250</v>
      </c>
      <c r="H713" s="8">
        <f>+IF(BDAlquilerDepartamentos[[#This Row],[Ciudad]]="Lima",BDAlquilerDepartamentos[[#This Row],[Prec. Soles]]*0.1,BDAlquilerDepartamentos[[#This Row],[Prec. Soles]]*0.05)</f>
        <v>225</v>
      </c>
      <c r="I713" s="4">
        <v>1</v>
      </c>
      <c r="J713" s="4">
        <v>2</v>
      </c>
      <c r="K713" s="4" t="s">
        <v>3096</v>
      </c>
      <c r="L713" s="4" t="s">
        <v>3096</v>
      </c>
      <c r="M713" s="4">
        <v>58</v>
      </c>
      <c r="N713" s="4">
        <v>2016</v>
      </c>
      <c r="O713" s="4" t="str">
        <f>+IF(BDAlquilerDepartamentos[[#This Row],[Prec. Soles]]&gt;2500,"Caro","Economico")</f>
        <v>Economico</v>
      </c>
      <c r="P713" s="4" t="str">
        <f>+IF(AND(BDAlquilerDepartamentos[[#This Row],[N° de Dorm.]]&gt; 3,BDAlquilerDepartamentos[[#This Row],[Prec. Soles]]&lt;= 2500),"Buena Oferta", "Precio Estadar")</f>
        <v>Precio Estadar</v>
      </c>
      <c r="Q713" t="s">
        <v>1101</v>
      </c>
      <c r="R713" t="s">
        <v>1102</v>
      </c>
      <c r="S713" s="11">
        <v>45434</v>
      </c>
      <c r="T713" t="s">
        <v>2873</v>
      </c>
      <c r="U713" t="s">
        <v>2124</v>
      </c>
    </row>
    <row r="714" spans="2:21" x14ac:dyDescent="0.3">
      <c r="B714" t="s">
        <v>2125</v>
      </c>
      <c r="C714" t="s">
        <v>2732</v>
      </c>
      <c r="D714" t="s">
        <v>2580</v>
      </c>
      <c r="E714" t="s">
        <v>2580</v>
      </c>
      <c r="F714" t="s">
        <v>2580</v>
      </c>
      <c r="G714" s="8">
        <v>2405</v>
      </c>
      <c r="H714" s="8">
        <f>+IF(BDAlquilerDepartamentos[[#This Row],[Ciudad]]="Lima",BDAlquilerDepartamentos[[#This Row],[Prec. Soles]]*0.1,BDAlquilerDepartamentos[[#This Row],[Prec. Soles]]*0.05)</f>
        <v>240.5</v>
      </c>
      <c r="I714" s="4">
        <v>3</v>
      </c>
      <c r="J714" s="4">
        <v>2</v>
      </c>
      <c r="K714" s="4" t="s">
        <v>3095</v>
      </c>
      <c r="L714" s="4" t="s">
        <v>3096</v>
      </c>
      <c r="M714" s="4">
        <v>165</v>
      </c>
      <c r="N714" s="4">
        <v>2012</v>
      </c>
      <c r="O714" s="4" t="str">
        <f>+IF(BDAlquilerDepartamentos[[#This Row],[Prec. Soles]]&gt;2500,"Caro","Economico")</f>
        <v>Economico</v>
      </c>
      <c r="P714" s="4" t="str">
        <f>+IF(AND(BDAlquilerDepartamentos[[#This Row],[N° de Dorm.]]&gt; 3,BDAlquilerDepartamentos[[#This Row],[Prec. Soles]]&lt;= 2500),"Buena Oferta", "Precio Estadar")</f>
        <v>Precio Estadar</v>
      </c>
      <c r="Q714" t="s">
        <v>1101</v>
      </c>
      <c r="R714" t="s">
        <v>1102</v>
      </c>
      <c r="S714" s="11">
        <v>45258</v>
      </c>
      <c r="T714" t="s">
        <v>2896</v>
      </c>
      <c r="U714" t="s">
        <v>2126</v>
      </c>
    </row>
    <row r="715" spans="2:21" x14ac:dyDescent="0.3">
      <c r="B715" t="s">
        <v>2128</v>
      </c>
      <c r="C715" t="s">
        <v>2502</v>
      </c>
      <c r="D715" t="s">
        <v>2422</v>
      </c>
      <c r="E715" t="s">
        <v>2580</v>
      </c>
      <c r="F715" t="s">
        <v>2580</v>
      </c>
      <c r="G715" s="8">
        <v>2405</v>
      </c>
      <c r="H715" s="8">
        <f>+IF(BDAlquilerDepartamentos[[#This Row],[Ciudad]]="Lima",BDAlquilerDepartamentos[[#This Row],[Prec. Soles]]*0.1,BDAlquilerDepartamentos[[#This Row],[Prec. Soles]]*0.05)</f>
        <v>240.5</v>
      </c>
      <c r="I715" s="4">
        <v>3</v>
      </c>
      <c r="J715" s="4">
        <v>2</v>
      </c>
      <c r="K715" s="4" t="s">
        <v>3095</v>
      </c>
      <c r="L715" s="4" t="s">
        <v>3096</v>
      </c>
      <c r="M715" s="4">
        <v>170</v>
      </c>
      <c r="N715" s="4">
        <v>2018</v>
      </c>
      <c r="O715" s="4" t="str">
        <f>+IF(BDAlquilerDepartamentos[[#This Row],[Prec. Soles]]&gt;2500,"Caro","Economico")</f>
        <v>Economico</v>
      </c>
      <c r="P715" s="4" t="str">
        <f>+IF(AND(BDAlquilerDepartamentos[[#This Row],[N° de Dorm.]]&gt; 3,BDAlquilerDepartamentos[[#This Row],[Prec. Soles]]&lt;= 2500),"Buena Oferta", "Precio Estadar")</f>
        <v>Precio Estadar</v>
      </c>
      <c r="Q715" t="s">
        <v>1101</v>
      </c>
      <c r="R715" t="s">
        <v>1102</v>
      </c>
      <c r="S715" s="11">
        <v>45406</v>
      </c>
      <c r="T715" t="s">
        <v>2896</v>
      </c>
      <c r="U715" t="s">
        <v>2129</v>
      </c>
    </row>
    <row r="716" spans="2:21" x14ac:dyDescent="0.3">
      <c r="B716" t="s">
        <v>1260</v>
      </c>
      <c r="C716" t="s">
        <v>2493</v>
      </c>
      <c r="D716" t="s">
        <v>2428</v>
      </c>
      <c r="E716" t="s">
        <v>2580</v>
      </c>
      <c r="F716" t="s">
        <v>2580</v>
      </c>
      <c r="G716" s="8">
        <v>4440</v>
      </c>
      <c r="H716" s="8">
        <f>+IF(BDAlquilerDepartamentos[[#This Row],[Ciudad]]="Lima",BDAlquilerDepartamentos[[#This Row],[Prec. Soles]]*0.1,BDAlquilerDepartamentos[[#This Row],[Prec. Soles]]*0.05)</f>
        <v>444</v>
      </c>
      <c r="I716" s="4">
        <v>4</v>
      </c>
      <c r="J716" s="4">
        <v>3</v>
      </c>
      <c r="K716" s="4" t="s">
        <v>3096</v>
      </c>
      <c r="L716" s="4" t="s">
        <v>3096</v>
      </c>
      <c r="M716" s="4">
        <v>156</v>
      </c>
      <c r="N716" s="4">
        <v>2005</v>
      </c>
      <c r="O716" s="4" t="str">
        <f>+IF(BDAlquilerDepartamentos[[#This Row],[Prec. Soles]]&gt;2500,"Caro","Economico")</f>
        <v>Caro</v>
      </c>
      <c r="P716" s="4" t="str">
        <f>+IF(AND(BDAlquilerDepartamentos[[#This Row],[N° de Dorm.]]&gt; 3,BDAlquilerDepartamentos[[#This Row],[Prec. Soles]]&lt;= 2500),"Buena Oferta", "Precio Estadar")</f>
        <v>Precio Estadar</v>
      </c>
      <c r="Q716" t="s">
        <v>1101</v>
      </c>
      <c r="R716" t="s">
        <v>1102</v>
      </c>
      <c r="S716" s="11">
        <v>45086</v>
      </c>
      <c r="T716" t="s">
        <v>2903</v>
      </c>
      <c r="U716" t="s">
        <v>2130</v>
      </c>
    </row>
    <row r="717" spans="2:21" x14ac:dyDescent="0.3">
      <c r="B717" t="s">
        <v>1210</v>
      </c>
      <c r="C717" t="s">
        <v>2476</v>
      </c>
      <c r="D717" t="s">
        <v>2436</v>
      </c>
      <c r="E717" t="s">
        <v>2580</v>
      </c>
      <c r="F717" t="s">
        <v>2580</v>
      </c>
      <c r="G717" s="8">
        <v>8140</v>
      </c>
      <c r="H717" s="8">
        <f>+IF(BDAlquilerDepartamentos[[#This Row],[Ciudad]]="Lima",BDAlquilerDepartamentos[[#This Row],[Prec. Soles]]*0.1,BDAlquilerDepartamentos[[#This Row],[Prec. Soles]]*0.05)</f>
        <v>814</v>
      </c>
      <c r="I717" s="4">
        <v>3</v>
      </c>
      <c r="J717" s="4">
        <v>2</v>
      </c>
      <c r="K717" s="4" t="s">
        <v>3095</v>
      </c>
      <c r="L717" s="4" t="s">
        <v>3096</v>
      </c>
      <c r="M717" s="4">
        <v>200</v>
      </c>
      <c r="N717" s="4">
        <v>2013</v>
      </c>
      <c r="O717" s="4" t="str">
        <f>+IF(BDAlquilerDepartamentos[[#This Row],[Prec. Soles]]&gt;2500,"Caro","Economico")</f>
        <v>Caro</v>
      </c>
      <c r="P717" s="4" t="str">
        <f>+IF(AND(BDAlquilerDepartamentos[[#This Row],[N° de Dorm.]]&gt; 3,BDAlquilerDepartamentos[[#This Row],[Prec. Soles]]&lt;= 2500),"Buena Oferta", "Precio Estadar")</f>
        <v>Precio Estadar</v>
      </c>
      <c r="Q717" t="s">
        <v>1101</v>
      </c>
      <c r="R717" t="s">
        <v>1102</v>
      </c>
      <c r="S717" s="11">
        <v>45499</v>
      </c>
      <c r="T717" t="s">
        <v>2833</v>
      </c>
      <c r="U717" t="s">
        <v>2131</v>
      </c>
    </row>
    <row r="718" spans="2:21" x14ac:dyDescent="0.3">
      <c r="B718" t="s">
        <v>2132</v>
      </c>
      <c r="C718" t="s">
        <v>2733</v>
      </c>
      <c r="D718" t="s">
        <v>2436</v>
      </c>
      <c r="E718" t="s">
        <v>2580</v>
      </c>
      <c r="F718" t="s">
        <v>2580</v>
      </c>
      <c r="G718" s="8">
        <v>4000</v>
      </c>
      <c r="H718" s="8">
        <f>+IF(BDAlquilerDepartamentos[[#This Row],[Ciudad]]="Lima",BDAlquilerDepartamentos[[#This Row],[Prec. Soles]]*0.1,BDAlquilerDepartamentos[[#This Row],[Prec. Soles]]*0.05)</f>
        <v>400</v>
      </c>
      <c r="I718" s="4">
        <v>3</v>
      </c>
      <c r="J718" s="4">
        <v>2</v>
      </c>
      <c r="K718" s="4" t="s">
        <v>3096</v>
      </c>
      <c r="L718" s="4" t="s">
        <v>3095</v>
      </c>
      <c r="M718" s="4">
        <v>121</v>
      </c>
      <c r="N718" s="4">
        <v>2018</v>
      </c>
      <c r="O718" s="4" t="str">
        <f>+IF(BDAlquilerDepartamentos[[#This Row],[Prec. Soles]]&gt;2500,"Caro","Economico")</f>
        <v>Caro</v>
      </c>
      <c r="P718" s="4" t="str">
        <f>+IF(AND(BDAlquilerDepartamentos[[#This Row],[N° de Dorm.]]&gt; 3,BDAlquilerDepartamentos[[#This Row],[Prec. Soles]]&lt;= 2500),"Buena Oferta", "Precio Estadar")</f>
        <v>Precio Estadar</v>
      </c>
      <c r="Q718" t="s">
        <v>1101</v>
      </c>
      <c r="R718" t="s">
        <v>1102</v>
      </c>
      <c r="S718" s="11">
        <v>45161</v>
      </c>
      <c r="T718" t="s">
        <v>2917</v>
      </c>
      <c r="U718" t="s">
        <v>2133</v>
      </c>
    </row>
    <row r="719" spans="2:21" x14ac:dyDescent="0.3">
      <c r="B719" t="s">
        <v>1981</v>
      </c>
      <c r="C719" t="s">
        <v>2700</v>
      </c>
      <c r="D719" t="s">
        <v>2580</v>
      </c>
      <c r="E719" t="s">
        <v>2580</v>
      </c>
      <c r="F719" t="s">
        <v>2580</v>
      </c>
      <c r="G719" s="8">
        <v>1200</v>
      </c>
      <c r="H719" s="8">
        <f>+IF(BDAlquilerDepartamentos[[#This Row],[Ciudad]]="Lima",BDAlquilerDepartamentos[[#This Row],[Prec. Soles]]*0.1,BDAlquilerDepartamentos[[#This Row],[Prec. Soles]]*0.05)</f>
        <v>120</v>
      </c>
      <c r="I719" s="4">
        <v>1</v>
      </c>
      <c r="J719" s="4">
        <v>1</v>
      </c>
      <c r="K719" s="4" t="s">
        <v>3096</v>
      </c>
      <c r="L719" s="4" t="s">
        <v>3096</v>
      </c>
      <c r="M719" s="4">
        <v>30</v>
      </c>
      <c r="N719" s="4">
        <v>2016</v>
      </c>
      <c r="O719" s="4" t="str">
        <f>+IF(BDAlquilerDepartamentos[[#This Row],[Prec. Soles]]&gt;2500,"Caro","Economico")</f>
        <v>Economico</v>
      </c>
      <c r="P719" s="4" t="str">
        <f>+IF(AND(BDAlquilerDepartamentos[[#This Row],[N° de Dorm.]]&gt; 3,BDAlquilerDepartamentos[[#This Row],[Prec. Soles]]&lt;= 2500),"Buena Oferta", "Precio Estadar")</f>
        <v>Precio Estadar</v>
      </c>
      <c r="Q719" t="s">
        <v>1101</v>
      </c>
      <c r="R719" t="s">
        <v>1102</v>
      </c>
      <c r="S719" s="11">
        <v>45580</v>
      </c>
      <c r="T719" t="s">
        <v>2841</v>
      </c>
      <c r="U719" t="s">
        <v>2134</v>
      </c>
    </row>
    <row r="720" spans="2:21" x14ac:dyDescent="0.3">
      <c r="B720" t="s">
        <v>1135</v>
      </c>
      <c r="C720" t="s">
        <v>2438</v>
      </c>
      <c r="D720" t="s">
        <v>2428</v>
      </c>
      <c r="E720" t="s">
        <v>2580</v>
      </c>
      <c r="F720" t="s">
        <v>2580</v>
      </c>
      <c r="G720" s="8">
        <v>4070</v>
      </c>
      <c r="H720" s="8">
        <f>+IF(BDAlquilerDepartamentos[[#This Row],[Ciudad]]="Lima",BDAlquilerDepartamentos[[#This Row],[Prec. Soles]]*0.1,BDAlquilerDepartamentos[[#This Row],[Prec. Soles]]*0.05)</f>
        <v>407</v>
      </c>
      <c r="I720" s="4">
        <v>3</v>
      </c>
      <c r="J720" s="4">
        <v>2</v>
      </c>
      <c r="K720" s="4" t="s">
        <v>3095</v>
      </c>
      <c r="L720" s="4" t="s">
        <v>3095</v>
      </c>
      <c r="M720" s="4">
        <v>124</v>
      </c>
      <c r="N720" s="4">
        <v>2007</v>
      </c>
      <c r="O720" s="4" t="str">
        <f>+IF(BDAlquilerDepartamentos[[#This Row],[Prec. Soles]]&gt;2500,"Caro","Economico")</f>
        <v>Caro</v>
      </c>
      <c r="P720" s="4" t="str">
        <f>+IF(AND(BDAlquilerDepartamentos[[#This Row],[N° de Dorm.]]&gt; 3,BDAlquilerDepartamentos[[#This Row],[Prec. Soles]]&lt;= 2500),"Buena Oferta", "Precio Estadar")</f>
        <v>Precio Estadar</v>
      </c>
      <c r="Q720" t="s">
        <v>1101</v>
      </c>
      <c r="R720" t="s">
        <v>1102</v>
      </c>
      <c r="S720" s="11">
        <v>44977</v>
      </c>
      <c r="T720" t="s">
        <v>2819</v>
      </c>
      <c r="U720" t="s">
        <v>2135</v>
      </c>
    </row>
    <row r="721" spans="2:21" x14ac:dyDescent="0.3">
      <c r="B721" t="s">
        <v>1106</v>
      </c>
      <c r="C721" t="s">
        <v>2417</v>
      </c>
      <c r="D721" t="s">
        <v>2436</v>
      </c>
      <c r="E721" t="s">
        <v>2580</v>
      </c>
      <c r="F721" t="s">
        <v>2580</v>
      </c>
      <c r="G721" s="8">
        <v>2960</v>
      </c>
      <c r="H721" s="8">
        <f>+IF(BDAlquilerDepartamentos[[#This Row],[Ciudad]]="Lima",BDAlquilerDepartamentos[[#This Row],[Prec. Soles]]*0.1,BDAlquilerDepartamentos[[#This Row],[Prec. Soles]]*0.05)</f>
        <v>296</v>
      </c>
      <c r="I721" s="4">
        <v>3</v>
      </c>
      <c r="J721" s="4">
        <v>3</v>
      </c>
      <c r="K721" s="4" t="s">
        <v>3096</v>
      </c>
      <c r="L721" s="4" t="s">
        <v>3096</v>
      </c>
      <c r="M721" s="4">
        <v>86</v>
      </c>
      <c r="N721" s="4">
        <v>2008</v>
      </c>
      <c r="O721" s="4" t="str">
        <f>+IF(BDAlquilerDepartamentos[[#This Row],[Prec. Soles]]&gt;2500,"Caro","Economico")</f>
        <v>Caro</v>
      </c>
      <c r="P721" s="4" t="str">
        <f>+IF(AND(BDAlquilerDepartamentos[[#This Row],[N° de Dorm.]]&gt; 3,BDAlquilerDepartamentos[[#This Row],[Prec. Soles]]&lt;= 2500),"Buena Oferta", "Precio Estadar")</f>
        <v>Precio Estadar</v>
      </c>
      <c r="Q721" t="s">
        <v>1101</v>
      </c>
      <c r="R721" t="s">
        <v>1102</v>
      </c>
      <c r="S721" s="11">
        <v>45490</v>
      </c>
      <c r="T721" t="s">
        <v>2833</v>
      </c>
      <c r="U721" t="s">
        <v>2136</v>
      </c>
    </row>
    <row r="722" spans="2:21" x14ac:dyDescent="0.3">
      <c r="B722" t="s">
        <v>2137</v>
      </c>
      <c r="C722" t="s">
        <v>2734</v>
      </c>
      <c r="D722" t="s">
        <v>2428</v>
      </c>
      <c r="E722" t="s">
        <v>2580</v>
      </c>
      <c r="F722" t="s">
        <v>2580</v>
      </c>
      <c r="G722" s="8">
        <v>5550</v>
      </c>
      <c r="H722" s="8">
        <f>+IF(BDAlquilerDepartamentos[[#This Row],[Ciudad]]="Lima",BDAlquilerDepartamentos[[#This Row],[Prec. Soles]]*0.1,BDAlquilerDepartamentos[[#This Row],[Prec. Soles]]*0.05)</f>
        <v>555</v>
      </c>
      <c r="I722" s="4">
        <v>3</v>
      </c>
      <c r="J722" s="4">
        <v>3</v>
      </c>
      <c r="K722" s="4" t="s">
        <v>3096</v>
      </c>
      <c r="L722" s="4" t="s">
        <v>3096</v>
      </c>
      <c r="M722" s="4">
        <v>120</v>
      </c>
      <c r="N722" s="4">
        <v>2018</v>
      </c>
      <c r="O722" s="4" t="str">
        <f>+IF(BDAlquilerDepartamentos[[#This Row],[Prec. Soles]]&gt;2500,"Caro","Economico")</f>
        <v>Caro</v>
      </c>
      <c r="P722" s="4" t="str">
        <f>+IF(AND(BDAlquilerDepartamentos[[#This Row],[N° de Dorm.]]&gt; 3,BDAlquilerDepartamentos[[#This Row],[Prec. Soles]]&lt;= 2500),"Buena Oferta", "Precio Estadar")</f>
        <v>Precio Estadar</v>
      </c>
      <c r="Q722" t="s">
        <v>1101</v>
      </c>
      <c r="R722" t="s">
        <v>1102</v>
      </c>
      <c r="S722" s="11">
        <v>45355</v>
      </c>
      <c r="T722" t="s">
        <v>3089</v>
      </c>
      <c r="U722" t="s">
        <v>2138</v>
      </c>
    </row>
    <row r="723" spans="2:21" x14ac:dyDescent="0.3">
      <c r="B723" t="s">
        <v>1150</v>
      </c>
      <c r="C723" t="s">
        <v>2445</v>
      </c>
      <c r="D723" t="s">
        <v>2436</v>
      </c>
      <c r="E723" t="s">
        <v>2580</v>
      </c>
      <c r="F723" t="s">
        <v>2580</v>
      </c>
      <c r="G723" s="8">
        <v>2775</v>
      </c>
      <c r="H723" s="8">
        <f>+IF(BDAlquilerDepartamentos[[#This Row],[Ciudad]]="Lima",BDAlquilerDepartamentos[[#This Row],[Prec. Soles]]*0.1,BDAlquilerDepartamentos[[#This Row],[Prec. Soles]]*0.05)</f>
        <v>277.5</v>
      </c>
      <c r="I723" s="4">
        <v>1</v>
      </c>
      <c r="J723" s="4">
        <v>1</v>
      </c>
      <c r="K723" s="4" t="s">
        <v>3096</v>
      </c>
      <c r="L723" s="4" t="s">
        <v>3096</v>
      </c>
      <c r="M723" s="4">
        <v>70</v>
      </c>
      <c r="N723" s="4">
        <v>2011</v>
      </c>
      <c r="O723" s="4" t="str">
        <f>+IF(BDAlquilerDepartamentos[[#This Row],[Prec. Soles]]&gt;2500,"Caro","Economico")</f>
        <v>Caro</v>
      </c>
      <c r="P723" s="4" t="str">
        <f>+IF(AND(BDAlquilerDepartamentos[[#This Row],[N° de Dorm.]]&gt; 3,BDAlquilerDepartamentos[[#This Row],[Prec. Soles]]&lt;= 2500),"Buena Oferta", "Precio Estadar")</f>
        <v>Precio Estadar</v>
      </c>
      <c r="Q723" t="s">
        <v>1101</v>
      </c>
      <c r="R723" t="s">
        <v>1102</v>
      </c>
      <c r="S723" s="11">
        <v>45451</v>
      </c>
      <c r="T723" t="s">
        <v>2861</v>
      </c>
      <c r="U723" t="s">
        <v>2139</v>
      </c>
    </row>
    <row r="724" spans="2:21" x14ac:dyDescent="0.3">
      <c r="B724" t="s">
        <v>1435</v>
      </c>
      <c r="C724" t="s">
        <v>2557</v>
      </c>
      <c r="D724" t="s">
        <v>2580</v>
      </c>
      <c r="E724" t="s">
        <v>2580</v>
      </c>
      <c r="F724" t="s">
        <v>2580</v>
      </c>
      <c r="G724" s="8">
        <v>3145</v>
      </c>
      <c r="H724" s="8">
        <f>+IF(BDAlquilerDepartamentos[[#This Row],[Ciudad]]="Lima",BDAlquilerDepartamentos[[#This Row],[Prec. Soles]]*0.1,BDAlquilerDepartamentos[[#This Row],[Prec. Soles]]*0.05)</f>
        <v>314.5</v>
      </c>
      <c r="I724" s="4">
        <v>2</v>
      </c>
      <c r="J724" s="4">
        <v>2</v>
      </c>
      <c r="K724" s="4" t="s">
        <v>3095</v>
      </c>
      <c r="L724" s="4" t="s">
        <v>3095</v>
      </c>
      <c r="M724" s="4">
        <v>75</v>
      </c>
      <c r="N724" s="4">
        <v>2015</v>
      </c>
      <c r="O724" s="4" t="str">
        <f>+IF(BDAlquilerDepartamentos[[#This Row],[Prec. Soles]]&gt;2500,"Caro","Economico")</f>
        <v>Caro</v>
      </c>
      <c r="P724" s="4" t="str">
        <f>+IF(AND(BDAlquilerDepartamentos[[#This Row],[N° de Dorm.]]&gt; 3,BDAlquilerDepartamentos[[#This Row],[Prec. Soles]]&lt;= 2500),"Buena Oferta", "Precio Estadar")</f>
        <v>Precio Estadar</v>
      </c>
      <c r="Q724" t="s">
        <v>1101</v>
      </c>
      <c r="R724" t="s">
        <v>1102</v>
      </c>
      <c r="S724" s="11">
        <v>45496</v>
      </c>
      <c r="T724" t="s">
        <v>2897</v>
      </c>
      <c r="U724" t="s">
        <v>2140</v>
      </c>
    </row>
    <row r="725" spans="2:21" x14ac:dyDescent="0.3">
      <c r="B725" t="s">
        <v>2141</v>
      </c>
      <c r="C725" t="s">
        <v>2584</v>
      </c>
      <c r="D725" t="s">
        <v>2580</v>
      </c>
      <c r="E725" t="s">
        <v>2580</v>
      </c>
      <c r="F725" t="s">
        <v>2580</v>
      </c>
      <c r="G725" s="8">
        <v>1200</v>
      </c>
      <c r="H725" s="8">
        <f>+IF(BDAlquilerDepartamentos[[#This Row],[Ciudad]]="Lima",BDAlquilerDepartamentos[[#This Row],[Prec. Soles]]*0.1,BDAlquilerDepartamentos[[#This Row],[Prec. Soles]]*0.05)</f>
        <v>120</v>
      </c>
      <c r="I725" s="4">
        <v>3</v>
      </c>
      <c r="J725" s="4">
        <v>1</v>
      </c>
      <c r="K725" s="4" t="s">
        <v>3096</v>
      </c>
      <c r="L725" s="4" t="s">
        <v>3096</v>
      </c>
      <c r="M725" s="4">
        <v>150</v>
      </c>
      <c r="N725" s="4">
        <v>2018</v>
      </c>
      <c r="O725" s="4" t="str">
        <f>+IF(BDAlquilerDepartamentos[[#This Row],[Prec. Soles]]&gt;2500,"Caro","Economico")</f>
        <v>Economico</v>
      </c>
      <c r="P725" s="4" t="str">
        <f>+IF(AND(BDAlquilerDepartamentos[[#This Row],[N° de Dorm.]]&gt; 3,BDAlquilerDepartamentos[[#This Row],[Prec. Soles]]&lt;= 2500),"Buena Oferta", "Precio Estadar")</f>
        <v>Precio Estadar</v>
      </c>
      <c r="Q725" t="s">
        <v>1113</v>
      </c>
      <c r="R725" t="s">
        <v>1102</v>
      </c>
      <c r="S725" s="11">
        <v>45559</v>
      </c>
      <c r="T725" t="s">
        <v>2845</v>
      </c>
      <c r="U725" t="s">
        <v>2142</v>
      </c>
    </row>
    <row r="726" spans="2:21" x14ac:dyDescent="0.3">
      <c r="B726" t="s">
        <v>2143</v>
      </c>
      <c r="C726" t="s">
        <v>2735</v>
      </c>
      <c r="D726" t="s">
        <v>2580</v>
      </c>
      <c r="E726" t="s">
        <v>2580</v>
      </c>
      <c r="F726" t="s">
        <v>2580</v>
      </c>
      <c r="G726" s="8">
        <v>2220</v>
      </c>
      <c r="H726" s="8">
        <f>+IF(BDAlquilerDepartamentos[[#This Row],[Ciudad]]="Lima",BDAlquilerDepartamentos[[#This Row],[Prec. Soles]]*0.1,BDAlquilerDepartamentos[[#This Row],[Prec. Soles]]*0.05)</f>
        <v>222</v>
      </c>
      <c r="I726" s="4">
        <v>1</v>
      </c>
      <c r="J726" s="4">
        <v>1</v>
      </c>
      <c r="K726" s="4" t="s">
        <v>3096</v>
      </c>
      <c r="L726" s="4" t="s">
        <v>3096</v>
      </c>
      <c r="M726" s="4">
        <v>60</v>
      </c>
      <c r="N726" s="4">
        <v>2009</v>
      </c>
      <c r="O726" s="4" t="str">
        <f>+IF(BDAlquilerDepartamentos[[#This Row],[Prec. Soles]]&gt;2500,"Caro","Economico")</f>
        <v>Economico</v>
      </c>
      <c r="P726" s="4" t="str">
        <f>+IF(AND(BDAlquilerDepartamentos[[#This Row],[N° de Dorm.]]&gt; 3,BDAlquilerDepartamentos[[#This Row],[Prec. Soles]]&lt;= 2500),"Buena Oferta", "Precio Estadar")</f>
        <v>Precio Estadar</v>
      </c>
      <c r="Q726" t="s">
        <v>1101</v>
      </c>
      <c r="R726" t="s">
        <v>1102</v>
      </c>
      <c r="S726" s="11">
        <v>45643</v>
      </c>
      <c r="T726" t="s">
        <v>2881</v>
      </c>
      <c r="U726" t="s">
        <v>2144</v>
      </c>
    </row>
    <row r="727" spans="2:21" x14ac:dyDescent="0.3">
      <c r="B727" t="s">
        <v>1189</v>
      </c>
      <c r="C727" t="s">
        <v>2465</v>
      </c>
      <c r="D727" t="s">
        <v>2418</v>
      </c>
      <c r="E727" t="s">
        <v>2580</v>
      </c>
      <c r="F727" t="s">
        <v>2580</v>
      </c>
      <c r="G727" s="8">
        <v>4440</v>
      </c>
      <c r="H727" s="8">
        <f>+IF(BDAlquilerDepartamentos[[#This Row],[Ciudad]]="Lima",BDAlquilerDepartamentos[[#This Row],[Prec. Soles]]*0.1,BDAlquilerDepartamentos[[#This Row],[Prec. Soles]]*0.05)</f>
        <v>444</v>
      </c>
      <c r="I727" s="4">
        <v>3</v>
      </c>
      <c r="J727" s="4">
        <v>3</v>
      </c>
      <c r="K727" s="4" t="s">
        <v>3095</v>
      </c>
      <c r="L727" s="4" t="s">
        <v>3095</v>
      </c>
      <c r="M727" s="4">
        <v>110</v>
      </c>
      <c r="N727" s="4">
        <v>2011</v>
      </c>
      <c r="O727" s="4" t="str">
        <f>+IF(BDAlquilerDepartamentos[[#This Row],[Prec. Soles]]&gt;2500,"Caro","Economico")</f>
        <v>Caro</v>
      </c>
      <c r="P727" s="4" t="str">
        <f>+IF(AND(BDAlquilerDepartamentos[[#This Row],[N° de Dorm.]]&gt; 3,BDAlquilerDepartamentos[[#This Row],[Prec. Soles]]&lt;= 2500),"Buena Oferta", "Precio Estadar")</f>
        <v>Precio Estadar</v>
      </c>
      <c r="Q727" t="s">
        <v>1101</v>
      </c>
      <c r="R727" t="s">
        <v>1102</v>
      </c>
      <c r="S727" s="11">
        <v>45235</v>
      </c>
      <c r="T727" t="s">
        <v>2881</v>
      </c>
      <c r="U727" t="s">
        <v>2145</v>
      </c>
    </row>
    <row r="728" spans="2:21" x14ac:dyDescent="0.3">
      <c r="B728" t="s">
        <v>3102</v>
      </c>
      <c r="C728" t="s">
        <v>2580</v>
      </c>
      <c r="D728" t="s">
        <v>2580</v>
      </c>
      <c r="E728" t="s">
        <v>2580</v>
      </c>
      <c r="F728" t="s">
        <v>2580</v>
      </c>
      <c r="G728" s="8">
        <v>6660</v>
      </c>
      <c r="H728" s="8">
        <f>+IF(BDAlquilerDepartamentos[[#This Row],[Ciudad]]="Lima",BDAlquilerDepartamentos[[#This Row],[Prec. Soles]]*0.1,BDAlquilerDepartamentos[[#This Row],[Prec. Soles]]*0.05)</f>
        <v>666</v>
      </c>
      <c r="I728" s="4">
        <v>3</v>
      </c>
      <c r="J728" s="4">
        <v>3</v>
      </c>
      <c r="K728" s="4" t="s">
        <v>3095</v>
      </c>
      <c r="L728" s="4" t="s">
        <v>3095</v>
      </c>
      <c r="M728" s="4">
        <v>114</v>
      </c>
      <c r="N728" s="4">
        <v>2015</v>
      </c>
      <c r="O728" s="4" t="str">
        <f>+IF(BDAlquilerDepartamentos[[#This Row],[Prec. Soles]]&gt;2500,"Caro","Economico")</f>
        <v>Caro</v>
      </c>
      <c r="P728" s="4" t="str">
        <f>+IF(AND(BDAlquilerDepartamentos[[#This Row],[N° de Dorm.]]&gt; 3,BDAlquilerDepartamentos[[#This Row],[Prec. Soles]]&lt;= 2500),"Buena Oferta", "Precio Estadar")</f>
        <v>Precio Estadar</v>
      </c>
      <c r="Q728" t="s">
        <v>1101</v>
      </c>
      <c r="R728" t="s">
        <v>1102</v>
      </c>
      <c r="S728" s="11">
        <v>45570</v>
      </c>
      <c r="T728" t="s">
        <v>2833</v>
      </c>
      <c r="U728" t="s">
        <v>2146</v>
      </c>
    </row>
    <row r="729" spans="2:21" x14ac:dyDescent="0.3">
      <c r="B729" t="s">
        <v>1237</v>
      </c>
      <c r="C729" t="s">
        <v>2488</v>
      </c>
      <c r="D729" t="s">
        <v>2580</v>
      </c>
      <c r="E729" t="s">
        <v>2580</v>
      </c>
      <c r="F729" t="s">
        <v>2580</v>
      </c>
      <c r="G729" s="8">
        <v>4070</v>
      </c>
      <c r="H729" s="8">
        <f>+IF(BDAlquilerDepartamentos[[#This Row],[Ciudad]]="Lima",BDAlquilerDepartamentos[[#This Row],[Prec. Soles]]*0.1,BDAlquilerDepartamentos[[#This Row],[Prec. Soles]]*0.05)</f>
        <v>407</v>
      </c>
      <c r="I729" s="4">
        <v>2</v>
      </c>
      <c r="J729" s="4">
        <v>3</v>
      </c>
      <c r="K729" s="4" t="s">
        <v>3096</v>
      </c>
      <c r="L729" s="4" t="s">
        <v>3096</v>
      </c>
      <c r="M729" s="4">
        <v>130</v>
      </c>
      <c r="N729" s="4">
        <v>2014</v>
      </c>
      <c r="O729" s="4" t="str">
        <f>+IF(BDAlquilerDepartamentos[[#This Row],[Prec. Soles]]&gt;2500,"Caro","Economico")</f>
        <v>Caro</v>
      </c>
      <c r="P729" s="4" t="str">
        <f>+IF(AND(BDAlquilerDepartamentos[[#This Row],[N° de Dorm.]]&gt; 3,BDAlquilerDepartamentos[[#This Row],[Prec. Soles]]&lt;= 2500),"Buena Oferta", "Precio Estadar")</f>
        <v>Precio Estadar</v>
      </c>
      <c r="Q729" t="s">
        <v>1101</v>
      </c>
      <c r="R729" t="s">
        <v>1102</v>
      </c>
      <c r="S729" s="11">
        <v>45421</v>
      </c>
      <c r="T729" t="s">
        <v>3041</v>
      </c>
      <c r="U729" t="s">
        <v>2147</v>
      </c>
    </row>
    <row r="730" spans="2:21" x14ac:dyDescent="0.3">
      <c r="B730" t="s">
        <v>1122</v>
      </c>
      <c r="C730" t="s">
        <v>2429</v>
      </c>
      <c r="D730" t="s">
        <v>3121</v>
      </c>
      <c r="E730" t="s">
        <v>2580</v>
      </c>
      <c r="F730" t="s">
        <v>2580</v>
      </c>
      <c r="G730" s="8">
        <v>2405</v>
      </c>
      <c r="H730" s="8">
        <f>+IF(BDAlquilerDepartamentos[[#This Row],[Ciudad]]="Lima",BDAlquilerDepartamentos[[#This Row],[Prec. Soles]]*0.1,BDAlquilerDepartamentos[[#This Row],[Prec. Soles]]*0.05)</f>
        <v>240.5</v>
      </c>
      <c r="I730" s="4">
        <v>1</v>
      </c>
      <c r="J730" s="4">
        <v>1</v>
      </c>
      <c r="K730" s="4" t="s">
        <v>3096</v>
      </c>
      <c r="L730" s="4" t="s">
        <v>3096</v>
      </c>
      <c r="M730" s="4">
        <v>57</v>
      </c>
      <c r="N730" s="4">
        <v>2005</v>
      </c>
      <c r="O730" s="4" t="str">
        <f>+IF(BDAlquilerDepartamentos[[#This Row],[Prec. Soles]]&gt;2500,"Caro","Economico")</f>
        <v>Economico</v>
      </c>
      <c r="P730" s="4" t="str">
        <f>+IF(AND(BDAlquilerDepartamentos[[#This Row],[N° de Dorm.]]&gt; 3,BDAlquilerDepartamentos[[#This Row],[Prec. Soles]]&lt;= 2500),"Buena Oferta", "Precio Estadar")</f>
        <v>Precio Estadar</v>
      </c>
      <c r="Q730" t="s">
        <v>1101</v>
      </c>
      <c r="R730" t="s">
        <v>1102</v>
      </c>
      <c r="S730" s="11">
        <v>45028</v>
      </c>
      <c r="T730" t="s">
        <v>3042</v>
      </c>
      <c r="U730" t="s">
        <v>2148</v>
      </c>
    </row>
    <row r="731" spans="2:21" x14ac:dyDescent="0.3">
      <c r="B731" t="s">
        <v>3161</v>
      </c>
      <c r="C731" t="s">
        <v>3162</v>
      </c>
      <c r="D731" t="s">
        <v>2580</v>
      </c>
      <c r="E731" t="s">
        <v>2580</v>
      </c>
      <c r="F731" t="s">
        <v>2580</v>
      </c>
      <c r="G731" s="8">
        <v>8325</v>
      </c>
      <c r="H731" s="8">
        <f>+IF(BDAlquilerDepartamentos[[#This Row],[Ciudad]]="Lima",BDAlquilerDepartamentos[[#This Row],[Prec. Soles]]*0.1,BDAlquilerDepartamentos[[#This Row],[Prec. Soles]]*0.05)</f>
        <v>832.5</v>
      </c>
      <c r="I731" s="4">
        <v>3</v>
      </c>
      <c r="J731" s="4">
        <v>2</v>
      </c>
      <c r="K731" s="4" t="s">
        <v>3095</v>
      </c>
      <c r="L731" s="4" t="s">
        <v>3096</v>
      </c>
      <c r="M731" s="4">
        <v>312</v>
      </c>
      <c r="N731" s="4">
        <v>2005</v>
      </c>
      <c r="O731" s="4" t="str">
        <f>+IF(BDAlquilerDepartamentos[[#This Row],[Prec. Soles]]&gt;2500,"Caro","Economico")</f>
        <v>Caro</v>
      </c>
      <c r="P731" s="4" t="str">
        <f>+IF(AND(BDAlquilerDepartamentos[[#This Row],[N° de Dorm.]]&gt; 3,BDAlquilerDepartamentos[[#This Row],[Prec. Soles]]&lt;= 2500),"Buena Oferta", "Precio Estadar")</f>
        <v>Precio Estadar</v>
      </c>
      <c r="Q731" t="s">
        <v>1113</v>
      </c>
      <c r="R731" t="s">
        <v>1102</v>
      </c>
      <c r="S731" s="11">
        <v>45402</v>
      </c>
      <c r="T731" t="s">
        <v>3036</v>
      </c>
      <c r="U731" t="s">
        <v>2149</v>
      </c>
    </row>
    <row r="732" spans="2:21" x14ac:dyDescent="0.3">
      <c r="B732" t="s">
        <v>2150</v>
      </c>
      <c r="C732" t="s">
        <v>2592</v>
      </c>
      <c r="D732" t="s">
        <v>3117</v>
      </c>
      <c r="E732" t="s">
        <v>2580</v>
      </c>
      <c r="F732" t="s">
        <v>2580</v>
      </c>
      <c r="G732" s="8">
        <v>11000</v>
      </c>
      <c r="H732" s="8">
        <f>+IF(BDAlquilerDepartamentos[[#This Row],[Ciudad]]="Lima",BDAlquilerDepartamentos[[#This Row],[Prec. Soles]]*0.1,BDAlquilerDepartamentos[[#This Row],[Prec. Soles]]*0.05)</f>
        <v>1100</v>
      </c>
      <c r="I732" s="4">
        <v>10</v>
      </c>
      <c r="J732" s="4">
        <v>10</v>
      </c>
      <c r="K732" s="4" t="s">
        <v>3096</v>
      </c>
      <c r="L732" s="4" t="s">
        <v>3095</v>
      </c>
      <c r="M732" s="4">
        <v>165</v>
      </c>
      <c r="N732" s="4">
        <v>2010</v>
      </c>
      <c r="O732" s="4" t="str">
        <f>+IF(BDAlquilerDepartamentos[[#This Row],[Prec. Soles]]&gt;2500,"Caro","Economico")</f>
        <v>Caro</v>
      </c>
      <c r="P732" s="4" t="str">
        <f>+IF(AND(BDAlquilerDepartamentos[[#This Row],[N° de Dorm.]]&gt; 3,BDAlquilerDepartamentos[[#This Row],[Prec. Soles]]&lt;= 2500),"Buena Oferta", "Precio Estadar")</f>
        <v>Precio Estadar</v>
      </c>
      <c r="Q732" t="s">
        <v>1113</v>
      </c>
      <c r="R732" t="s">
        <v>1102</v>
      </c>
      <c r="S732" s="11">
        <v>45579</v>
      </c>
      <c r="T732" t="s">
        <v>2843</v>
      </c>
      <c r="U732" t="s">
        <v>2151</v>
      </c>
    </row>
    <row r="733" spans="2:21" x14ac:dyDescent="0.3">
      <c r="B733" t="s">
        <v>1499</v>
      </c>
      <c r="C733" t="s">
        <v>2466</v>
      </c>
      <c r="D733" t="s">
        <v>2436</v>
      </c>
      <c r="E733" t="s">
        <v>2580</v>
      </c>
      <c r="F733" t="s">
        <v>2580</v>
      </c>
      <c r="G733" s="8">
        <v>11100</v>
      </c>
      <c r="H733" s="8">
        <f>+IF(BDAlquilerDepartamentos[[#This Row],[Ciudad]]="Lima",BDAlquilerDepartamentos[[#This Row],[Prec. Soles]]*0.1,BDAlquilerDepartamentos[[#This Row],[Prec. Soles]]*0.05)</f>
        <v>1110</v>
      </c>
      <c r="I733" s="4">
        <v>10</v>
      </c>
      <c r="J733" s="4">
        <v>10</v>
      </c>
      <c r="K733" s="4" t="s">
        <v>3095</v>
      </c>
      <c r="L733" s="4" t="s">
        <v>3096</v>
      </c>
      <c r="M733" s="4">
        <v>250</v>
      </c>
      <c r="N733" s="4">
        <v>2006</v>
      </c>
      <c r="O733" s="4" t="str">
        <f>+IF(BDAlquilerDepartamentos[[#This Row],[Prec. Soles]]&gt;2500,"Caro","Economico")</f>
        <v>Caro</v>
      </c>
      <c r="P733" s="4" t="str">
        <f>+IF(AND(BDAlquilerDepartamentos[[#This Row],[N° de Dorm.]]&gt; 3,BDAlquilerDepartamentos[[#This Row],[Prec. Soles]]&lt;= 2500),"Buena Oferta", "Precio Estadar")</f>
        <v>Precio Estadar</v>
      </c>
      <c r="Q733" t="s">
        <v>1113</v>
      </c>
      <c r="R733" t="s">
        <v>1102</v>
      </c>
      <c r="S733" s="11">
        <v>45393</v>
      </c>
      <c r="T733" t="s">
        <v>2861</v>
      </c>
      <c r="U733" t="s">
        <v>2152</v>
      </c>
    </row>
    <row r="734" spans="2:21" x14ac:dyDescent="0.3">
      <c r="B734" t="s">
        <v>1122</v>
      </c>
      <c r="C734" t="s">
        <v>2429</v>
      </c>
      <c r="D734" t="s">
        <v>2553</v>
      </c>
      <c r="E734" t="s">
        <v>2580</v>
      </c>
      <c r="F734" t="s">
        <v>2580</v>
      </c>
      <c r="G734" s="8">
        <v>2960</v>
      </c>
      <c r="H734" s="8">
        <f>+IF(BDAlquilerDepartamentos[[#This Row],[Ciudad]]="Lima",BDAlquilerDepartamentos[[#This Row],[Prec. Soles]]*0.1,BDAlquilerDepartamentos[[#This Row],[Prec. Soles]]*0.05)</f>
        <v>296</v>
      </c>
      <c r="I734" s="4">
        <v>3</v>
      </c>
      <c r="J734" s="4">
        <v>3</v>
      </c>
      <c r="K734" s="4" t="s">
        <v>3096</v>
      </c>
      <c r="L734" s="4" t="s">
        <v>3095</v>
      </c>
      <c r="M734" s="4">
        <v>91</v>
      </c>
      <c r="N734" s="4">
        <v>2005</v>
      </c>
      <c r="O734" s="4" t="str">
        <f>+IF(BDAlquilerDepartamentos[[#This Row],[Prec. Soles]]&gt;2500,"Caro","Economico")</f>
        <v>Caro</v>
      </c>
      <c r="P734" s="4" t="str">
        <f>+IF(AND(BDAlquilerDepartamentos[[#This Row],[N° de Dorm.]]&gt; 3,BDAlquilerDepartamentos[[#This Row],[Prec. Soles]]&lt;= 2500),"Buena Oferta", "Precio Estadar")</f>
        <v>Precio Estadar</v>
      </c>
      <c r="Q734" t="s">
        <v>1101</v>
      </c>
      <c r="R734" t="s">
        <v>1102</v>
      </c>
      <c r="S734" s="11">
        <v>45437</v>
      </c>
      <c r="T734" t="s">
        <v>2833</v>
      </c>
      <c r="U734" t="s">
        <v>2153</v>
      </c>
    </row>
    <row r="735" spans="2:21" x14ac:dyDescent="0.3">
      <c r="B735" t="s">
        <v>1697</v>
      </c>
      <c r="C735" t="s">
        <v>2629</v>
      </c>
      <c r="D735" t="s">
        <v>2422</v>
      </c>
      <c r="E735" t="s">
        <v>2580</v>
      </c>
      <c r="F735" t="s">
        <v>2580</v>
      </c>
      <c r="G735" s="8">
        <v>3515</v>
      </c>
      <c r="H735" s="8">
        <f>+IF(BDAlquilerDepartamentos[[#This Row],[Ciudad]]="Lima",BDAlquilerDepartamentos[[#This Row],[Prec. Soles]]*0.1,BDAlquilerDepartamentos[[#This Row],[Prec. Soles]]*0.05)</f>
        <v>351.5</v>
      </c>
      <c r="I735" s="4">
        <v>3</v>
      </c>
      <c r="J735" s="4">
        <v>4</v>
      </c>
      <c r="K735" s="4" t="s">
        <v>3095</v>
      </c>
      <c r="L735" s="4" t="s">
        <v>3095</v>
      </c>
      <c r="M735" s="4">
        <v>140</v>
      </c>
      <c r="N735" s="4">
        <v>2007</v>
      </c>
      <c r="O735" s="4" t="str">
        <f>+IF(BDAlquilerDepartamentos[[#This Row],[Prec. Soles]]&gt;2500,"Caro","Economico")</f>
        <v>Caro</v>
      </c>
      <c r="P735" s="4" t="str">
        <f>+IF(AND(BDAlquilerDepartamentos[[#This Row],[N° de Dorm.]]&gt; 3,BDAlquilerDepartamentos[[#This Row],[Prec. Soles]]&lt;= 2500),"Buena Oferta", "Precio Estadar")</f>
        <v>Precio Estadar</v>
      </c>
      <c r="Q735" t="s">
        <v>1101</v>
      </c>
      <c r="R735" t="s">
        <v>1102</v>
      </c>
      <c r="S735" s="11">
        <v>45238</v>
      </c>
      <c r="T735" t="s">
        <v>2852</v>
      </c>
      <c r="U735" t="s">
        <v>2154</v>
      </c>
    </row>
    <row r="736" spans="2:21" x14ac:dyDescent="0.3">
      <c r="B736" t="s">
        <v>1208</v>
      </c>
      <c r="C736" t="s">
        <v>2475</v>
      </c>
      <c r="D736" t="s">
        <v>2422</v>
      </c>
      <c r="E736" t="s">
        <v>2580</v>
      </c>
      <c r="F736" t="s">
        <v>2580</v>
      </c>
      <c r="G736" s="8">
        <v>5180</v>
      </c>
      <c r="H736" s="8">
        <f>+IF(BDAlquilerDepartamentos[[#This Row],[Ciudad]]="Lima",BDAlquilerDepartamentos[[#This Row],[Prec. Soles]]*0.1,BDAlquilerDepartamentos[[#This Row],[Prec. Soles]]*0.05)</f>
        <v>518</v>
      </c>
      <c r="I736" s="4">
        <v>3</v>
      </c>
      <c r="J736" s="4">
        <v>3</v>
      </c>
      <c r="K736" s="4" t="s">
        <v>3096</v>
      </c>
      <c r="L736" s="4" t="s">
        <v>3096</v>
      </c>
      <c r="M736" s="4">
        <v>200</v>
      </c>
      <c r="N736" s="4">
        <v>2014</v>
      </c>
      <c r="O736" s="4" t="str">
        <f>+IF(BDAlquilerDepartamentos[[#This Row],[Prec. Soles]]&gt;2500,"Caro","Economico")</f>
        <v>Caro</v>
      </c>
      <c r="P736" s="4" t="str">
        <f>+IF(AND(BDAlquilerDepartamentos[[#This Row],[N° de Dorm.]]&gt; 3,BDAlquilerDepartamentos[[#This Row],[Prec. Soles]]&lt;= 2500),"Buena Oferta", "Precio Estadar")</f>
        <v>Precio Estadar</v>
      </c>
      <c r="Q736" t="s">
        <v>1101</v>
      </c>
      <c r="R736" t="s">
        <v>1102</v>
      </c>
      <c r="S736" s="11">
        <v>45019</v>
      </c>
      <c r="T736" t="s">
        <v>2882</v>
      </c>
      <c r="U736" t="s">
        <v>2155</v>
      </c>
    </row>
    <row r="737" spans="2:21" x14ac:dyDescent="0.3">
      <c r="B737" t="s">
        <v>2806</v>
      </c>
      <c r="C737" t="s">
        <v>2807</v>
      </c>
      <c r="D737" t="s">
        <v>3163</v>
      </c>
      <c r="E737" t="s">
        <v>2580</v>
      </c>
      <c r="F737" t="s">
        <v>2580</v>
      </c>
      <c r="G737" s="8">
        <v>3700</v>
      </c>
      <c r="H737" s="8">
        <f>+IF(BDAlquilerDepartamentos[[#This Row],[Ciudad]]="Lima",BDAlquilerDepartamentos[[#This Row],[Prec. Soles]]*0.1,BDAlquilerDepartamentos[[#This Row],[Prec. Soles]]*0.05)</f>
        <v>370</v>
      </c>
      <c r="I737" s="4">
        <v>4</v>
      </c>
      <c r="J737" s="4">
        <v>3</v>
      </c>
      <c r="K737" s="4" t="s">
        <v>3096</v>
      </c>
      <c r="L737" s="4" t="s">
        <v>3095</v>
      </c>
      <c r="N737" s="4">
        <v>2007</v>
      </c>
      <c r="O737" s="4" t="str">
        <f>+IF(BDAlquilerDepartamentos[[#This Row],[Prec. Soles]]&gt;2500,"Caro","Economico")</f>
        <v>Caro</v>
      </c>
      <c r="P737" s="4" t="str">
        <f>+IF(AND(BDAlquilerDepartamentos[[#This Row],[N° de Dorm.]]&gt; 3,BDAlquilerDepartamentos[[#This Row],[Prec. Soles]]&lt;= 2500),"Buena Oferta", "Precio Estadar")</f>
        <v>Precio Estadar</v>
      </c>
      <c r="Q737" t="s">
        <v>1399</v>
      </c>
      <c r="R737" t="s">
        <v>1102</v>
      </c>
      <c r="S737" s="11">
        <v>45317</v>
      </c>
      <c r="T737" t="s">
        <v>3043</v>
      </c>
      <c r="U737" t="s">
        <v>2156</v>
      </c>
    </row>
    <row r="738" spans="2:21" x14ac:dyDescent="0.3">
      <c r="B738" t="s">
        <v>2157</v>
      </c>
      <c r="C738" t="s">
        <v>2736</v>
      </c>
      <c r="D738" t="s">
        <v>2527</v>
      </c>
      <c r="E738" t="s">
        <v>2580</v>
      </c>
      <c r="F738" t="s">
        <v>2580</v>
      </c>
      <c r="G738" s="8">
        <v>1500</v>
      </c>
      <c r="H738" s="8">
        <f>+IF(BDAlquilerDepartamentos[[#This Row],[Ciudad]]="Lima",BDAlquilerDepartamentos[[#This Row],[Prec. Soles]]*0.1,BDAlquilerDepartamentos[[#This Row],[Prec. Soles]]*0.05)</f>
        <v>150</v>
      </c>
      <c r="I738" s="4">
        <v>3</v>
      </c>
      <c r="J738" s="4">
        <v>2</v>
      </c>
      <c r="K738" s="4" t="s">
        <v>3095</v>
      </c>
      <c r="L738" s="4" t="s">
        <v>3095</v>
      </c>
      <c r="M738" s="4">
        <v>77</v>
      </c>
      <c r="N738" s="4">
        <v>2005</v>
      </c>
      <c r="O738" s="4" t="str">
        <f>+IF(BDAlquilerDepartamentos[[#This Row],[Prec. Soles]]&gt;2500,"Caro","Economico")</f>
        <v>Economico</v>
      </c>
      <c r="P738" s="4" t="str">
        <f>+IF(AND(BDAlquilerDepartamentos[[#This Row],[N° de Dorm.]]&gt; 3,BDAlquilerDepartamentos[[#This Row],[Prec. Soles]]&lt;= 2500),"Buena Oferta", "Precio Estadar")</f>
        <v>Precio Estadar</v>
      </c>
      <c r="Q738" t="s">
        <v>1101</v>
      </c>
      <c r="R738" t="s">
        <v>1102</v>
      </c>
      <c r="S738" s="11">
        <v>45050</v>
      </c>
      <c r="T738" t="s">
        <v>2845</v>
      </c>
      <c r="U738" t="s">
        <v>2158</v>
      </c>
    </row>
    <row r="739" spans="2:21" x14ac:dyDescent="0.3">
      <c r="B739" t="s">
        <v>1195</v>
      </c>
      <c r="C739" t="s">
        <v>2468</v>
      </c>
      <c r="D739" t="s">
        <v>2428</v>
      </c>
      <c r="E739" t="s">
        <v>2580</v>
      </c>
      <c r="F739" t="s">
        <v>2580</v>
      </c>
      <c r="G739" s="8">
        <v>3293</v>
      </c>
      <c r="H739" s="8">
        <f>+IF(BDAlquilerDepartamentos[[#This Row],[Ciudad]]="Lima",BDAlquilerDepartamentos[[#This Row],[Prec. Soles]]*0.1,BDAlquilerDepartamentos[[#This Row],[Prec. Soles]]*0.05)</f>
        <v>329.3</v>
      </c>
      <c r="I739" s="4">
        <v>2</v>
      </c>
      <c r="J739" s="4">
        <v>2</v>
      </c>
      <c r="K739" s="4" t="s">
        <v>3096</v>
      </c>
      <c r="L739" s="4" t="s">
        <v>3096</v>
      </c>
      <c r="M739" s="4">
        <v>62</v>
      </c>
      <c r="N739" s="4">
        <v>2004</v>
      </c>
      <c r="O739" s="4" t="str">
        <f>+IF(BDAlquilerDepartamentos[[#This Row],[Prec. Soles]]&gt;2500,"Caro","Economico")</f>
        <v>Caro</v>
      </c>
      <c r="P739" s="4" t="str">
        <f>+IF(AND(BDAlquilerDepartamentos[[#This Row],[N° de Dorm.]]&gt; 3,BDAlquilerDepartamentos[[#This Row],[Prec. Soles]]&lt;= 2500),"Buena Oferta", "Precio Estadar")</f>
        <v>Precio Estadar</v>
      </c>
      <c r="Q739" t="s">
        <v>1101</v>
      </c>
      <c r="R739" t="s">
        <v>1102</v>
      </c>
      <c r="S739" s="11">
        <v>45279</v>
      </c>
      <c r="T739" t="s">
        <v>2861</v>
      </c>
      <c r="U739" t="s">
        <v>2159</v>
      </c>
    </row>
    <row r="740" spans="2:21" x14ac:dyDescent="0.3">
      <c r="B740" t="s">
        <v>1195</v>
      </c>
      <c r="C740" t="s">
        <v>2468</v>
      </c>
      <c r="D740" t="s">
        <v>2428</v>
      </c>
      <c r="E740" t="s">
        <v>2580</v>
      </c>
      <c r="F740" t="s">
        <v>2580</v>
      </c>
      <c r="G740" s="8">
        <v>2812</v>
      </c>
      <c r="H740" s="8">
        <f>+IF(BDAlquilerDepartamentos[[#This Row],[Ciudad]]="Lima",BDAlquilerDepartamentos[[#This Row],[Prec. Soles]]*0.1,BDAlquilerDepartamentos[[#This Row],[Prec. Soles]]*0.05)</f>
        <v>281.2</v>
      </c>
      <c r="I740" s="4">
        <v>1</v>
      </c>
      <c r="J740" s="4">
        <v>1</v>
      </c>
      <c r="K740" s="4" t="s">
        <v>3095</v>
      </c>
      <c r="L740" s="4" t="s">
        <v>3095</v>
      </c>
      <c r="M740" s="4">
        <v>45</v>
      </c>
      <c r="N740" s="4">
        <v>2007</v>
      </c>
      <c r="O740" s="4" t="str">
        <f>+IF(BDAlquilerDepartamentos[[#This Row],[Prec. Soles]]&gt;2500,"Caro","Economico")</f>
        <v>Caro</v>
      </c>
      <c r="P740" s="4" t="str">
        <f>+IF(AND(BDAlquilerDepartamentos[[#This Row],[N° de Dorm.]]&gt; 3,BDAlquilerDepartamentos[[#This Row],[Prec. Soles]]&lt;= 2500),"Buena Oferta", "Precio Estadar")</f>
        <v>Precio Estadar</v>
      </c>
      <c r="Q740" t="s">
        <v>1101</v>
      </c>
      <c r="R740" t="s">
        <v>1102</v>
      </c>
      <c r="S740" s="11">
        <v>45031</v>
      </c>
      <c r="T740" t="s">
        <v>2852</v>
      </c>
      <c r="U740" t="s">
        <v>2160</v>
      </c>
    </row>
    <row r="741" spans="2:21" x14ac:dyDescent="0.3">
      <c r="B741" t="s">
        <v>2161</v>
      </c>
      <c r="C741" t="s">
        <v>2737</v>
      </c>
      <c r="D741" t="s">
        <v>2580</v>
      </c>
      <c r="E741" t="s">
        <v>2580</v>
      </c>
      <c r="F741" t="s">
        <v>2580</v>
      </c>
      <c r="G741" s="8">
        <v>1500</v>
      </c>
      <c r="H741" s="8">
        <f>+IF(BDAlquilerDepartamentos[[#This Row],[Ciudad]]="Lima",BDAlquilerDepartamentos[[#This Row],[Prec. Soles]]*0.1,BDAlquilerDepartamentos[[#This Row],[Prec. Soles]]*0.05)</f>
        <v>150</v>
      </c>
      <c r="I741" s="4">
        <v>4</v>
      </c>
      <c r="J741" s="4">
        <v>2</v>
      </c>
      <c r="K741" s="4" t="s">
        <v>3095</v>
      </c>
      <c r="L741" s="4" t="s">
        <v>3095</v>
      </c>
      <c r="M741" s="4">
        <v>120</v>
      </c>
      <c r="N741" s="4">
        <v>2003</v>
      </c>
      <c r="O741" s="4" t="str">
        <f>+IF(BDAlquilerDepartamentos[[#This Row],[Prec. Soles]]&gt;2500,"Caro","Economico")</f>
        <v>Economico</v>
      </c>
      <c r="P741" s="4" t="str">
        <f>+IF(AND(BDAlquilerDepartamentos[[#This Row],[N° de Dorm.]]&gt; 3,BDAlquilerDepartamentos[[#This Row],[Prec. Soles]]&lt;= 2500),"Buena Oferta", "Precio Estadar")</f>
        <v>Buena Oferta</v>
      </c>
      <c r="Q741" t="s">
        <v>1101</v>
      </c>
      <c r="R741" t="s">
        <v>1102</v>
      </c>
      <c r="S741" s="11">
        <v>44985</v>
      </c>
      <c r="T741" t="s">
        <v>3090</v>
      </c>
      <c r="U741" t="s">
        <v>2162</v>
      </c>
    </row>
    <row r="742" spans="2:21" x14ac:dyDescent="0.3">
      <c r="B742" t="s">
        <v>2163</v>
      </c>
      <c r="C742" t="s">
        <v>2659</v>
      </c>
      <c r="D742" t="s">
        <v>2472</v>
      </c>
      <c r="E742" t="s">
        <v>2473</v>
      </c>
      <c r="F742" t="s">
        <v>2473</v>
      </c>
      <c r="G742" s="8">
        <v>2000</v>
      </c>
      <c r="H742" s="8">
        <f>+IF(BDAlquilerDepartamentos[[#This Row],[Ciudad]]="Lima",BDAlquilerDepartamentos[[#This Row],[Prec. Soles]]*0.1,BDAlquilerDepartamentos[[#This Row],[Prec. Soles]]*0.05)</f>
        <v>100</v>
      </c>
      <c r="I742" s="4">
        <v>2</v>
      </c>
      <c r="J742" s="4">
        <v>2</v>
      </c>
      <c r="K742" s="4" t="s">
        <v>3095</v>
      </c>
      <c r="L742" s="4" t="s">
        <v>3096</v>
      </c>
      <c r="M742" s="4">
        <v>56</v>
      </c>
      <c r="N742" s="4">
        <v>2009</v>
      </c>
      <c r="O742" s="4" t="str">
        <f>+IF(BDAlquilerDepartamentos[[#This Row],[Prec. Soles]]&gt;2500,"Caro","Economico")</f>
        <v>Economico</v>
      </c>
      <c r="P742" s="4" t="str">
        <f>+IF(AND(BDAlquilerDepartamentos[[#This Row],[N° de Dorm.]]&gt; 3,BDAlquilerDepartamentos[[#This Row],[Prec. Soles]]&lt;= 2500),"Buena Oferta", "Precio Estadar")</f>
        <v>Precio Estadar</v>
      </c>
      <c r="Q742" t="s">
        <v>1101</v>
      </c>
      <c r="R742" t="s">
        <v>1102</v>
      </c>
      <c r="S742" s="11">
        <v>45074</v>
      </c>
      <c r="T742" t="s">
        <v>2852</v>
      </c>
      <c r="U742" t="s">
        <v>2164</v>
      </c>
    </row>
    <row r="743" spans="2:21" x14ac:dyDescent="0.3">
      <c r="B743" t="s">
        <v>1404</v>
      </c>
      <c r="C743" t="s">
        <v>2545</v>
      </c>
      <c r="D743" t="s">
        <v>2580</v>
      </c>
      <c r="E743" t="s">
        <v>2580</v>
      </c>
      <c r="F743" t="s">
        <v>2580</v>
      </c>
      <c r="G743" s="8">
        <v>1300</v>
      </c>
      <c r="H743" s="8">
        <f>+IF(BDAlquilerDepartamentos[[#This Row],[Ciudad]]="Lima",BDAlquilerDepartamentos[[#This Row],[Prec. Soles]]*0.1,BDAlquilerDepartamentos[[#This Row],[Prec. Soles]]*0.05)</f>
        <v>130</v>
      </c>
      <c r="I743" s="4">
        <v>2</v>
      </c>
      <c r="J743" s="4">
        <v>1</v>
      </c>
      <c r="K743" s="4" t="s">
        <v>3096</v>
      </c>
      <c r="L743" s="4" t="s">
        <v>3096</v>
      </c>
      <c r="M743" s="4">
        <v>51</v>
      </c>
      <c r="N743" s="4">
        <v>2013</v>
      </c>
      <c r="O743" s="4" t="str">
        <f>+IF(BDAlquilerDepartamentos[[#This Row],[Prec. Soles]]&gt;2500,"Caro","Economico")</f>
        <v>Economico</v>
      </c>
      <c r="P743" s="4" t="str">
        <f>+IF(AND(BDAlquilerDepartamentos[[#This Row],[N° de Dorm.]]&gt; 3,BDAlquilerDepartamentos[[#This Row],[Prec. Soles]]&lt;= 2500),"Buena Oferta", "Precio Estadar")</f>
        <v>Precio Estadar</v>
      </c>
      <c r="Q743" t="s">
        <v>1101</v>
      </c>
      <c r="R743" t="s">
        <v>1102</v>
      </c>
      <c r="S743" s="11">
        <v>45118</v>
      </c>
      <c r="T743" t="s">
        <v>3099</v>
      </c>
      <c r="U743" t="s">
        <v>2165</v>
      </c>
    </row>
    <row r="744" spans="2:21" x14ac:dyDescent="0.3">
      <c r="B744" t="s">
        <v>2002</v>
      </c>
      <c r="C744" t="s">
        <v>2705</v>
      </c>
      <c r="D744" t="s">
        <v>2580</v>
      </c>
      <c r="E744" t="s">
        <v>2580</v>
      </c>
      <c r="F744" t="s">
        <v>2580</v>
      </c>
      <c r="G744" s="8">
        <v>5180</v>
      </c>
      <c r="H744" s="8">
        <f>+IF(BDAlquilerDepartamentos[[#This Row],[Ciudad]]="Lima",BDAlquilerDepartamentos[[#This Row],[Prec. Soles]]*0.1,BDAlquilerDepartamentos[[#This Row],[Prec. Soles]]*0.05)</f>
        <v>518</v>
      </c>
      <c r="I744" s="4">
        <v>3</v>
      </c>
      <c r="J744" s="4">
        <v>3</v>
      </c>
      <c r="K744" s="4" t="s">
        <v>3095</v>
      </c>
      <c r="L744" s="4" t="s">
        <v>3095</v>
      </c>
      <c r="M744" s="4">
        <v>175</v>
      </c>
      <c r="N744" s="4">
        <v>2013</v>
      </c>
      <c r="O744" s="4" t="str">
        <f>+IF(BDAlquilerDepartamentos[[#This Row],[Prec. Soles]]&gt;2500,"Caro","Economico")</f>
        <v>Caro</v>
      </c>
      <c r="P744" s="4" t="str">
        <f>+IF(AND(BDAlquilerDepartamentos[[#This Row],[N° de Dorm.]]&gt; 3,BDAlquilerDepartamentos[[#This Row],[Prec. Soles]]&lt;= 2500),"Buena Oferta", "Precio Estadar")</f>
        <v>Precio Estadar</v>
      </c>
      <c r="Q744" t="s">
        <v>1101</v>
      </c>
      <c r="R744" t="s">
        <v>1102</v>
      </c>
      <c r="S744" s="11">
        <v>44930</v>
      </c>
      <c r="T744" t="s">
        <v>2940</v>
      </c>
      <c r="U744" t="s">
        <v>2166</v>
      </c>
    </row>
    <row r="745" spans="2:21" x14ac:dyDescent="0.3">
      <c r="B745" t="s">
        <v>1715</v>
      </c>
      <c r="C745" t="s">
        <v>2634</v>
      </c>
      <c r="D745" t="s">
        <v>2428</v>
      </c>
      <c r="E745" t="s">
        <v>2580</v>
      </c>
      <c r="F745" t="s">
        <v>2580</v>
      </c>
      <c r="G745" s="8">
        <v>6105</v>
      </c>
      <c r="H745" s="8">
        <f>+IF(BDAlquilerDepartamentos[[#This Row],[Ciudad]]="Lima",BDAlquilerDepartamentos[[#This Row],[Prec. Soles]]*0.1,BDAlquilerDepartamentos[[#This Row],[Prec. Soles]]*0.05)</f>
        <v>610.5</v>
      </c>
      <c r="I745" s="4">
        <v>3</v>
      </c>
      <c r="J745" s="4">
        <v>2</v>
      </c>
      <c r="K745" s="4" t="s">
        <v>3096</v>
      </c>
      <c r="L745" s="4" t="s">
        <v>3096</v>
      </c>
      <c r="M745" s="4">
        <v>170</v>
      </c>
      <c r="N745" s="4">
        <v>2018</v>
      </c>
      <c r="O745" s="4" t="str">
        <f>+IF(BDAlquilerDepartamentos[[#This Row],[Prec. Soles]]&gt;2500,"Caro","Economico")</f>
        <v>Caro</v>
      </c>
      <c r="P745" s="4" t="str">
        <f>+IF(AND(BDAlquilerDepartamentos[[#This Row],[N° de Dorm.]]&gt; 3,BDAlquilerDepartamentos[[#This Row],[Prec. Soles]]&lt;= 2500),"Buena Oferta", "Precio Estadar")</f>
        <v>Precio Estadar</v>
      </c>
      <c r="Q745" t="s">
        <v>1101</v>
      </c>
      <c r="R745" t="s">
        <v>1102</v>
      </c>
      <c r="S745" s="11">
        <v>45532</v>
      </c>
      <c r="T745" t="s">
        <v>3043</v>
      </c>
      <c r="U745" t="s">
        <v>2167</v>
      </c>
    </row>
    <row r="746" spans="2:21" x14ac:dyDescent="0.3">
      <c r="B746" t="s">
        <v>1418</v>
      </c>
      <c r="C746" t="s">
        <v>2551</v>
      </c>
      <c r="D746" t="s">
        <v>2452</v>
      </c>
      <c r="E746" t="s">
        <v>2580</v>
      </c>
      <c r="F746" t="s">
        <v>2580</v>
      </c>
      <c r="G746" s="8">
        <v>3145</v>
      </c>
      <c r="H746" s="8">
        <f>+IF(BDAlquilerDepartamentos[[#This Row],[Ciudad]]="Lima",BDAlquilerDepartamentos[[#This Row],[Prec. Soles]]*0.1,BDAlquilerDepartamentos[[#This Row],[Prec. Soles]]*0.05)</f>
        <v>314.5</v>
      </c>
      <c r="I746" s="4">
        <v>3</v>
      </c>
      <c r="J746" s="4">
        <v>2</v>
      </c>
      <c r="K746" s="4" t="s">
        <v>3095</v>
      </c>
      <c r="L746" s="4" t="s">
        <v>3096</v>
      </c>
      <c r="M746" s="4">
        <v>76</v>
      </c>
      <c r="N746" s="4">
        <v>2007</v>
      </c>
      <c r="O746" s="4" t="str">
        <f>+IF(BDAlquilerDepartamentos[[#This Row],[Prec. Soles]]&gt;2500,"Caro","Economico")</f>
        <v>Caro</v>
      </c>
      <c r="P746" s="4" t="str">
        <f>+IF(AND(BDAlquilerDepartamentos[[#This Row],[N° de Dorm.]]&gt; 3,BDAlquilerDepartamentos[[#This Row],[Prec. Soles]]&lt;= 2500),"Buena Oferta", "Precio Estadar")</f>
        <v>Precio Estadar</v>
      </c>
      <c r="Q746" t="s">
        <v>1101</v>
      </c>
      <c r="R746" t="s">
        <v>1102</v>
      </c>
      <c r="S746" s="11">
        <v>45261</v>
      </c>
      <c r="T746" t="s">
        <v>3044</v>
      </c>
      <c r="U746" t="s">
        <v>2168</v>
      </c>
    </row>
    <row r="747" spans="2:21" x14ac:dyDescent="0.3">
      <c r="B747" t="s">
        <v>1210</v>
      </c>
      <c r="C747" t="s">
        <v>2476</v>
      </c>
      <c r="D747" t="s">
        <v>2436</v>
      </c>
      <c r="E747" t="s">
        <v>2580</v>
      </c>
      <c r="F747" t="s">
        <v>2580</v>
      </c>
      <c r="G747" s="8">
        <v>8880</v>
      </c>
      <c r="H747" s="8">
        <f>+IF(BDAlquilerDepartamentos[[#This Row],[Ciudad]]="Lima",BDAlquilerDepartamentos[[#This Row],[Prec. Soles]]*0.1,BDAlquilerDepartamentos[[#This Row],[Prec. Soles]]*0.05)</f>
        <v>888</v>
      </c>
      <c r="I747" s="4">
        <v>3</v>
      </c>
      <c r="J747" s="4">
        <v>2</v>
      </c>
      <c r="K747" s="4" t="s">
        <v>3096</v>
      </c>
      <c r="L747" s="4" t="s">
        <v>3095</v>
      </c>
      <c r="M747" s="4">
        <v>332</v>
      </c>
      <c r="N747" s="4">
        <v>2005</v>
      </c>
      <c r="O747" s="4" t="str">
        <f>+IF(BDAlquilerDepartamentos[[#This Row],[Prec. Soles]]&gt;2500,"Caro","Economico")</f>
        <v>Caro</v>
      </c>
      <c r="P747" s="4" t="str">
        <f>+IF(AND(BDAlquilerDepartamentos[[#This Row],[N° de Dorm.]]&gt; 3,BDAlquilerDepartamentos[[#This Row],[Prec. Soles]]&lt;= 2500),"Buena Oferta", "Precio Estadar")</f>
        <v>Precio Estadar</v>
      </c>
      <c r="Q747" t="s">
        <v>1101</v>
      </c>
      <c r="R747" t="s">
        <v>1102</v>
      </c>
      <c r="S747" s="11">
        <v>45189</v>
      </c>
      <c r="T747" t="s">
        <v>2875</v>
      </c>
      <c r="U747" t="s">
        <v>2169</v>
      </c>
    </row>
    <row r="748" spans="2:21" x14ac:dyDescent="0.3">
      <c r="B748" t="s">
        <v>2170</v>
      </c>
      <c r="C748" t="s">
        <v>2738</v>
      </c>
      <c r="D748" t="s">
        <v>2430</v>
      </c>
      <c r="E748" t="s">
        <v>2580</v>
      </c>
      <c r="F748" t="s">
        <v>2580</v>
      </c>
      <c r="G748" s="8">
        <v>3700</v>
      </c>
      <c r="H748" s="8">
        <f>+IF(BDAlquilerDepartamentos[[#This Row],[Ciudad]]="Lima",BDAlquilerDepartamentos[[#This Row],[Prec. Soles]]*0.1,BDAlquilerDepartamentos[[#This Row],[Prec. Soles]]*0.05)</f>
        <v>370</v>
      </c>
      <c r="I748" s="4">
        <v>6</v>
      </c>
      <c r="J748" s="4">
        <v>4</v>
      </c>
      <c r="K748" s="4" t="s">
        <v>3096</v>
      </c>
      <c r="L748" s="4" t="s">
        <v>3095</v>
      </c>
      <c r="M748" s="4">
        <v>90</v>
      </c>
      <c r="N748" s="4">
        <v>2007</v>
      </c>
      <c r="O748" s="4" t="str">
        <f>+IF(BDAlquilerDepartamentos[[#This Row],[Prec. Soles]]&gt;2500,"Caro","Economico")</f>
        <v>Caro</v>
      </c>
      <c r="P748" s="4" t="str">
        <f>+IF(AND(BDAlquilerDepartamentos[[#This Row],[N° de Dorm.]]&gt; 3,BDAlquilerDepartamentos[[#This Row],[Prec. Soles]]&lt;= 2500),"Buena Oferta", "Precio Estadar")</f>
        <v>Precio Estadar</v>
      </c>
      <c r="Q748" t="s">
        <v>1113</v>
      </c>
      <c r="R748" t="s">
        <v>1102</v>
      </c>
      <c r="S748" s="11">
        <v>45467</v>
      </c>
      <c r="T748" t="s">
        <v>3045</v>
      </c>
      <c r="U748" t="s">
        <v>2171</v>
      </c>
    </row>
    <row r="749" spans="2:21" x14ac:dyDescent="0.3">
      <c r="B749" t="s">
        <v>2172</v>
      </c>
      <c r="C749" t="s">
        <v>2739</v>
      </c>
      <c r="D749" t="s">
        <v>2580</v>
      </c>
      <c r="E749" t="s">
        <v>2580</v>
      </c>
      <c r="F749" t="s">
        <v>2580</v>
      </c>
      <c r="G749" s="8">
        <v>1690</v>
      </c>
      <c r="H749" s="8">
        <f>+IF(BDAlquilerDepartamentos[[#This Row],[Ciudad]]="Lima",BDAlquilerDepartamentos[[#This Row],[Prec. Soles]]*0.1,BDAlquilerDepartamentos[[#This Row],[Prec. Soles]]*0.05)</f>
        <v>169</v>
      </c>
      <c r="I749" s="4">
        <v>2</v>
      </c>
      <c r="J749" s="4">
        <v>2</v>
      </c>
      <c r="K749" s="4" t="s">
        <v>3095</v>
      </c>
      <c r="L749" s="4" t="s">
        <v>3095</v>
      </c>
      <c r="M749" s="4">
        <v>60</v>
      </c>
      <c r="N749" s="4">
        <v>2016</v>
      </c>
      <c r="O749" s="4" t="str">
        <f>+IF(BDAlquilerDepartamentos[[#This Row],[Prec. Soles]]&gt;2500,"Caro","Economico")</f>
        <v>Economico</v>
      </c>
      <c r="P749" s="4" t="str">
        <f>+IF(AND(BDAlquilerDepartamentos[[#This Row],[N° de Dorm.]]&gt; 3,BDAlquilerDepartamentos[[#This Row],[Prec. Soles]]&lt;= 2500),"Buena Oferta", "Precio Estadar")</f>
        <v>Precio Estadar</v>
      </c>
      <c r="Q749" t="s">
        <v>1101</v>
      </c>
      <c r="R749" t="s">
        <v>1102</v>
      </c>
      <c r="S749" s="11">
        <v>45493</v>
      </c>
      <c r="T749" t="s">
        <v>2853</v>
      </c>
      <c r="U749" t="s">
        <v>2173</v>
      </c>
    </row>
    <row r="750" spans="2:21" x14ac:dyDescent="0.3">
      <c r="B750" t="s">
        <v>1169</v>
      </c>
      <c r="C750" t="s">
        <v>2455</v>
      </c>
      <c r="D750" t="s">
        <v>2436</v>
      </c>
      <c r="E750" t="s">
        <v>2580</v>
      </c>
      <c r="F750" t="s">
        <v>2580</v>
      </c>
      <c r="G750" s="8">
        <v>3589</v>
      </c>
      <c r="H750" s="8">
        <f>+IF(BDAlquilerDepartamentos[[#This Row],[Ciudad]]="Lima",BDAlquilerDepartamentos[[#This Row],[Prec. Soles]]*0.1,BDAlquilerDepartamentos[[#This Row],[Prec. Soles]]*0.05)</f>
        <v>358.90000000000003</v>
      </c>
      <c r="I750" s="4">
        <v>1</v>
      </c>
      <c r="J750" s="4">
        <v>2</v>
      </c>
      <c r="K750" s="4" t="s">
        <v>3095</v>
      </c>
      <c r="L750" s="4" t="s">
        <v>3096</v>
      </c>
      <c r="M750" s="4">
        <v>105</v>
      </c>
      <c r="N750" s="4">
        <v>2014</v>
      </c>
      <c r="O750" s="4" t="str">
        <f>+IF(BDAlquilerDepartamentos[[#This Row],[Prec. Soles]]&gt;2500,"Caro","Economico")</f>
        <v>Caro</v>
      </c>
      <c r="P750" s="4" t="str">
        <f>+IF(AND(BDAlquilerDepartamentos[[#This Row],[N° de Dorm.]]&gt; 3,BDAlquilerDepartamentos[[#This Row],[Prec. Soles]]&lt;= 2500),"Buena Oferta", "Precio Estadar")</f>
        <v>Precio Estadar</v>
      </c>
      <c r="Q750" t="s">
        <v>1101</v>
      </c>
      <c r="R750" t="s">
        <v>1102</v>
      </c>
      <c r="S750" s="11">
        <v>45546</v>
      </c>
      <c r="T750" t="s">
        <v>2896</v>
      </c>
      <c r="U750" t="s">
        <v>2174</v>
      </c>
    </row>
    <row r="751" spans="2:21" x14ac:dyDescent="0.3">
      <c r="B751" t="s">
        <v>1169</v>
      </c>
      <c r="C751" t="s">
        <v>2455</v>
      </c>
      <c r="D751" t="s">
        <v>2436</v>
      </c>
      <c r="E751" t="s">
        <v>2580</v>
      </c>
      <c r="F751" t="s">
        <v>2580</v>
      </c>
      <c r="G751" s="8">
        <v>3589</v>
      </c>
      <c r="H751" s="8">
        <f>+IF(BDAlquilerDepartamentos[[#This Row],[Ciudad]]="Lima",BDAlquilerDepartamentos[[#This Row],[Prec. Soles]]*0.1,BDAlquilerDepartamentos[[#This Row],[Prec. Soles]]*0.05)</f>
        <v>358.90000000000003</v>
      </c>
      <c r="I751" s="4">
        <v>1</v>
      </c>
      <c r="J751" s="4">
        <v>2</v>
      </c>
      <c r="K751" s="4" t="s">
        <v>3095</v>
      </c>
      <c r="L751" s="4" t="s">
        <v>3095</v>
      </c>
      <c r="M751" s="4">
        <v>105</v>
      </c>
      <c r="N751" s="4">
        <v>2010</v>
      </c>
      <c r="O751" s="4" t="str">
        <f>+IF(BDAlquilerDepartamentos[[#This Row],[Prec. Soles]]&gt;2500,"Caro","Economico")</f>
        <v>Caro</v>
      </c>
      <c r="P751" s="4" t="str">
        <f>+IF(AND(BDAlquilerDepartamentos[[#This Row],[N° de Dorm.]]&gt; 3,BDAlquilerDepartamentos[[#This Row],[Prec. Soles]]&lt;= 2500),"Buena Oferta", "Precio Estadar")</f>
        <v>Precio Estadar</v>
      </c>
      <c r="Q751" t="s">
        <v>1101</v>
      </c>
      <c r="R751" t="s">
        <v>1102</v>
      </c>
      <c r="S751" s="11">
        <v>45190</v>
      </c>
      <c r="T751" t="s">
        <v>2896</v>
      </c>
      <c r="U751" t="s">
        <v>2175</v>
      </c>
    </row>
    <row r="752" spans="2:21" x14ac:dyDescent="0.3">
      <c r="B752" t="s">
        <v>1617</v>
      </c>
      <c r="C752" t="s">
        <v>2606</v>
      </c>
      <c r="D752" t="s">
        <v>2689</v>
      </c>
      <c r="E752" t="s">
        <v>2689</v>
      </c>
      <c r="F752" t="s">
        <v>2689</v>
      </c>
      <c r="G752" s="8">
        <v>5250</v>
      </c>
      <c r="H752" s="8">
        <f>+IF(BDAlquilerDepartamentos[[#This Row],[Ciudad]]="Lima",BDAlquilerDepartamentos[[#This Row],[Prec. Soles]]*0.1,BDAlquilerDepartamentos[[#This Row],[Prec. Soles]]*0.05)</f>
        <v>262.5</v>
      </c>
      <c r="I752" s="4">
        <v>5</v>
      </c>
      <c r="J752" s="4">
        <v>9</v>
      </c>
      <c r="K752" s="4" t="s">
        <v>3096</v>
      </c>
      <c r="L752" s="4" t="s">
        <v>3095</v>
      </c>
      <c r="M752" s="4">
        <v>350</v>
      </c>
      <c r="N752" s="4">
        <v>2013</v>
      </c>
      <c r="O752" s="4" t="str">
        <f>+IF(BDAlquilerDepartamentos[[#This Row],[Prec. Soles]]&gt;2500,"Caro","Economico")</f>
        <v>Caro</v>
      </c>
      <c r="P752" s="4" t="str">
        <f>+IF(AND(BDAlquilerDepartamentos[[#This Row],[N° de Dorm.]]&gt; 3,BDAlquilerDepartamentos[[#This Row],[Prec. Soles]]&lt;= 2500),"Buena Oferta", "Precio Estadar")</f>
        <v>Precio Estadar</v>
      </c>
      <c r="Q752" t="s">
        <v>1113</v>
      </c>
      <c r="R752" t="s">
        <v>1102</v>
      </c>
      <c r="S752" s="11">
        <v>45136</v>
      </c>
      <c r="T752" t="s">
        <v>3046</v>
      </c>
      <c r="U752" t="s">
        <v>2176</v>
      </c>
    </row>
    <row r="753" spans="2:21" x14ac:dyDescent="0.3">
      <c r="B753" t="s">
        <v>3116</v>
      </c>
      <c r="C753" t="s">
        <v>2436</v>
      </c>
      <c r="D753" t="s">
        <v>2689</v>
      </c>
      <c r="E753" t="s">
        <v>3129</v>
      </c>
      <c r="F753" t="s">
        <v>3129</v>
      </c>
      <c r="G753" s="8">
        <v>3700</v>
      </c>
      <c r="H753" s="8">
        <f>+IF(BDAlquilerDepartamentos[[#This Row],[Ciudad]]="Lima",BDAlquilerDepartamentos[[#This Row],[Prec. Soles]]*0.1,BDAlquilerDepartamentos[[#This Row],[Prec. Soles]]*0.05)</f>
        <v>185</v>
      </c>
      <c r="I753" s="4">
        <v>2</v>
      </c>
      <c r="J753" s="4">
        <v>4</v>
      </c>
      <c r="K753" s="4" t="s">
        <v>3096</v>
      </c>
      <c r="L753" s="4" t="s">
        <v>3095</v>
      </c>
      <c r="M753" s="4">
        <v>121</v>
      </c>
      <c r="N753" s="4">
        <v>2012</v>
      </c>
      <c r="O753" s="4" t="str">
        <f>+IF(BDAlquilerDepartamentos[[#This Row],[Prec. Soles]]&gt;2500,"Caro","Economico")</f>
        <v>Caro</v>
      </c>
      <c r="P753" s="4" t="str">
        <f>+IF(AND(BDAlquilerDepartamentos[[#This Row],[N° de Dorm.]]&gt; 3,BDAlquilerDepartamentos[[#This Row],[Prec. Soles]]&lt;= 2500),"Buena Oferta", "Precio Estadar")</f>
        <v>Precio Estadar</v>
      </c>
      <c r="Q753" t="s">
        <v>1101</v>
      </c>
      <c r="R753" t="s">
        <v>1102</v>
      </c>
      <c r="S753" s="11">
        <v>45540</v>
      </c>
      <c r="T753" t="s">
        <v>2819</v>
      </c>
      <c r="U753" t="s">
        <v>2177</v>
      </c>
    </row>
    <row r="754" spans="2:21" x14ac:dyDescent="0.3">
      <c r="B754" t="s">
        <v>1118</v>
      </c>
      <c r="C754" t="s">
        <v>2426</v>
      </c>
      <c r="D754" t="s">
        <v>2436</v>
      </c>
      <c r="E754" t="s">
        <v>2580</v>
      </c>
      <c r="F754" t="s">
        <v>2580</v>
      </c>
      <c r="G754" s="8">
        <v>3145</v>
      </c>
      <c r="H754" s="8">
        <f>+IF(BDAlquilerDepartamentos[[#This Row],[Ciudad]]="Lima",BDAlquilerDepartamentos[[#This Row],[Prec. Soles]]*0.1,BDAlquilerDepartamentos[[#This Row],[Prec. Soles]]*0.05)</f>
        <v>314.5</v>
      </c>
      <c r="I754" s="4">
        <v>2</v>
      </c>
      <c r="J754" s="4">
        <v>2</v>
      </c>
      <c r="K754" s="4" t="s">
        <v>3095</v>
      </c>
      <c r="L754" s="4" t="s">
        <v>3096</v>
      </c>
      <c r="M754" s="4">
        <v>85</v>
      </c>
      <c r="N754" s="4">
        <v>2016</v>
      </c>
      <c r="O754" s="4" t="str">
        <f>+IF(BDAlquilerDepartamentos[[#This Row],[Prec. Soles]]&gt;2500,"Caro","Economico")</f>
        <v>Caro</v>
      </c>
      <c r="P754" s="4" t="str">
        <f>+IF(AND(BDAlquilerDepartamentos[[#This Row],[N° de Dorm.]]&gt; 3,BDAlquilerDepartamentos[[#This Row],[Prec. Soles]]&lt;= 2500),"Buena Oferta", "Precio Estadar")</f>
        <v>Precio Estadar</v>
      </c>
      <c r="Q754" t="s">
        <v>1101</v>
      </c>
      <c r="R754" t="s">
        <v>1102</v>
      </c>
      <c r="S754" s="11">
        <v>45403</v>
      </c>
      <c r="T754" t="s">
        <v>2932</v>
      </c>
      <c r="U754" t="s">
        <v>2178</v>
      </c>
    </row>
    <row r="755" spans="2:21" x14ac:dyDescent="0.3">
      <c r="B755" t="s">
        <v>1715</v>
      </c>
      <c r="C755" t="s">
        <v>2634</v>
      </c>
      <c r="D755" t="s">
        <v>2428</v>
      </c>
      <c r="E755" t="s">
        <v>2580</v>
      </c>
      <c r="F755" t="s">
        <v>2580</v>
      </c>
      <c r="G755" s="8">
        <v>6105</v>
      </c>
      <c r="H755" s="8">
        <f>+IF(BDAlquilerDepartamentos[[#This Row],[Ciudad]]="Lima",BDAlquilerDepartamentos[[#This Row],[Prec. Soles]]*0.1,BDAlquilerDepartamentos[[#This Row],[Prec. Soles]]*0.05)</f>
        <v>610.5</v>
      </c>
      <c r="I755" s="4">
        <v>3</v>
      </c>
      <c r="J755" s="4">
        <v>2</v>
      </c>
      <c r="K755" s="4" t="s">
        <v>3095</v>
      </c>
      <c r="L755" s="4" t="s">
        <v>3096</v>
      </c>
      <c r="M755" s="4">
        <v>170</v>
      </c>
      <c r="N755" s="4">
        <v>2005</v>
      </c>
      <c r="O755" s="4" t="str">
        <f>+IF(BDAlquilerDepartamentos[[#This Row],[Prec. Soles]]&gt;2500,"Caro","Economico")</f>
        <v>Caro</v>
      </c>
      <c r="P755" s="4" t="str">
        <f>+IF(AND(BDAlquilerDepartamentos[[#This Row],[N° de Dorm.]]&gt; 3,BDAlquilerDepartamentos[[#This Row],[Prec. Soles]]&lt;= 2500),"Buena Oferta", "Precio Estadar")</f>
        <v>Precio Estadar</v>
      </c>
      <c r="Q755" t="s">
        <v>1101</v>
      </c>
      <c r="R755" t="s">
        <v>1102</v>
      </c>
      <c r="S755" s="11">
        <v>45334</v>
      </c>
      <c r="T755" t="s">
        <v>2875</v>
      </c>
      <c r="U755" t="s">
        <v>2179</v>
      </c>
    </row>
    <row r="756" spans="2:21" x14ac:dyDescent="0.3">
      <c r="B756" t="s">
        <v>2180</v>
      </c>
      <c r="C756" t="s">
        <v>2740</v>
      </c>
      <c r="D756" t="s">
        <v>2548</v>
      </c>
      <c r="E756" t="s">
        <v>2473</v>
      </c>
      <c r="F756" t="s">
        <v>2473</v>
      </c>
      <c r="G756" s="8">
        <v>1800</v>
      </c>
      <c r="H756" s="8">
        <f>+IF(BDAlquilerDepartamentos[[#This Row],[Ciudad]]="Lima",BDAlquilerDepartamentos[[#This Row],[Prec. Soles]]*0.1,BDAlquilerDepartamentos[[#This Row],[Prec. Soles]]*0.05)</f>
        <v>90</v>
      </c>
      <c r="I756" s="4">
        <v>3</v>
      </c>
      <c r="J756" s="4">
        <v>2</v>
      </c>
      <c r="K756" s="4" t="s">
        <v>3095</v>
      </c>
      <c r="L756" s="4" t="s">
        <v>3096</v>
      </c>
      <c r="M756" s="4">
        <v>160</v>
      </c>
      <c r="N756" s="4">
        <v>2009</v>
      </c>
      <c r="O756" s="4" t="str">
        <f>+IF(BDAlquilerDepartamentos[[#This Row],[Prec. Soles]]&gt;2500,"Caro","Economico")</f>
        <v>Economico</v>
      </c>
      <c r="P756" s="4" t="str">
        <f>+IF(AND(BDAlquilerDepartamentos[[#This Row],[N° de Dorm.]]&gt; 3,BDAlquilerDepartamentos[[#This Row],[Prec. Soles]]&lt;= 2500),"Buena Oferta", "Precio Estadar")</f>
        <v>Precio Estadar</v>
      </c>
      <c r="Q756" t="s">
        <v>1101</v>
      </c>
      <c r="R756" t="s">
        <v>1102</v>
      </c>
      <c r="S756" s="11">
        <v>44950</v>
      </c>
      <c r="T756" t="s">
        <v>2984</v>
      </c>
      <c r="U756" t="s">
        <v>2181</v>
      </c>
    </row>
    <row r="757" spans="2:21" x14ac:dyDescent="0.3">
      <c r="B757" t="s">
        <v>1118</v>
      </c>
      <c r="C757" t="s">
        <v>2426</v>
      </c>
      <c r="D757" t="s">
        <v>2436</v>
      </c>
      <c r="E757" t="s">
        <v>2580</v>
      </c>
      <c r="F757" t="s">
        <v>2580</v>
      </c>
      <c r="G757" s="8">
        <v>3145</v>
      </c>
      <c r="H757" s="8">
        <f>+IF(BDAlquilerDepartamentos[[#This Row],[Ciudad]]="Lima",BDAlquilerDepartamentos[[#This Row],[Prec. Soles]]*0.1,BDAlquilerDepartamentos[[#This Row],[Prec. Soles]]*0.05)</f>
        <v>314.5</v>
      </c>
      <c r="I757" s="4">
        <v>2</v>
      </c>
      <c r="J757" s="4">
        <v>3</v>
      </c>
      <c r="K757" s="4" t="s">
        <v>3095</v>
      </c>
      <c r="L757" s="4" t="s">
        <v>3096</v>
      </c>
      <c r="M757" s="4">
        <v>90</v>
      </c>
      <c r="N757" s="4">
        <v>2006</v>
      </c>
      <c r="O757" s="4" t="str">
        <f>+IF(BDAlquilerDepartamentos[[#This Row],[Prec. Soles]]&gt;2500,"Caro","Economico")</f>
        <v>Caro</v>
      </c>
      <c r="P757" s="4" t="str">
        <f>+IF(AND(BDAlquilerDepartamentos[[#This Row],[N° de Dorm.]]&gt; 3,BDAlquilerDepartamentos[[#This Row],[Prec. Soles]]&lt;= 2500),"Buena Oferta", "Precio Estadar")</f>
        <v>Precio Estadar</v>
      </c>
      <c r="Q757" t="s">
        <v>1101</v>
      </c>
      <c r="R757" t="s">
        <v>1102</v>
      </c>
      <c r="S757" s="11">
        <v>44998</v>
      </c>
      <c r="T757" t="s">
        <v>3047</v>
      </c>
      <c r="U757" t="s">
        <v>2182</v>
      </c>
    </row>
    <row r="758" spans="2:21" x14ac:dyDescent="0.3">
      <c r="B758" t="s">
        <v>2183</v>
      </c>
      <c r="C758" t="s">
        <v>2741</v>
      </c>
      <c r="D758" t="s">
        <v>2742</v>
      </c>
      <c r="E758" t="s">
        <v>2580</v>
      </c>
      <c r="F758" t="s">
        <v>2580</v>
      </c>
      <c r="G758" s="8">
        <v>2960</v>
      </c>
      <c r="H758" s="8">
        <f>+IF(BDAlquilerDepartamentos[[#This Row],[Ciudad]]="Lima",BDAlquilerDepartamentos[[#This Row],[Prec. Soles]]*0.1,BDAlquilerDepartamentos[[#This Row],[Prec. Soles]]*0.05)</f>
        <v>296</v>
      </c>
      <c r="I758" s="4">
        <v>3</v>
      </c>
      <c r="J758" s="4">
        <v>2</v>
      </c>
      <c r="K758" s="4" t="s">
        <v>3096</v>
      </c>
      <c r="L758" s="4" t="s">
        <v>3096</v>
      </c>
      <c r="M758" s="4">
        <v>120</v>
      </c>
      <c r="N758" s="4">
        <v>2004</v>
      </c>
      <c r="O758" s="4" t="str">
        <f>+IF(BDAlquilerDepartamentos[[#This Row],[Prec. Soles]]&gt;2500,"Caro","Economico")</f>
        <v>Caro</v>
      </c>
      <c r="P758" s="4" t="str">
        <f>+IF(AND(BDAlquilerDepartamentos[[#This Row],[N° de Dorm.]]&gt; 3,BDAlquilerDepartamentos[[#This Row],[Prec. Soles]]&lt;= 2500),"Buena Oferta", "Precio Estadar")</f>
        <v>Precio Estadar</v>
      </c>
      <c r="Q758" t="s">
        <v>1399</v>
      </c>
      <c r="R758" t="s">
        <v>1102</v>
      </c>
      <c r="S758" s="11">
        <v>45274</v>
      </c>
      <c r="T758" t="s">
        <v>3048</v>
      </c>
      <c r="U758" t="s">
        <v>2184</v>
      </c>
    </row>
    <row r="759" spans="2:21" x14ac:dyDescent="0.3">
      <c r="B759" t="s">
        <v>2185</v>
      </c>
      <c r="C759" t="s">
        <v>2743</v>
      </c>
      <c r="D759" t="s">
        <v>2580</v>
      </c>
      <c r="E759" t="s">
        <v>2580</v>
      </c>
      <c r="F759" t="s">
        <v>2580</v>
      </c>
      <c r="G759" s="8">
        <v>3330</v>
      </c>
      <c r="H759" s="8">
        <f>+IF(BDAlquilerDepartamentos[[#This Row],[Ciudad]]="Lima",BDAlquilerDepartamentos[[#This Row],[Prec. Soles]]*0.1,BDAlquilerDepartamentos[[#This Row],[Prec. Soles]]*0.05)</f>
        <v>333</v>
      </c>
      <c r="I759" s="4">
        <v>1</v>
      </c>
      <c r="J759" s="4">
        <v>2</v>
      </c>
      <c r="K759" s="4" t="s">
        <v>3095</v>
      </c>
      <c r="L759" s="4" t="s">
        <v>3095</v>
      </c>
      <c r="M759" s="4">
        <v>105</v>
      </c>
      <c r="N759" s="4">
        <v>2005</v>
      </c>
      <c r="O759" s="4" t="str">
        <f>+IF(BDAlquilerDepartamentos[[#This Row],[Prec. Soles]]&gt;2500,"Caro","Economico")</f>
        <v>Caro</v>
      </c>
      <c r="P759" s="4" t="str">
        <f>+IF(AND(BDAlquilerDepartamentos[[#This Row],[N° de Dorm.]]&gt; 3,BDAlquilerDepartamentos[[#This Row],[Prec. Soles]]&lt;= 2500),"Buena Oferta", "Precio Estadar")</f>
        <v>Precio Estadar</v>
      </c>
      <c r="Q759" t="s">
        <v>1101</v>
      </c>
      <c r="R759" t="s">
        <v>1102</v>
      </c>
      <c r="S759" s="11">
        <v>45415</v>
      </c>
      <c r="T759" t="s">
        <v>2928</v>
      </c>
      <c r="U759" t="s">
        <v>2186</v>
      </c>
    </row>
    <row r="760" spans="2:21" x14ac:dyDescent="0.3">
      <c r="B760" t="s">
        <v>2187</v>
      </c>
      <c r="C760" t="s">
        <v>2744</v>
      </c>
      <c r="D760" t="s">
        <v>2580</v>
      </c>
      <c r="E760" t="s">
        <v>2580</v>
      </c>
      <c r="F760" t="s">
        <v>2580</v>
      </c>
      <c r="G760" s="8">
        <v>9250</v>
      </c>
      <c r="H760" s="8">
        <f>+IF(BDAlquilerDepartamentos[[#This Row],[Ciudad]]="Lima",BDAlquilerDepartamentos[[#This Row],[Prec. Soles]]*0.1,BDAlquilerDepartamentos[[#This Row],[Prec. Soles]]*0.05)</f>
        <v>925</v>
      </c>
      <c r="I760" s="4">
        <v>3</v>
      </c>
      <c r="J760" s="4">
        <v>3</v>
      </c>
      <c r="K760" s="4" t="s">
        <v>3095</v>
      </c>
      <c r="L760" s="4" t="s">
        <v>3096</v>
      </c>
      <c r="M760" s="4">
        <v>180</v>
      </c>
      <c r="N760" s="4">
        <v>2017</v>
      </c>
      <c r="O760" s="4" t="str">
        <f>+IF(BDAlquilerDepartamentos[[#This Row],[Prec. Soles]]&gt;2500,"Caro","Economico")</f>
        <v>Caro</v>
      </c>
      <c r="P760" s="4" t="str">
        <f>+IF(AND(BDAlquilerDepartamentos[[#This Row],[N° de Dorm.]]&gt; 3,BDAlquilerDepartamentos[[#This Row],[Prec. Soles]]&lt;= 2500),"Buena Oferta", "Precio Estadar")</f>
        <v>Precio Estadar</v>
      </c>
      <c r="Q760" t="s">
        <v>1101</v>
      </c>
      <c r="R760" t="s">
        <v>1102</v>
      </c>
      <c r="S760" s="11">
        <v>45151</v>
      </c>
      <c r="T760" t="s">
        <v>2905</v>
      </c>
      <c r="U760" t="s">
        <v>2188</v>
      </c>
    </row>
    <row r="761" spans="2:21" x14ac:dyDescent="0.3">
      <c r="B761" t="s">
        <v>2127</v>
      </c>
      <c r="C761" t="s">
        <v>2719</v>
      </c>
      <c r="D761" t="s">
        <v>2580</v>
      </c>
      <c r="E761" t="s">
        <v>2580</v>
      </c>
      <c r="F761" t="s">
        <v>2580</v>
      </c>
      <c r="G761" s="8">
        <v>5735</v>
      </c>
      <c r="H761" s="8">
        <f>+IF(BDAlquilerDepartamentos[[#This Row],[Ciudad]]="Lima",BDAlquilerDepartamentos[[#This Row],[Prec. Soles]]*0.1,BDAlquilerDepartamentos[[#This Row],[Prec. Soles]]*0.05)</f>
        <v>573.5</v>
      </c>
      <c r="I761" s="4">
        <v>5</v>
      </c>
      <c r="J761" s="4">
        <v>4</v>
      </c>
      <c r="K761" s="4" t="s">
        <v>3095</v>
      </c>
      <c r="L761" s="4" t="s">
        <v>3096</v>
      </c>
      <c r="M761" s="4">
        <v>200</v>
      </c>
      <c r="N761" s="4">
        <v>2006</v>
      </c>
      <c r="O761" s="4" t="str">
        <f>+IF(BDAlquilerDepartamentos[[#This Row],[Prec. Soles]]&gt;2500,"Caro","Economico")</f>
        <v>Caro</v>
      </c>
      <c r="P761" s="4" t="str">
        <f>+IF(AND(BDAlquilerDepartamentos[[#This Row],[N° de Dorm.]]&gt; 3,BDAlquilerDepartamentos[[#This Row],[Prec. Soles]]&lt;= 2500),"Buena Oferta", "Precio Estadar")</f>
        <v>Precio Estadar</v>
      </c>
      <c r="Q761" t="s">
        <v>1101</v>
      </c>
      <c r="R761" t="s">
        <v>1102</v>
      </c>
      <c r="S761" s="11">
        <v>45475</v>
      </c>
      <c r="T761" t="s">
        <v>3157</v>
      </c>
      <c r="U761" t="s">
        <v>2189</v>
      </c>
    </row>
    <row r="762" spans="2:21" x14ac:dyDescent="0.3">
      <c r="B762" t="s">
        <v>2190</v>
      </c>
      <c r="C762" t="s">
        <v>2745</v>
      </c>
      <c r="D762" t="s">
        <v>2480</v>
      </c>
      <c r="E762" t="s">
        <v>2580</v>
      </c>
      <c r="F762" t="s">
        <v>2580</v>
      </c>
      <c r="G762" s="8">
        <v>2889.7000000000003</v>
      </c>
      <c r="H762" s="8">
        <f>+IF(BDAlquilerDepartamentos[[#This Row],[Ciudad]]="Lima",BDAlquilerDepartamentos[[#This Row],[Prec. Soles]]*0.1,BDAlquilerDepartamentos[[#This Row],[Prec. Soles]]*0.05)</f>
        <v>288.97000000000003</v>
      </c>
      <c r="I762" s="4">
        <v>5</v>
      </c>
      <c r="J762" s="4">
        <v>4</v>
      </c>
      <c r="K762" s="4" t="s">
        <v>3096</v>
      </c>
      <c r="L762" s="4" t="s">
        <v>3095</v>
      </c>
      <c r="M762" s="4">
        <v>120</v>
      </c>
      <c r="N762" s="4">
        <v>2017</v>
      </c>
      <c r="O762" s="4" t="str">
        <f>+IF(BDAlquilerDepartamentos[[#This Row],[Prec. Soles]]&gt;2500,"Caro","Economico")</f>
        <v>Caro</v>
      </c>
      <c r="P762" s="4" t="str">
        <f>+IF(AND(BDAlquilerDepartamentos[[#This Row],[N° de Dorm.]]&gt; 3,BDAlquilerDepartamentos[[#This Row],[Prec. Soles]]&lt;= 2500),"Buena Oferta", "Precio Estadar")</f>
        <v>Precio Estadar</v>
      </c>
      <c r="Q762" t="s">
        <v>1113</v>
      </c>
      <c r="R762" t="s">
        <v>1102</v>
      </c>
      <c r="S762" s="11">
        <v>45365</v>
      </c>
      <c r="T762" t="s">
        <v>2821</v>
      </c>
      <c r="U762" t="s">
        <v>2191</v>
      </c>
    </row>
    <row r="763" spans="2:21" x14ac:dyDescent="0.3">
      <c r="B763" t="s">
        <v>2192</v>
      </c>
      <c r="C763" t="s">
        <v>2746</v>
      </c>
      <c r="D763" t="s">
        <v>2580</v>
      </c>
      <c r="E763" t="s">
        <v>2580</v>
      </c>
      <c r="F763" t="s">
        <v>2580</v>
      </c>
      <c r="G763" s="8">
        <v>1500</v>
      </c>
      <c r="H763" s="8">
        <f>+IF(BDAlquilerDepartamentos[[#This Row],[Ciudad]]="Lima",BDAlquilerDepartamentos[[#This Row],[Prec. Soles]]*0.1,BDAlquilerDepartamentos[[#This Row],[Prec. Soles]]*0.05)</f>
        <v>150</v>
      </c>
      <c r="I763" s="4">
        <v>3</v>
      </c>
      <c r="J763" s="4">
        <v>3</v>
      </c>
      <c r="K763" s="4" t="s">
        <v>3096</v>
      </c>
      <c r="L763" s="4" t="s">
        <v>3096</v>
      </c>
      <c r="M763" s="4">
        <v>135</v>
      </c>
      <c r="N763" s="4">
        <v>2015</v>
      </c>
      <c r="O763" s="4" t="str">
        <f>+IF(BDAlquilerDepartamentos[[#This Row],[Prec. Soles]]&gt;2500,"Caro","Economico")</f>
        <v>Economico</v>
      </c>
      <c r="P763" s="4" t="str">
        <f>+IF(AND(BDAlquilerDepartamentos[[#This Row],[N° de Dorm.]]&gt; 3,BDAlquilerDepartamentos[[#This Row],[Prec. Soles]]&lt;= 2500),"Buena Oferta", "Precio Estadar")</f>
        <v>Precio Estadar</v>
      </c>
      <c r="Q763" t="s">
        <v>1113</v>
      </c>
      <c r="R763" t="s">
        <v>1102</v>
      </c>
      <c r="S763" s="11">
        <v>45520</v>
      </c>
      <c r="T763" t="s">
        <v>3049</v>
      </c>
      <c r="U763" t="s">
        <v>2193</v>
      </c>
    </row>
    <row r="764" spans="2:21" x14ac:dyDescent="0.3">
      <c r="B764" t="s">
        <v>1195</v>
      </c>
      <c r="C764" t="s">
        <v>2468</v>
      </c>
      <c r="D764" t="s">
        <v>2428</v>
      </c>
      <c r="E764" t="s">
        <v>2580</v>
      </c>
      <c r="F764" t="s">
        <v>2580</v>
      </c>
      <c r="G764" s="8">
        <v>2923</v>
      </c>
      <c r="H764" s="8">
        <f>+IF(BDAlquilerDepartamentos[[#This Row],[Ciudad]]="Lima",BDAlquilerDepartamentos[[#This Row],[Prec. Soles]]*0.1,BDAlquilerDepartamentos[[#This Row],[Prec. Soles]]*0.05)</f>
        <v>292.3</v>
      </c>
      <c r="I764" s="4">
        <v>1</v>
      </c>
      <c r="J764" s="4">
        <v>1</v>
      </c>
      <c r="K764" s="4" t="s">
        <v>3095</v>
      </c>
      <c r="L764" s="4" t="s">
        <v>3095</v>
      </c>
      <c r="M764" s="4">
        <v>45</v>
      </c>
      <c r="N764" s="4">
        <v>2009</v>
      </c>
      <c r="O764" s="4" t="str">
        <f>+IF(BDAlquilerDepartamentos[[#This Row],[Prec. Soles]]&gt;2500,"Caro","Economico")</f>
        <v>Caro</v>
      </c>
      <c r="P764" s="4" t="str">
        <f>+IF(AND(BDAlquilerDepartamentos[[#This Row],[N° de Dorm.]]&gt; 3,BDAlquilerDepartamentos[[#This Row],[Prec. Soles]]&lt;= 2500),"Buena Oferta", "Precio Estadar")</f>
        <v>Precio Estadar</v>
      </c>
      <c r="Q764" t="s">
        <v>1101</v>
      </c>
      <c r="R764" t="s">
        <v>1102</v>
      </c>
      <c r="S764" s="11">
        <v>44982</v>
      </c>
      <c r="T764" t="s">
        <v>2863</v>
      </c>
      <c r="U764" t="s">
        <v>2194</v>
      </c>
    </row>
    <row r="765" spans="2:21" x14ac:dyDescent="0.3">
      <c r="B765" t="s">
        <v>1839</v>
      </c>
      <c r="C765" t="s">
        <v>2665</v>
      </c>
      <c r="D765" t="s">
        <v>2747</v>
      </c>
      <c r="E765" t="s">
        <v>2580</v>
      </c>
      <c r="F765" t="s">
        <v>2580</v>
      </c>
      <c r="G765" s="8">
        <v>27750</v>
      </c>
      <c r="H765" s="8">
        <f>+IF(BDAlquilerDepartamentos[[#This Row],[Ciudad]]="Lima",BDAlquilerDepartamentos[[#This Row],[Prec. Soles]]*0.1,BDAlquilerDepartamentos[[#This Row],[Prec. Soles]]*0.05)</f>
        <v>2775</v>
      </c>
      <c r="I765" s="4">
        <v>4</v>
      </c>
      <c r="J765" s="4">
        <v>4</v>
      </c>
      <c r="K765" s="4" t="s">
        <v>3096</v>
      </c>
      <c r="L765" s="4" t="s">
        <v>3096</v>
      </c>
      <c r="M765" s="4">
        <v>880</v>
      </c>
      <c r="N765" s="4">
        <v>2008</v>
      </c>
      <c r="O765" s="4" t="str">
        <f>+IF(BDAlquilerDepartamentos[[#This Row],[Prec. Soles]]&gt;2500,"Caro","Economico")</f>
        <v>Caro</v>
      </c>
      <c r="P765" s="4" t="str">
        <f>+IF(AND(BDAlquilerDepartamentos[[#This Row],[N° de Dorm.]]&gt; 3,BDAlquilerDepartamentos[[#This Row],[Prec. Soles]]&lt;= 2500),"Buena Oferta", "Precio Estadar")</f>
        <v>Precio Estadar</v>
      </c>
      <c r="Q765" t="s">
        <v>1101</v>
      </c>
      <c r="R765" t="s">
        <v>1102</v>
      </c>
      <c r="S765" s="11">
        <v>45205</v>
      </c>
      <c r="T765" t="s">
        <v>2996</v>
      </c>
      <c r="U765" t="s">
        <v>2195</v>
      </c>
    </row>
    <row r="766" spans="2:21" x14ac:dyDescent="0.3">
      <c r="B766" t="s">
        <v>2196</v>
      </c>
      <c r="C766" t="s">
        <v>2748</v>
      </c>
      <c r="D766" t="s">
        <v>2689</v>
      </c>
      <c r="E766" t="s">
        <v>2689</v>
      </c>
      <c r="F766" t="s">
        <v>2689</v>
      </c>
      <c r="G766" s="8">
        <v>9250</v>
      </c>
      <c r="H766" s="8">
        <f>+IF(BDAlquilerDepartamentos[[#This Row],[Ciudad]]="Lima",BDAlquilerDepartamentos[[#This Row],[Prec. Soles]]*0.1,BDAlquilerDepartamentos[[#This Row],[Prec. Soles]]*0.05)</f>
        <v>462.5</v>
      </c>
      <c r="I766" s="4">
        <v>4</v>
      </c>
      <c r="J766" s="4">
        <v>5</v>
      </c>
      <c r="K766" s="4" t="s">
        <v>3095</v>
      </c>
      <c r="L766" s="4" t="s">
        <v>3096</v>
      </c>
      <c r="M766" s="4">
        <v>400</v>
      </c>
      <c r="N766" s="4">
        <v>2014</v>
      </c>
      <c r="O766" s="4" t="str">
        <f>+IF(BDAlquilerDepartamentos[[#This Row],[Prec. Soles]]&gt;2500,"Caro","Economico")</f>
        <v>Caro</v>
      </c>
      <c r="P766" s="4" t="str">
        <f>+IF(AND(BDAlquilerDepartamentos[[#This Row],[N° de Dorm.]]&gt; 3,BDAlquilerDepartamentos[[#This Row],[Prec. Soles]]&lt;= 2500),"Buena Oferta", "Precio Estadar")</f>
        <v>Precio Estadar</v>
      </c>
      <c r="Q766" t="s">
        <v>1113</v>
      </c>
      <c r="R766" t="s">
        <v>1102</v>
      </c>
      <c r="S766" s="11">
        <v>44937</v>
      </c>
      <c r="T766" t="s">
        <v>3050</v>
      </c>
      <c r="U766" t="s">
        <v>2197</v>
      </c>
    </row>
    <row r="767" spans="2:21" x14ac:dyDescent="0.3">
      <c r="B767" t="s">
        <v>1557</v>
      </c>
      <c r="C767" t="s">
        <v>2591</v>
      </c>
      <c r="D767" t="s">
        <v>2436</v>
      </c>
      <c r="E767" t="s">
        <v>2580</v>
      </c>
      <c r="F767" t="s">
        <v>2580</v>
      </c>
      <c r="G767" s="8">
        <v>4255</v>
      </c>
      <c r="H767" s="8">
        <f>+IF(BDAlquilerDepartamentos[[#This Row],[Ciudad]]="Lima",BDAlquilerDepartamentos[[#This Row],[Prec. Soles]]*0.1,BDAlquilerDepartamentos[[#This Row],[Prec. Soles]]*0.05)</f>
        <v>425.5</v>
      </c>
      <c r="I767" s="4">
        <v>4</v>
      </c>
      <c r="J767" s="4">
        <v>5</v>
      </c>
      <c r="K767" s="4" t="s">
        <v>3095</v>
      </c>
      <c r="L767" s="4" t="s">
        <v>3096</v>
      </c>
      <c r="M767" s="4">
        <v>165</v>
      </c>
      <c r="N767" s="4">
        <v>2010</v>
      </c>
      <c r="O767" s="4" t="str">
        <f>+IF(BDAlquilerDepartamentos[[#This Row],[Prec. Soles]]&gt;2500,"Caro","Economico")</f>
        <v>Caro</v>
      </c>
      <c r="P767" s="4" t="str">
        <f>+IF(AND(BDAlquilerDepartamentos[[#This Row],[N° de Dorm.]]&gt; 3,BDAlquilerDepartamentos[[#This Row],[Prec. Soles]]&lt;= 2500),"Buena Oferta", "Precio Estadar")</f>
        <v>Precio Estadar</v>
      </c>
      <c r="Q767" t="s">
        <v>1101</v>
      </c>
      <c r="R767" t="s">
        <v>1102</v>
      </c>
      <c r="S767" s="11">
        <v>45294</v>
      </c>
      <c r="T767" t="s">
        <v>3011</v>
      </c>
      <c r="U767" t="s">
        <v>2198</v>
      </c>
    </row>
    <row r="768" spans="2:21" x14ac:dyDescent="0.3">
      <c r="B768" t="s">
        <v>2199</v>
      </c>
      <c r="C768" t="s">
        <v>2658</v>
      </c>
      <c r="D768" t="s">
        <v>2428</v>
      </c>
      <c r="E768" t="s">
        <v>2580</v>
      </c>
      <c r="F768" t="s">
        <v>2580</v>
      </c>
      <c r="G768" s="8">
        <v>18500</v>
      </c>
      <c r="H768" s="8">
        <f>+IF(BDAlquilerDepartamentos[[#This Row],[Ciudad]]="Lima",BDAlquilerDepartamentos[[#This Row],[Prec. Soles]]*0.1,BDAlquilerDepartamentos[[#This Row],[Prec. Soles]]*0.05)</f>
        <v>1850</v>
      </c>
      <c r="I768" s="4">
        <v>4</v>
      </c>
      <c r="J768" s="4">
        <v>5</v>
      </c>
      <c r="K768" s="4" t="s">
        <v>3095</v>
      </c>
      <c r="L768" s="4" t="s">
        <v>3095</v>
      </c>
      <c r="M768" s="4">
        <v>379</v>
      </c>
      <c r="N768" s="4">
        <v>2005</v>
      </c>
      <c r="O768" s="4" t="str">
        <f>+IF(BDAlquilerDepartamentos[[#This Row],[Prec. Soles]]&gt;2500,"Caro","Economico")</f>
        <v>Caro</v>
      </c>
      <c r="P768" s="4" t="str">
        <f>+IF(AND(BDAlquilerDepartamentos[[#This Row],[N° de Dorm.]]&gt; 3,BDAlquilerDepartamentos[[#This Row],[Prec. Soles]]&lt;= 2500),"Buena Oferta", "Precio Estadar")</f>
        <v>Precio Estadar</v>
      </c>
      <c r="Q768" t="s">
        <v>1113</v>
      </c>
      <c r="R768" t="s">
        <v>1102</v>
      </c>
      <c r="S768" s="11">
        <v>45422</v>
      </c>
      <c r="T768" t="s">
        <v>3087</v>
      </c>
      <c r="U768" t="s">
        <v>2200</v>
      </c>
    </row>
    <row r="769" spans="2:21" x14ac:dyDescent="0.3">
      <c r="B769" t="s">
        <v>1277</v>
      </c>
      <c r="C769" t="s">
        <v>2503</v>
      </c>
      <c r="D769" t="s">
        <v>2422</v>
      </c>
      <c r="E769" t="s">
        <v>2580</v>
      </c>
      <c r="F769" t="s">
        <v>2580</v>
      </c>
      <c r="G769" s="8">
        <v>4810</v>
      </c>
      <c r="H769" s="8">
        <f>+IF(BDAlquilerDepartamentos[[#This Row],[Ciudad]]="Lima",BDAlquilerDepartamentos[[#This Row],[Prec. Soles]]*0.1,BDAlquilerDepartamentos[[#This Row],[Prec. Soles]]*0.05)</f>
        <v>481</v>
      </c>
      <c r="I769" s="4">
        <v>3</v>
      </c>
      <c r="J769" s="4">
        <v>3</v>
      </c>
      <c r="K769" s="4" t="s">
        <v>3096</v>
      </c>
      <c r="L769" s="4" t="s">
        <v>3096</v>
      </c>
      <c r="M769" s="4">
        <v>110</v>
      </c>
      <c r="N769" s="4">
        <v>2014</v>
      </c>
      <c r="O769" s="4" t="str">
        <f>+IF(BDAlquilerDepartamentos[[#This Row],[Prec. Soles]]&gt;2500,"Caro","Economico")</f>
        <v>Caro</v>
      </c>
      <c r="P769" s="4" t="str">
        <f>+IF(AND(BDAlquilerDepartamentos[[#This Row],[N° de Dorm.]]&gt; 3,BDAlquilerDepartamentos[[#This Row],[Prec. Soles]]&lt;= 2500),"Buena Oferta", "Precio Estadar")</f>
        <v>Precio Estadar</v>
      </c>
      <c r="Q769" t="s">
        <v>1101</v>
      </c>
      <c r="R769" t="s">
        <v>1102</v>
      </c>
      <c r="S769" s="11">
        <v>45335</v>
      </c>
      <c r="T769" t="s">
        <v>2871</v>
      </c>
      <c r="U769" t="s">
        <v>2201</v>
      </c>
    </row>
    <row r="770" spans="2:21" x14ac:dyDescent="0.3">
      <c r="B770" t="s">
        <v>1557</v>
      </c>
      <c r="C770" t="s">
        <v>2591</v>
      </c>
      <c r="D770" t="s">
        <v>2436</v>
      </c>
      <c r="E770" t="s">
        <v>2580</v>
      </c>
      <c r="F770" t="s">
        <v>2580</v>
      </c>
      <c r="G770" s="8">
        <v>4255</v>
      </c>
      <c r="H770" s="8">
        <f>+IF(BDAlquilerDepartamentos[[#This Row],[Ciudad]]="Lima",BDAlquilerDepartamentos[[#This Row],[Prec. Soles]]*0.1,BDAlquilerDepartamentos[[#This Row],[Prec. Soles]]*0.05)</f>
        <v>425.5</v>
      </c>
      <c r="I770" s="4">
        <v>4</v>
      </c>
      <c r="J770" s="4">
        <v>5</v>
      </c>
      <c r="K770" s="4" t="s">
        <v>3095</v>
      </c>
      <c r="L770" s="4" t="s">
        <v>3096</v>
      </c>
      <c r="M770" s="4">
        <v>165</v>
      </c>
      <c r="N770" s="4">
        <v>2017</v>
      </c>
      <c r="O770" s="4" t="str">
        <f>+IF(BDAlquilerDepartamentos[[#This Row],[Prec. Soles]]&gt;2500,"Caro","Economico")</f>
        <v>Caro</v>
      </c>
      <c r="P770" s="4" t="str">
        <f>+IF(AND(BDAlquilerDepartamentos[[#This Row],[N° de Dorm.]]&gt; 3,BDAlquilerDepartamentos[[#This Row],[Prec. Soles]]&lt;= 2500),"Buena Oferta", "Precio Estadar")</f>
        <v>Precio Estadar</v>
      </c>
      <c r="Q770" t="s">
        <v>1101</v>
      </c>
      <c r="R770" t="s">
        <v>1102</v>
      </c>
      <c r="S770" s="11">
        <v>45631</v>
      </c>
      <c r="T770" t="s">
        <v>3011</v>
      </c>
      <c r="U770" t="s">
        <v>2202</v>
      </c>
    </row>
    <row r="771" spans="2:21" x14ac:dyDescent="0.3">
      <c r="B771" t="s">
        <v>2002</v>
      </c>
      <c r="C771" t="s">
        <v>2705</v>
      </c>
      <c r="D771" t="s">
        <v>2580</v>
      </c>
      <c r="E771" t="s">
        <v>2580</v>
      </c>
      <c r="F771" t="s">
        <v>2580</v>
      </c>
      <c r="G771" s="8">
        <v>7400</v>
      </c>
      <c r="H771" s="8">
        <f>+IF(BDAlquilerDepartamentos[[#This Row],[Ciudad]]="Lima",BDAlquilerDepartamentos[[#This Row],[Prec. Soles]]*0.1,BDAlquilerDepartamentos[[#This Row],[Prec. Soles]]*0.05)</f>
        <v>740</v>
      </c>
      <c r="I771" s="4">
        <v>3</v>
      </c>
      <c r="J771" s="4">
        <v>3</v>
      </c>
      <c r="K771" s="4" t="s">
        <v>3095</v>
      </c>
      <c r="L771" s="4" t="s">
        <v>3096</v>
      </c>
      <c r="M771" s="4">
        <v>200</v>
      </c>
      <c r="N771" s="4">
        <v>2011</v>
      </c>
      <c r="O771" s="4" t="str">
        <f>+IF(BDAlquilerDepartamentos[[#This Row],[Prec. Soles]]&gt;2500,"Caro","Economico")</f>
        <v>Caro</v>
      </c>
      <c r="P771" s="4" t="str">
        <f>+IF(AND(BDAlquilerDepartamentos[[#This Row],[N° de Dorm.]]&gt; 3,BDAlquilerDepartamentos[[#This Row],[Prec. Soles]]&lt;= 2500),"Buena Oferta", "Precio Estadar")</f>
        <v>Precio Estadar</v>
      </c>
      <c r="Q771" t="s">
        <v>1101</v>
      </c>
      <c r="R771" t="s">
        <v>1102</v>
      </c>
      <c r="S771" s="11">
        <v>45496</v>
      </c>
      <c r="T771" t="s">
        <v>3051</v>
      </c>
      <c r="U771" t="s">
        <v>2203</v>
      </c>
    </row>
    <row r="772" spans="2:21" x14ac:dyDescent="0.3">
      <c r="B772" t="s">
        <v>2204</v>
      </c>
      <c r="C772" t="s">
        <v>2749</v>
      </c>
      <c r="D772" t="s">
        <v>2422</v>
      </c>
      <c r="E772" t="s">
        <v>2580</v>
      </c>
      <c r="F772" t="s">
        <v>2580</v>
      </c>
      <c r="G772" s="8">
        <v>2682.5</v>
      </c>
      <c r="H772" s="8">
        <f>+IF(BDAlquilerDepartamentos[[#This Row],[Ciudad]]="Lima",BDAlquilerDepartamentos[[#This Row],[Prec. Soles]]*0.1,BDAlquilerDepartamentos[[#This Row],[Prec. Soles]]*0.05)</f>
        <v>268.25</v>
      </c>
      <c r="I772" s="4">
        <v>3</v>
      </c>
      <c r="J772" s="4">
        <v>3</v>
      </c>
      <c r="K772" s="4" t="s">
        <v>3095</v>
      </c>
      <c r="L772" s="4" t="s">
        <v>3096</v>
      </c>
      <c r="M772" s="4">
        <v>110</v>
      </c>
      <c r="N772" s="4">
        <v>2009</v>
      </c>
      <c r="O772" s="4" t="str">
        <f>+IF(BDAlquilerDepartamentos[[#This Row],[Prec. Soles]]&gt;2500,"Caro","Economico")</f>
        <v>Caro</v>
      </c>
      <c r="P772" s="4" t="str">
        <f>+IF(AND(BDAlquilerDepartamentos[[#This Row],[N° de Dorm.]]&gt; 3,BDAlquilerDepartamentos[[#This Row],[Prec. Soles]]&lt;= 2500),"Buena Oferta", "Precio Estadar")</f>
        <v>Precio Estadar</v>
      </c>
      <c r="Q772" t="s">
        <v>1101</v>
      </c>
      <c r="R772" t="s">
        <v>1102</v>
      </c>
      <c r="S772" s="11">
        <v>45511</v>
      </c>
      <c r="T772" t="s">
        <v>2861</v>
      </c>
      <c r="U772" t="s">
        <v>2205</v>
      </c>
    </row>
    <row r="773" spans="2:21" x14ac:dyDescent="0.3">
      <c r="B773" t="s">
        <v>2206</v>
      </c>
      <c r="C773" t="s">
        <v>2750</v>
      </c>
      <c r="D773" t="s">
        <v>3121</v>
      </c>
      <c r="E773" t="s">
        <v>2580</v>
      </c>
      <c r="F773" t="s">
        <v>2580</v>
      </c>
      <c r="G773" s="8">
        <v>9250</v>
      </c>
      <c r="H773" s="8">
        <f>+IF(BDAlquilerDepartamentos[[#This Row],[Ciudad]]="Lima",BDAlquilerDepartamentos[[#This Row],[Prec. Soles]]*0.1,BDAlquilerDepartamentos[[#This Row],[Prec. Soles]]*0.05)</f>
        <v>925</v>
      </c>
      <c r="I773" s="4">
        <v>5</v>
      </c>
      <c r="J773" s="4">
        <v>5</v>
      </c>
      <c r="K773" s="4" t="s">
        <v>3095</v>
      </c>
      <c r="L773" s="4" t="s">
        <v>3096</v>
      </c>
      <c r="M773" s="4">
        <v>535</v>
      </c>
      <c r="N773" s="4">
        <v>2015</v>
      </c>
      <c r="O773" s="4" t="str">
        <f>+IF(BDAlquilerDepartamentos[[#This Row],[Prec. Soles]]&gt;2500,"Caro","Economico")</f>
        <v>Caro</v>
      </c>
      <c r="P773" s="4" t="str">
        <f>+IF(AND(BDAlquilerDepartamentos[[#This Row],[N° de Dorm.]]&gt; 3,BDAlquilerDepartamentos[[#This Row],[Prec. Soles]]&lt;= 2500),"Buena Oferta", "Precio Estadar")</f>
        <v>Precio Estadar</v>
      </c>
      <c r="Q773" t="s">
        <v>1101</v>
      </c>
      <c r="R773" t="s">
        <v>1102</v>
      </c>
      <c r="S773" s="11">
        <v>45083</v>
      </c>
      <c r="T773" t="s">
        <v>2903</v>
      </c>
      <c r="U773" t="s">
        <v>2207</v>
      </c>
    </row>
    <row r="774" spans="2:21" x14ac:dyDescent="0.3">
      <c r="B774" t="s">
        <v>2208</v>
      </c>
      <c r="C774" t="s">
        <v>2751</v>
      </c>
      <c r="D774" t="s">
        <v>2422</v>
      </c>
      <c r="E774" t="s">
        <v>2580</v>
      </c>
      <c r="F774" t="s">
        <v>2580</v>
      </c>
      <c r="G774" s="8">
        <v>2500</v>
      </c>
      <c r="H774" s="8">
        <f>+IF(BDAlquilerDepartamentos[[#This Row],[Ciudad]]="Lima",BDAlquilerDepartamentos[[#This Row],[Prec. Soles]]*0.1,BDAlquilerDepartamentos[[#This Row],[Prec. Soles]]*0.05)</f>
        <v>250</v>
      </c>
      <c r="I774" s="4">
        <v>3</v>
      </c>
      <c r="J774" s="4">
        <v>4</v>
      </c>
      <c r="K774" s="4" t="s">
        <v>3095</v>
      </c>
      <c r="L774" s="4" t="s">
        <v>3096</v>
      </c>
      <c r="M774" s="4">
        <v>180</v>
      </c>
      <c r="N774" s="4">
        <v>2011</v>
      </c>
      <c r="O774" s="4" t="str">
        <f>+IF(BDAlquilerDepartamentos[[#This Row],[Prec. Soles]]&gt;2500,"Caro","Economico")</f>
        <v>Economico</v>
      </c>
      <c r="P774" s="4" t="str">
        <f>+IF(AND(BDAlquilerDepartamentos[[#This Row],[N° de Dorm.]]&gt; 3,BDAlquilerDepartamentos[[#This Row],[Prec. Soles]]&lt;= 2500),"Buena Oferta", "Precio Estadar")</f>
        <v>Precio Estadar</v>
      </c>
      <c r="Q774" t="s">
        <v>1101</v>
      </c>
      <c r="R774" t="s">
        <v>1102</v>
      </c>
      <c r="S774" s="11">
        <v>44944</v>
      </c>
      <c r="T774" t="s">
        <v>3086</v>
      </c>
      <c r="U774" t="s">
        <v>2209</v>
      </c>
    </row>
    <row r="775" spans="2:21" x14ac:dyDescent="0.3">
      <c r="B775" t="s">
        <v>2210</v>
      </c>
      <c r="C775" t="s">
        <v>2752</v>
      </c>
      <c r="D775" t="s">
        <v>2432</v>
      </c>
      <c r="E775" t="s">
        <v>2580</v>
      </c>
      <c r="F775" t="s">
        <v>2580</v>
      </c>
      <c r="G775" s="8">
        <v>1100</v>
      </c>
      <c r="H775" s="8">
        <f>+IF(BDAlquilerDepartamentos[[#This Row],[Ciudad]]="Lima",BDAlquilerDepartamentos[[#This Row],[Prec. Soles]]*0.1,BDAlquilerDepartamentos[[#This Row],[Prec. Soles]]*0.05)</f>
        <v>110</v>
      </c>
      <c r="I775" s="4">
        <v>3</v>
      </c>
      <c r="J775" s="4">
        <v>1</v>
      </c>
      <c r="K775" s="4" t="s">
        <v>3096</v>
      </c>
      <c r="L775" s="4" t="s">
        <v>3096</v>
      </c>
      <c r="M775" s="4">
        <v>65</v>
      </c>
      <c r="N775" s="4">
        <v>2018</v>
      </c>
      <c r="O775" s="4" t="str">
        <f>+IF(BDAlquilerDepartamentos[[#This Row],[Prec. Soles]]&gt;2500,"Caro","Economico")</f>
        <v>Economico</v>
      </c>
      <c r="P775" s="4" t="str">
        <f>+IF(AND(BDAlquilerDepartamentos[[#This Row],[N° de Dorm.]]&gt; 3,BDAlquilerDepartamentos[[#This Row],[Prec. Soles]]&lt;= 2500),"Buena Oferta", "Precio Estadar")</f>
        <v>Precio Estadar</v>
      </c>
      <c r="Q775" t="s">
        <v>1101</v>
      </c>
      <c r="R775" t="s">
        <v>1102</v>
      </c>
      <c r="S775" s="11">
        <v>45656</v>
      </c>
      <c r="T775" t="s">
        <v>3052</v>
      </c>
      <c r="U775" t="s">
        <v>2211</v>
      </c>
    </row>
    <row r="776" spans="2:21" x14ac:dyDescent="0.3">
      <c r="B776" t="s">
        <v>1100</v>
      </c>
      <c r="C776" t="s">
        <v>2415</v>
      </c>
      <c r="D776" t="s">
        <v>2436</v>
      </c>
      <c r="E776" t="s">
        <v>2580</v>
      </c>
      <c r="F776" t="s">
        <v>2580</v>
      </c>
      <c r="G776" s="8">
        <v>2775</v>
      </c>
      <c r="H776" s="8">
        <f>+IF(BDAlquilerDepartamentos[[#This Row],[Ciudad]]="Lima",BDAlquilerDepartamentos[[#This Row],[Prec. Soles]]*0.1,BDAlquilerDepartamentos[[#This Row],[Prec. Soles]]*0.05)</f>
        <v>277.5</v>
      </c>
      <c r="I776" s="4">
        <v>2</v>
      </c>
      <c r="J776" s="4">
        <v>2</v>
      </c>
      <c r="K776" s="4" t="s">
        <v>3095</v>
      </c>
      <c r="L776" s="4" t="s">
        <v>3095</v>
      </c>
      <c r="M776" s="4">
        <v>80</v>
      </c>
      <c r="N776" s="4">
        <v>2012</v>
      </c>
      <c r="O776" s="4" t="str">
        <f>+IF(BDAlquilerDepartamentos[[#This Row],[Prec. Soles]]&gt;2500,"Caro","Economico")</f>
        <v>Caro</v>
      </c>
      <c r="P776" s="4" t="str">
        <f>+IF(AND(BDAlquilerDepartamentos[[#This Row],[N° de Dorm.]]&gt; 3,BDAlquilerDepartamentos[[#This Row],[Prec. Soles]]&lt;= 2500),"Buena Oferta", "Precio Estadar")</f>
        <v>Precio Estadar</v>
      </c>
      <c r="Q776" t="s">
        <v>1101</v>
      </c>
      <c r="R776" t="s">
        <v>1102</v>
      </c>
      <c r="S776" s="11">
        <v>45322</v>
      </c>
      <c r="T776" t="s">
        <v>3053</v>
      </c>
      <c r="U776" t="s">
        <v>2212</v>
      </c>
    </row>
    <row r="777" spans="2:21" x14ac:dyDescent="0.3">
      <c r="B777" t="s">
        <v>1584</v>
      </c>
      <c r="C777" t="s">
        <v>2600</v>
      </c>
      <c r="D777" t="s">
        <v>2463</v>
      </c>
      <c r="E777" t="s">
        <v>2580</v>
      </c>
      <c r="F777" t="s">
        <v>2580</v>
      </c>
      <c r="G777" s="8">
        <v>2775</v>
      </c>
      <c r="H777" s="8">
        <f>+IF(BDAlquilerDepartamentos[[#This Row],[Ciudad]]="Lima",BDAlquilerDepartamentos[[#This Row],[Prec. Soles]]*0.1,BDAlquilerDepartamentos[[#This Row],[Prec. Soles]]*0.05)</f>
        <v>277.5</v>
      </c>
      <c r="I777" s="4">
        <v>3</v>
      </c>
      <c r="J777" s="4">
        <v>2</v>
      </c>
      <c r="K777" s="4" t="s">
        <v>3096</v>
      </c>
      <c r="L777" s="4" t="s">
        <v>3095</v>
      </c>
      <c r="M777" s="4">
        <v>83</v>
      </c>
      <c r="N777" s="4">
        <v>2007</v>
      </c>
      <c r="O777" s="4" t="str">
        <f>+IF(BDAlquilerDepartamentos[[#This Row],[Prec. Soles]]&gt;2500,"Caro","Economico")</f>
        <v>Caro</v>
      </c>
      <c r="P777" s="4" t="str">
        <f>+IF(AND(BDAlquilerDepartamentos[[#This Row],[N° de Dorm.]]&gt; 3,BDAlquilerDepartamentos[[#This Row],[Prec. Soles]]&lt;= 2500),"Buena Oferta", "Precio Estadar")</f>
        <v>Precio Estadar</v>
      </c>
      <c r="Q777" t="s">
        <v>1101</v>
      </c>
      <c r="R777" t="s">
        <v>1102</v>
      </c>
      <c r="S777" s="11">
        <v>45616</v>
      </c>
      <c r="T777" t="s">
        <v>3044</v>
      </c>
      <c r="U777" t="s">
        <v>2213</v>
      </c>
    </row>
    <row r="778" spans="2:21" x14ac:dyDescent="0.3">
      <c r="B778" t="s">
        <v>2214</v>
      </c>
      <c r="C778" t="s">
        <v>2753</v>
      </c>
      <c r="D778" t="s">
        <v>2473</v>
      </c>
      <c r="E778" t="s">
        <v>2473</v>
      </c>
      <c r="F778" t="s">
        <v>2473</v>
      </c>
      <c r="G778" s="8">
        <v>1000</v>
      </c>
      <c r="H778" s="8">
        <f>+IF(BDAlquilerDepartamentos[[#This Row],[Ciudad]]="Lima",BDAlquilerDepartamentos[[#This Row],[Prec. Soles]]*0.1,BDAlquilerDepartamentos[[#This Row],[Prec. Soles]]*0.05)</f>
        <v>50</v>
      </c>
      <c r="I778" s="4">
        <v>2</v>
      </c>
      <c r="J778" s="4">
        <v>1</v>
      </c>
      <c r="K778" s="4" t="s">
        <v>3095</v>
      </c>
      <c r="L778" s="4" t="s">
        <v>3096</v>
      </c>
      <c r="M778" s="4">
        <v>100</v>
      </c>
      <c r="N778" s="4">
        <v>2003</v>
      </c>
      <c r="O778" s="4" t="str">
        <f>+IF(BDAlquilerDepartamentos[[#This Row],[Prec. Soles]]&gt;2500,"Caro","Economico")</f>
        <v>Economico</v>
      </c>
      <c r="P778" s="4" t="str">
        <f>+IF(AND(BDAlquilerDepartamentos[[#This Row],[N° de Dorm.]]&gt; 3,BDAlquilerDepartamentos[[#This Row],[Prec. Soles]]&lt;= 2500),"Buena Oferta", "Precio Estadar")</f>
        <v>Precio Estadar</v>
      </c>
      <c r="Q778" t="s">
        <v>1101</v>
      </c>
      <c r="R778" t="s">
        <v>1102</v>
      </c>
      <c r="S778" s="11">
        <v>45607</v>
      </c>
      <c r="T778" t="s">
        <v>2876</v>
      </c>
      <c r="U778" t="s">
        <v>2215</v>
      </c>
    </row>
    <row r="779" spans="2:21" x14ac:dyDescent="0.3">
      <c r="B779" t="s">
        <v>1619</v>
      </c>
      <c r="C779" t="s">
        <v>2607</v>
      </c>
      <c r="D779" t="s">
        <v>2418</v>
      </c>
      <c r="E779" t="s">
        <v>2580</v>
      </c>
      <c r="F779" t="s">
        <v>2580</v>
      </c>
      <c r="G779" s="8">
        <v>2775</v>
      </c>
      <c r="H779" s="8">
        <f>+IF(BDAlquilerDepartamentos[[#This Row],[Ciudad]]="Lima",BDAlquilerDepartamentos[[#This Row],[Prec. Soles]]*0.1,BDAlquilerDepartamentos[[#This Row],[Prec. Soles]]*0.05)</f>
        <v>277.5</v>
      </c>
      <c r="I779" s="4">
        <v>1</v>
      </c>
      <c r="J779" s="4">
        <v>1</v>
      </c>
      <c r="K779" s="4" t="s">
        <v>3096</v>
      </c>
      <c r="L779" s="4" t="s">
        <v>3095</v>
      </c>
      <c r="M779" s="4">
        <v>50</v>
      </c>
      <c r="N779" s="4">
        <v>2013</v>
      </c>
      <c r="O779" s="4" t="str">
        <f>+IF(BDAlquilerDepartamentos[[#This Row],[Prec. Soles]]&gt;2500,"Caro","Economico")</f>
        <v>Caro</v>
      </c>
      <c r="P779" s="4" t="str">
        <f>+IF(AND(BDAlquilerDepartamentos[[#This Row],[N° de Dorm.]]&gt; 3,BDAlquilerDepartamentos[[#This Row],[Prec. Soles]]&lt;= 2500),"Buena Oferta", "Precio Estadar")</f>
        <v>Precio Estadar</v>
      </c>
      <c r="Q779" t="s">
        <v>1101</v>
      </c>
      <c r="R779" t="s">
        <v>1102</v>
      </c>
      <c r="S779" s="11">
        <v>44979</v>
      </c>
      <c r="T779" t="s">
        <v>2843</v>
      </c>
      <c r="U779" t="s">
        <v>2216</v>
      </c>
    </row>
    <row r="780" spans="2:21" x14ac:dyDescent="0.3">
      <c r="B780" t="s">
        <v>2217</v>
      </c>
      <c r="C780" t="s">
        <v>2754</v>
      </c>
      <c r="D780" t="s">
        <v>2580</v>
      </c>
      <c r="E780" t="s">
        <v>2580</v>
      </c>
      <c r="F780" t="s">
        <v>2580</v>
      </c>
      <c r="G780" s="8">
        <v>1700</v>
      </c>
      <c r="H780" s="8">
        <f>+IF(BDAlquilerDepartamentos[[#This Row],[Ciudad]]="Lima",BDAlquilerDepartamentos[[#This Row],[Prec. Soles]]*0.1,BDAlquilerDepartamentos[[#This Row],[Prec. Soles]]*0.05)</f>
        <v>170</v>
      </c>
      <c r="I780" s="4">
        <v>3</v>
      </c>
      <c r="J780" s="4">
        <v>2</v>
      </c>
      <c r="K780" s="4" t="s">
        <v>3095</v>
      </c>
      <c r="L780" s="4" t="s">
        <v>3096</v>
      </c>
      <c r="M780" s="4">
        <v>90</v>
      </c>
      <c r="N780" s="4">
        <v>2012</v>
      </c>
      <c r="O780" s="4" t="str">
        <f>+IF(BDAlquilerDepartamentos[[#This Row],[Prec. Soles]]&gt;2500,"Caro","Economico")</f>
        <v>Economico</v>
      </c>
      <c r="P780" s="4" t="str">
        <f>+IF(AND(BDAlquilerDepartamentos[[#This Row],[N° de Dorm.]]&gt; 3,BDAlquilerDepartamentos[[#This Row],[Prec. Soles]]&lt;= 2500),"Buena Oferta", "Precio Estadar")</f>
        <v>Precio Estadar</v>
      </c>
      <c r="Q780" t="s">
        <v>1101</v>
      </c>
      <c r="R780" t="s">
        <v>1102</v>
      </c>
      <c r="S780" s="11">
        <v>45270</v>
      </c>
      <c r="T780" t="s">
        <v>2851</v>
      </c>
      <c r="U780" t="s">
        <v>2218</v>
      </c>
    </row>
    <row r="781" spans="2:21" x14ac:dyDescent="0.3">
      <c r="B781" t="s">
        <v>1189</v>
      </c>
      <c r="C781" t="s">
        <v>2465</v>
      </c>
      <c r="D781" t="s">
        <v>2418</v>
      </c>
      <c r="E781" t="s">
        <v>2580</v>
      </c>
      <c r="F781" t="s">
        <v>2580</v>
      </c>
      <c r="G781" s="8">
        <v>1850</v>
      </c>
      <c r="H781" s="8">
        <f>+IF(BDAlquilerDepartamentos[[#This Row],[Ciudad]]="Lima",BDAlquilerDepartamentos[[#This Row],[Prec. Soles]]*0.1,BDAlquilerDepartamentos[[#This Row],[Prec. Soles]]*0.05)</f>
        <v>185</v>
      </c>
      <c r="I781" s="4">
        <v>1</v>
      </c>
      <c r="J781" s="4">
        <v>1</v>
      </c>
      <c r="K781" s="4" t="s">
        <v>3096</v>
      </c>
      <c r="L781" s="4" t="s">
        <v>3095</v>
      </c>
      <c r="M781" s="4">
        <v>47</v>
      </c>
      <c r="N781" s="4">
        <v>2011</v>
      </c>
      <c r="O781" s="4" t="str">
        <f>+IF(BDAlquilerDepartamentos[[#This Row],[Prec. Soles]]&gt;2500,"Caro","Economico")</f>
        <v>Economico</v>
      </c>
      <c r="P781" s="4" t="str">
        <f>+IF(AND(BDAlquilerDepartamentos[[#This Row],[N° de Dorm.]]&gt; 3,BDAlquilerDepartamentos[[#This Row],[Prec. Soles]]&lt;= 2500),"Buena Oferta", "Precio Estadar")</f>
        <v>Precio Estadar</v>
      </c>
      <c r="Q781" t="s">
        <v>1101</v>
      </c>
      <c r="R781" t="s">
        <v>1102</v>
      </c>
      <c r="S781" s="11">
        <v>45221</v>
      </c>
      <c r="T781" t="s">
        <v>3053</v>
      </c>
      <c r="U781" t="s">
        <v>2219</v>
      </c>
    </row>
    <row r="782" spans="2:21" x14ac:dyDescent="0.3">
      <c r="B782" t="s">
        <v>2220</v>
      </c>
      <c r="C782" t="s">
        <v>2755</v>
      </c>
      <c r="D782" t="s">
        <v>2425</v>
      </c>
      <c r="E782" t="s">
        <v>2580</v>
      </c>
      <c r="F782" t="s">
        <v>2580</v>
      </c>
      <c r="G782" s="8">
        <v>1200</v>
      </c>
      <c r="H782" s="8">
        <f>+IF(BDAlquilerDepartamentos[[#This Row],[Ciudad]]="Lima",BDAlquilerDepartamentos[[#This Row],[Prec. Soles]]*0.1,BDAlquilerDepartamentos[[#This Row],[Prec. Soles]]*0.05)</f>
        <v>120</v>
      </c>
      <c r="I782" s="4">
        <v>2</v>
      </c>
      <c r="J782" s="4">
        <v>1</v>
      </c>
      <c r="K782" s="4" t="s">
        <v>3095</v>
      </c>
      <c r="L782" s="4" t="s">
        <v>3096</v>
      </c>
      <c r="M782" s="4">
        <v>55</v>
      </c>
      <c r="N782" s="4">
        <v>2008</v>
      </c>
      <c r="O782" s="4" t="str">
        <f>+IF(BDAlquilerDepartamentos[[#This Row],[Prec. Soles]]&gt;2500,"Caro","Economico")</f>
        <v>Economico</v>
      </c>
      <c r="P782" s="4" t="str">
        <f>+IF(AND(BDAlquilerDepartamentos[[#This Row],[N° de Dorm.]]&gt; 3,BDAlquilerDepartamentos[[#This Row],[Prec. Soles]]&lt;= 2500),"Buena Oferta", "Precio Estadar")</f>
        <v>Precio Estadar</v>
      </c>
      <c r="Q782" t="s">
        <v>1101</v>
      </c>
      <c r="R782" t="s">
        <v>1102</v>
      </c>
      <c r="S782" s="11">
        <v>44972</v>
      </c>
      <c r="T782" t="s">
        <v>2967</v>
      </c>
      <c r="U782" t="s">
        <v>2221</v>
      </c>
    </row>
    <row r="783" spans="2:21" x14ac:dyDescent="0.3">
      <c r="B783" t="s">
        <v>1189</v>
      </c>
      <c r="C783" t="s">
        <v>2465</v>
      </c>
      <c r="D783" t="s">
        <v>2418</v>
      </c>
      <c r="E783" t="s">
        <v>2580</v>
      </c>
      <c r="F783" t="s">
        <v>2580</v>
      </c>
      <c r="G783" s="8">
        <v>2035</v>
      </c>
      <c r="H783" s="8">
        <f>+IF(BDAlquilerDepartamentos[[#This Row],[Ciudad]]="Lima",BDAlquilerDepartamentos[[#This Row],[Prec. Soles]]*0.1,BDAlquilerDepartamentos[[#This Row],[Prec. Soles]]*0.05)</f>
        <v>203.5</v>
      </c>
      <c r="I783" s="4">
        <v>1</v>
      </c>
      <c r="J783" s="4">
        <v>1</v>
      </c>
      <c r="K783" s="4" t="s">
        <v>3095</v>
      </c>
      <c r="L783" s="4" t="s">
        <v>3095</v>
      </c>
      <c r="M783" s="4">
        <v>48</v>
      </c>
      <c r="N783" s="4">
        <v>2014</v>
      </c>
      <c r="O783" s="4" t="str">
        <f>+IF(BDAlquilerDepartamentos[[#This Row],[Prec. Soles]]&gt;2500,"Caro","Economico")</f>
        <v>Economico</v>
      </c>
      <c r="P783" s="4" t="str">
        <f>+IF(AND(BDAlquilerDepartamentos[[#This Row],[N° de Dorm.]]&gt; 3,BDAlquilerDepartamentos[[#This Row],[Prec. Soles]]&lt;= 2500),"Buena Oferta", "Precio Estadar")</f>
        <v>Precio Estadar</v>
      </c>
      <c r="Q783" t="s">
        <v>1101</v>
      </c>
      <c r="R783" t="s">
        <v>1102</v>
      </c>
      <c r="S783" s="11">
        <v>45386</v>
      </c>
      <c r="T783" t="s">
        <v>3053</v>
      </c>
      <c r="U783" t="s">
        <v>2222</v>
      </c>
    </row>
    <row r="784" spans="2:21" x14ac:dyDescent="0.3">
      <c r="B784" t="s">
        <v>1118</v>
      </c>
      <c r="C784" t="s">
        <v>2426</v>
      </c>
      <c r="D784" t="s">
        <v>2436</v>
      </c>
      <c r="E784" t="s">
        <v>2580</v>
      </c>
      <c r="F784" t="s">
        <v>2580</v>
      </c>
      <c r="G784" s="8">
        <v>5180</v>
      </c>
      <c r="H784" s="8">
        <f>+IF(BDAlquilerDepartamentos[[#This Row],[Ciudad]]="Lima",BDAlquilerDepartamentos[[#This Row],[Prec. Soles]]*0.1,BDAlquilerDepartamentos[[#This Row],[Prec. Soles]]*0.05)</f>
        <v>518</v>
      </c>
      <c r="I784" s="4">
        <v>2</v>
      </c>
      <c r="J784" s="4">
        <v>2</v>
      </c>
      <c r="K784" s="4" t="s">
        <v>3096</v>
      </c>
      <c r="L784" s="4" t="s">
        <v>3096</v>
      </c>
      <c r="M784" s="4">
        <v>115</v>
      </c>
      <c r="N784" s="4">
        <v>2011</v>
      </c>
      <c r="O784" s="4" t="str">
        <f>+IF(BDAlquilerDepartamentos[[#This Row],[Prec. Soles]]&gt;2500,"Caro","Economico")</f>
        <v>Caro</v>
      </c>
      <c r="P784" s="4" t="str">
        <f>+IF(AND(BDAlquilerDepartamentos[[#This Row],[N° de Dorm.]]&gt; 3,BDAlquilerDepartamentos[[#This Row],[Prec. Soles]]&lt;= 2500),"Buena Oferta", "Precio Estadar")</f>
        <v>Precio Estadar</v>
      </c>
      <c r="Q784" t="s">
        <v>1101</v>
      </c>
      <c r="R784" t="s">
        <v>1102</v>
      </c>
      <c r="S784" s="11">
        <v>44961</v>
      </c>
      <c r="T784" t="s">
        <v>2907</v>
      </c>
      <c r="U784" t="s">
        <v>2223</v>
      </c>
    </row>
    <row r="785" spans="2:21" x14ac:dyDescent="0.3">
      <c r="B785" t="s">
        <v>2224</v>
      </c>
      <c r="C785" t="s">
        <v>2756</v>
      </c>
      <c r="D785" t="s">
        <v>2432</v>
      </c>
      <c r="E785" t="s">
        <v>2580</v>
      </c>
      <c r="F785" t="s">
        <v>2580</v>
      </c>
      <c r="G785" s="8">
        <v>3700</v>
      </c>
      <c r="H785" s="8">
        <f>+IF(BDAlquilerDepartamentos[[#This Row],[Ciudad]]="Lima",BDAlquilerDepartamentos[[#This Row],[Prec. Soles]]*0.1,BDAlquilerDepartamentos[[#This Row],[Prec. Soles]]*0.05)</f>
        <v>370</v>
      </c>
      <c r="I785" s="4">
        <v>8</v>
      </c>
      <c r="J785" s="4">
        <v>3</v>
      </c>
      <c r="K785" s="4" t="s">
        <v>3095</v>
      </c>
      <c r="L785" s="4" t="s">
        <v>3095</v>
      </c>
      <c r="M785" s="4">
        <v>54</v>
      </c>
      <c r="N785" s="4">
        <v>2018</v>
      </c>
      <c r="O785" s="4" t="str">
        <f>+IF(BDAlquilerDepartamentos[[#This Row],[Prec. Soles]]&gt;2500,"Caro","Economico")</f>
        <v>Caro</v>
      </c>
      <c r="P785" s="4" t="str">
        <f>+IF(AND(BDAlquilerDepartamentos[[#This Row],[N° de Dorm.]]&gt; 3,BDAlquilerDepartamentos[[#This Row],[Prec. Soles]]&lt;= 2500),"Buena Oferta", "Precio Estadar")</f>
        <v>Precio Estadar</v>
      </c>
      <c r="Q785" t="s">
        <v>1113</v>
      </c>
      <c r="R785" t="s">
        <v>1102</v>
      </c>
      <c r="S785" s="11">
        <v>45048</v>
      </c>
      <c r="T785" t="s">
        <v>2873</v>
      </c>
      <c r="U785" t="s">
        <v>2225</v>
      </c>
    </row>
    <row r="786" spans="2:21" x14ac:dyDescent="0.3">
      <c r="B786" t="s">
        <v>2226</v>
      </c>
      <c r="C786" t="s">
        <v>2757</v>
      </c>
      <c r="D786" t="s">
        <v>2580</v>
      </c>
      <c r="E786" t="s">
        <v>2580</v>
      </c>
      <c r="F786" t="s">
        <v>2580</v>
      </c>
      <c r="G786" s="8">
        <v>66600</v>
      </c>
      <c r="H786" s="8">
        <f>+IF(BDAlquilerDepartamentos[[#This Row],[Ciudad]]="Lima",BDAlquilerDepartamentos[[#This Row],[Prec. Soles]]*0.1,BDAlquilerDepartamentos[[#This Row],[Prec. Soles]]*0.05)</f>
        <v>6660</v>
      </c>
      <c r="I786" s="4">
        <v>6</v>
      </c>
      <c r="J786" s="4">
        <v>4</v>
      </c>
      <c r="K786" s="4" t="s">
        <v>3096</v>
      </c>
      <c r="L786" s="4" t="s">
        <v>3095</v>
      </c>
      <c r="M786" s="17">
        <v>1298</v>
      </c>
      <c r="N786" s="4">
        <v>2004</v>
      </c>
      <c r="O786" s="4" t="str">
        <f>+IF(BDAlquilerDepartamentos[[#This Row],[Prec. Soles]]&gt;2500,"Caro","Economico")</f>
        <v>Caro</v>
      </c>
      <c r="P786" s="4" t="str">
        <f>+IF(AND(BDAlquilerDepartamentos[[#This Row],[N° de Dorm.]]&gt; 3,BDAlquilerDepartamentos[[#This Row],[Prec. Soles]]&lt;= 2500),"Buena Oferta", "Precio Estadar")</f>
        <v>Precio Estadar</v>
      </c>
      <c r="Q786" t="s">
        <v>1113</v>
      </c>
      <c r="R786" t="s">
        <v>1102</v>
      </c>
      <c r="S786" s="11">
        <v>45479</v>
      </c>
      <c r="T786" t="s">
        <v>2996</v>
      </c>
      <c r="U786" t="s">
        <v>2227</v>
      </c>
    </row>
    <row r="787" spans="2:21" x14ac:dyDescent="0.3">
      <c r="B787" t="s">
        <v>1717</v>
      </c>
      <c r="C787" t="s">
        <v>2635</v>
      </c>
      <c r="D787" t="s">
        <v>2580</v>
      </c>
      <c r="E787" t="s">
        <v>2580</v>
      </c>
      <c r="F787" t="s">
        <v>2580</v>
      </c>
      <c r="G787" s="8">
        <v>6660</v>
      </c>
      <c r="H787" s="8">
        <f>+IF(BDAlquilerDepartamentos[[#This Row],[Ciudad]]="Lima",BDAlquilerDepartamentos[[#This Row],[Prec. Soles]]*0.1,BDAlquilerDepartamentos[[#This Row],[Prec. Soles]]*0.05)</f>
        <v>666</v>
      </c>
      <c r="I787" s="4">
        <v>2</v>
      </c>
      <c r="J787" s="4">
        <v>2</v>
      </c>
      <c r="K787" s="4" t="s">
        <v>3096</v>
      </c>
      <c r="L787" s="4" t="s">
        <v>3096</v>
      </c>
      <c r="M787" s="4">
        <v>165</v>
      </c>
      <c r="N787" s="4">
        <v>2011</v>
      </c>
      <c r="O787" s="4" t="str">
        <f>+IF(BDAlquilerDepartamentos[[#This Row],[Prec. Soles]]&gt;2500,"Caro","Economico")</f>
        <v>Caro</v>
      </c>
      <c r="P787" s="4" t="str">
        <f>+IF(AND(BDAlquilerDepartamentos[[#This Row],[N° de Dorm.]]&gt; 3,BDAlquilerDepartamentos[[#This Row],[Prec. Soles]]&lt;= 2500),"Buena Oferta", "Precio Estadar")</f>
        <v>Precio Estadar</v>
      </c>
      <c r="Q787" t="s">
        <v>1101</v>
      </c>
      <c r="R787" t="s">
        <v>1102</v>
      </c>
      <c r="S787" s="11">
        <v>45484</v>
      </c>
      <c r="T787" t="s">
        <v>2996</v>
      </c>
      <c r="U787" t="s">
        <v>2228</v>
      </c>
    </row>
    <row r="788" spans="2:21" x14ac:dyDescent="0.3">
      <c r="B788" t="s">
        <v>1122</v>
      </c>
      <c r="C788" t="s">
        <v>2429</v>
      </c>
      <c r="D788" t="s">
        <v>2553</v>
      </c>
      <c r="E788" t="s">
        <v>2580</v>
      </c>
      <c r="F788" t="s">
        <v>2580</v>
      </c>
      <c r="G788" s="8">
        <v>5180</v>
      </c>
      <c r="H788" s="8">
        <f>+IF(BDAlquilerDepartamentos[[#This Row],[Ciudad]]="Lima",BDAlquilerDepartamentos[[#This Row],[Prec. Soles]]*0.1,BDAlquilerDepartamentos[[#This Row],[Prec. Soles]]*0.05)</f>
        <v>518</v>
      </c>
      <c r="I788" s="4">
        <v>3</v>
      </c>
      <c r="J788" s="4">
        <v>2</v>
      </c>
      <c r="K788" s="4" t="s">
        <v>3096</v>
      </c>
      <c r="L788" s="4" t="s">
        <v>3096</v>
      </c>
      <c r="M788" s="4">
        <v>140</v>
      </c>
      <c r="N788" s="4">
        <v>2012</v>
      </c>
      <c r="O788" s="4" t="str">
        <f>+IF(BDAlquilerDepartamentos[[#This Row],[Prec. Soles]]&gt;2500,"Caro","Economico")</f>
        <v>Caro</v>
      </c>
      <c r="P788" s="4" t="str">
        <f>+IF(AND(BDAlquilerDepartamentos[[#This Row],[N° de Dorm.]]&gt; 3,BDAlquilerDepartamentos[[#This Row],[Prec. Soles]]&lt;= 2500),"Buena Oferta", "Precio Estadar")</f>
        <v>Precio Estadar</v>
      </c>
      <c r="Q788" t="s">
        <v>1101</v>
      </c>
      <c r="R788" t="s">
        <v>1102</v>
      </c>
      <c r="S788" s="11">
        <v>45371</v>
      </c>
      <c r="T788" t="s">
        <v>2996</v>
      </c>
      <c r="U788" t="s">
        <v>2229</v>
      </c>
    </row>
    <row r="789" spans="2:21" x14ac:dyDescent="0.3">
      <c r="B789" t="s">
        <v>2230</v>
      </c>
      <c r="C789" t="s">
        <v>2758</v>
      </c>
      <c r="D789" t="s">
        <v>2799</v>
      </c>
      <c r="E789" t="s">
        <v>2580</v>
      </c>
      <c r="F789" t="s">
        <v>2580</v>
      </c>
      <c r="G789" s="8">
        <v>1000</v>
      </c>
      <c r="H789" s="8">
        <f>+IF(BDAlquilerDepartamentos[[#This Row],[Ciudad]]="Lima",BDAlquilerDepartamentos[[#This Row],[Prec. Soles]]*0.1,BDAlquilerDepartamentos[[#This Row],[Prec. Soles]]*0.05)</f>
        <v>100</v>
      </c>
      <c r="I789" s="4">
        <v>2</v>
      </c>
      <c r="J789" s="4">
        <v>1</v>
      </c>
      <c r="K789" s="4" t="s">
        <v>3096</v>
      </c>
      <c r="L789" s="4" t="s">
        <v>3095</v>
      </c>
      <c r="M789" s="4">
        <v>65</v>
      </c>
      <c r="N789" s="4">
        <v>2018</v>
      </c>
      <c r="O789" s="4" t="str">
        <f>+IF(BDAlquilerDepartamentos[[#This Row],[Prec. Soles]]&gt;2500,"Caro","Economico")</f>
        <v>Economico</v>
      </c>
      <c r="P789" s="4" t="str">
        <f>+IF(AND(BDAlquilerDepartamentos[[#This Row],[N° de Dorm.]]&gt; 3,BDAlquilerDepartamentos[[#This Row],[Prec. Soles]]&lt;= 2500),"Buena Oferta", "Precio Estadar")</f>
        <v>Precio Estadar</v>
      </c>
      <c r="Q789" t="s">
        <v>1101</v>
      </c>
      <c r="R789" t="s">
        <v>1102</v>
      </c>
      <c r="S789" s="11">
        <v>45026</v>
      </c>
      <c r="T789" t="s">
        <v>2821</v>
      </c>
      <c r="U789" t="s">
        <v>2231</v>
      </c>
    </row>
    <row r="790" spans="2:21" x14ac:dyDescent="0.3">
      <c r="B790" t="s">
        <v>2232</v>
      </c>
      <c r="C790" t="s">
        <v>2759</v>
      </c>
      <c r="D790" t="s">
        <v>2660</v>
      </c>
      <c r="E790" t="s">
        <v>2580</v>
      </c>
      <c r="F790" t="s">
        <v>2580</v>
      </c>
      <c r="G790" s="8">
        <v>17760</v>
      </c>
      <c r="H790" s="8">
        <f>+IF(BDAlquilerDepartamentos[[#This Row],[Ciudad]]="Lima",BDAlquilerDepartamentos[[#This Row],[Prec. Soles]]*0.1,BDAlquilerDepartamentos[[#This Row],[Prec. Soles]]*0.05)</f>
        <v>1776</v>
      </c>
      <c r="I790" s="4">
        <v>3</v>
      </c>
      <c r="J790" s="4">
        <v>3</v>
      </c>
      <c r="K790" s="4" t="s">
        <v>3095</v>
      </c>
      <c r="L790" s="4" t="s">
        <v>3096</v>
      </c>
      <c r="M790" s="4">
        <v>410</v>
      </c>
      <c r="N790" s="4">
        <v>2005</v>
      </c>
      <c r="O790" s="4" t="str">
        <f>+IF(BDAlquilerDepartamentos[[#This Row],[Prec. Soles]]&gt;2500,"Caro","Economico")</f>
        <v>Caro</v>
      </c>
      <c r="P790" s="4" t="str">
        <f>+IF(AND(BDAlquilerDepartamentos[[#This Row],[N° de Dorm.]]&gt; 3,BDAlquilerDepartamentos[[#This Row],[Prec. Soles]]&lt;= 2500),"Buena Oferta", "Precio Estadar")</f>
        <v>Precio Estadar</v>
      </c>
      <c r="Q790" t="s">
        <v>1101</v>
      </c>
      <c r="R790" t="s">
        <v>1102</v>
      </c>
      <c r="S790" s="11">
        <v>45039</v>
      </c>
      <c r="T790" t="s">
        <v>2996</v>
      </c>
      <c r="U790" t="s">
        <v>2233</v>
      </c>
    </row>
    <row r="791" spans="2:21" x14ac:dyDescent="0.3">
      <c r="B791" t="s">
        <v>2234</v>
      </c>
      <c r="C791" t="s">
        <v>2446</v>
      </c>
      <c r="D791" t="s">
        <v>2580</v>
      </c>
      <c r="E791" t="s">
        <v>2580</v>
      </c>
      <c r="F791" t="s">
        <v>2580</v>
      </c>
      <c r="G791" s="8">
        <v>29600</v>
      </c>
      <c r="H791" s="8">
        <f>+IF(BDAlquilerDepartamentos[[#This Row],[Ciudad]]="Lima",BDAlquilerDepartamentos[[#This Row],[Prec. Soles]]*0.1,BDAlquilerDepartamentos[[#This Row],[Prec. Soles]]*0.05)</f>
        <v>2960</v>
      </c>
      <c r="I791" s="4">
        <v>5</v>
      </c>
      <c r="J791" s="4">
        <v>3</v>
      </c>
      <c r="K791" s="4" t="s">
        <v>3095</v>
      </c>
      <c r="L791" s="4" t="s">
        <v>3095</v>
      </c>
      <c r="M791" s="4">
        <v>890</v>
      </c>
      <c r="N791" s="4">
        <v>2018</v>
      </c>
      <c r="O791" s="4" t="str">
        <f>+IF(BDAlquilerDepartamentos[[#This Row],[Prec. Soles]]&gt;2500,"Caro","Economico")</f>
        <v>Caro</v>
      </c>
      <c r="P791" s="4" t="str">
        <f>+IF(AND(BDAlquilerDepartamentos[[#This Row],[N° de Dorm.]]&gt; 3,BDAlquilerDepartamentos[[#This Row],[Prec. Soles]]&lt;= 2500),"Buena Oferta", "Precio Estadar")</f>
        <v>Precio Estadar</v>
      </c>
      <c r="Q791" t="s">
        <v>1113</v>
      </c>
      <c r="R791" t="s">
        <v>1102</v>
      </c>
      <c r="S791" s="11">
        <v>45339</v>
      </c>
      <c r="T791" t="s">
        <v>2996</v>
      </c>
      <c r="U791" t="s">
        <v>2235</v>
      </c>
    </row>
    <row r="792" spans="2:21" x14ac:dyDescent="0.3">
      <c r="B792" t="s">
        <v>1100</v>
      </c>
      <c r="C792" t="s">
        <v>2415</v>
      </c>
      <c r="D792" t="s">
        <v>2436</v>
      </c>
      <c r="E792" t="s">
        <v>2580</v>
      </c>
      <c r="F792" t="s">
        <v>2580</v>
      </c>
      <c r="G792" s="8">
        <v>2960</v>
      </c>
      <c r="H792" s="8">
        <f>+IF(BDAlquilerDepartamentos[[#This Row],[Ciudad]]="Lima",BDAlquilerDepartamentos[[#This Row],[Prec. Soles]]*0.1,BDAlquilerDepartamentos[[#This Row],[Prec. Soles]]*0.05)</f>
        <v>296</v>
      </c>
      <c r="I792" s="4">
        <v>1</v>
      </c>
      <c r="J792" s="4">
        <v>1</v>
      </c>
      <c r="K792" s="4" t="s">
        <v>3095</v>
      </c>
      <c r="L792" s="4" t="s">
        <v>3095</v>
      </c>
      <c r="M792" s="4">
        <v>58</v>
      </c>
      <c r="N792" s="4">
        <v>2003</v>
      </c>
      <c r="O792" s="4" t="str">
        <f>+IF(BDAlquilerDepartamentos[[#This Row],[Prec. Soles]]&gt;2500,"Caro","Economico")</f>
        <v>Caro</v>
      </c>
      <c r="P792" s="4" t="str">
        <f>+IF(AND(BDAlquilerDepartamentos[[#This Row],[N° de Dorm.]]&gt; 3,BDAlquilerDepartamentos[[#This Row],[Prec. Soles]]&lt;= 2500),"Buena Oferta", "Precio Estadar")</f>
        <v>Precio Estadar</v>
      </c>
      <c r="Q792" t="s">
        <v>1101</v>
      </c>
      <c r="R792" t="s">
        <v>1102</v>
      </c>
      <c r="S792" s="11">
        <v>45184</v>
      </c>
      <c r="T792" t="s">
        <v>3054</v>
      </c>
      <c r="U792" t="s">
        <v>2236</v>
      </c>
    </row>
    <row r="793" spans="2:21" x14ac:dyDescent="0.3">
      <c r="B793" t="s">
        <v>2237</v>
      </c>
      <c r="C793" t="s">
        <v>2760</v>
      </c>
      <c r="D793" t="s">
        <v>2580</v>
      </c>
      <c r="E793" t="s">
        <v>2580</v>
      </c>
      <c r="F793" t="s">
        <v>2580</v>
      </c>
      <c r="G793" s="8">
        <v>13690</v>
      </c>
      <c r="H793" s="8">
        <f>+IF(BDAlquilerDepartamentos[[#This Row],[Ciudad]]="Lima",BDAlquilerDepartamentos[[#This Row],[Prec. Soles]]*0.1,BDAlquilerDepartamentos[[#This Row],[Prec. Soles]]*0.05)</f>
        <v>1369</v>
      </c>
      <c r="I793" s="4">
        <v>4</v>
      </c>
      <c r="J793" s="4">
        <v>4</v>
      </c>
      <c r="K793" s="4" t="s">
        <v>3095</v>
      </c>
      <c r="L793" s="4" t="s">
        <v>3096</v>
      </c>
      <c r="M793" s="4">
        <v>330</v>
      </c>
      <c r="N793" s="4">
        <v>2009</v>
      </c>
      <c r="O793" s="4" t="str">
        <f>+IF(BDAlquilerDepartamentos[[#This Row],[Prec. Soles]]&gt;2500,"Caro","Economico")</f>
        <v>Caro</v>
      </c>
      <c r="P793" s="4" t="str">
        <f>+IF(AND(BDAlquilerDepartamentos[[#This Row],[N° de Dorm.]]&gt; 3,BDAlquilerDepartamentos[[#This Row],[Prec. Soles]]&lt;= 2500),"Buena Oferta", "Precio Estadar")</f>
        <v>Precio Estadar</v>
      </c>
      <c r="Q793" t="s">
        <v>1101</v>
      </c>
      <c r="R793" t="s">
        <v>1102</v>
      </c>
      <c r="S793" s="11">
        <v>45415</v>
      </c>
      <c r="T793" t="s">
        <v>3157</v>
      </c>
      <c r="U793" t="s">
        <v>2238</v>
      </c>
    </row>
    <row r="794" spans="2:21" x14ac:dyDescent="0.3">
      <c r="B794" t="s">
        <v>1839</v>
      </c>
      <c r="C794" t="s">
        <v>2665</v>
      </c>
      <c r="D794" t="s">
        <v>2580</v>
      </c>
      <c r="E794" t="s">
        <v>2580</v>
      </c>
      <c r="F794" t="s">
        <v>2580</v>
      </c>
      <c r="G794" s="8">
        <v>3700</v>
      </c>
      <c r="H794" s="8">
        <f>+IF(BDAlquilerDepartamentos[[#This Row],[Ciudad]]="Lima",BDAlquilerDepartamentos[[#This Row],[Prec. Soles]]*0.1,BDAlquilerDepartamentos[[#This Row],[Prec. Soles]]*0.05)</f>
        <v>370</v>
      </c>
      <c r="I794" s="4">
        <v>2</v>
      </c>
      <c r="J794" s="4">
        <v>1</v>
      </c>
      <c r="K794" s="4" t="s">
        <v>3095</v>
      </c>
      <c r="L794" s="4" t="s">
        <v>3095</v>
      </c>
      <c r="M794" s="4">
        <v>70</v>
      </c>
      <c r="N794" s="4">
        <v>2005</v>
      </c>
      <c r="O794" s="4" t="str">
        <f>+IF(BDAlquilerDepartamentos[[#This Row],[Prec. Soles]]&gt;2500,"Caro","Economico")</f>
        <v>Caro</v>
      </c>
      <c r="P794" s="4" t="str">
        <f>+IF(AND(BDAlquilerDepartamentos[[#This Row],[N° de Dorm.]]&gt; 3,BDAlquilerDepartamentos[[#This Row],[Prec. Soles]]&lt;= 2500),"Buena Oferta", "Precio Estadar")</f>
        <v>Precio Estadar</v>
      </c>
      <c r="Q794" t="s">
        <v>1101</v>
      </c>
      <c r="R794" t="s">
        <v>1102</v>
      </c>
      <c r="S794" s="11">
        <v>45249</v>
      </c>
      <c r="T794" t="s">
        <v>3157</v>
      </c>
      <c r="U794" t="s">
        <v>2239</v>
      </c>
    </row>
    <row r="795" spans="2:21" x14ac:dyDescent="0.3">
      <c r="B795" t="s">
        <v>1118</v>
      </c>
      <c r="C795" t="s">
        <v>2426</v>
      </c>
      <c r="D795" t="s">
        <v>2436</v>
      </c>
      <c r="E795" t="s">
        <v>2580</v>
      </c>
      <c r="F795" t="s">
        <v>2580</v>
      </c>
      <c r="G795" s="8">
        <v>3663</v>
      </c>
      <c r="H795" s="8">
        <f>+IF(BDAlquilerDepartamentos[[#This Row],[Ciudad]]="Lima",BDAlquilerDepartamentos[[#This Row],[Prec. Soles]]*0.1,BDAlquilerDepartamentos[[#This Row],[Prec. Soles]]*0.05)</f>
        <v>366.3</v>
      </c>
      <c r="I795" s="4">
        <v>2</v>
      </c>
      <c r="J795" s="4">
        <v>2</v>
      </c>
      <c r="K795" s="4" t="s">
        <v>3096</v>
      </c>
      <c r="L795" s="4" t="s">
        <v>3095</v>
      </c>
      <c r="M795" s="4">
        <v>110</v>
      </c>
      <c r="N795" s="4">
        <v>2010</v>
      </c>
      <c r="O795" s="4" t="str">
        <f>+IF(BDAlquilerDepartamentos[[#This Row],[Prec. Soles]]&gt;2500,"Caro","Economico")</f>
        <v>Caro</v>
      </c>
      <c r="P795" s="4" t="str">
        <f>+IF(AND(BDAlquilerDepartamentos[[#This Row],[N° de Dorm.]]&gt; 3,BDAlquilerDepartamentos[[#This Row],[Prec. Soles]]&lt;= 2500),"Buena Oferta", "Precio Estadar")</f>
        <v>Precio Estadar</v>
      </c>
      <c r="Q795" t="s">
        <v>1101</v>
      </c>
      <c r="R795" t="s">
        <v>1102</v>
      </c>
      <c r="S795" s="11">
        <v>45457</v>
      </c>
      <c r="T795" t="s">
        <v>2863</v>
      </c>
      <c r="U795" t="s">
        <v>2240</v>
      </c>
    </row>
    <row r="796" spans="2:21" x14ac:dyDescent="0.3">
      <c r="B796" t="s">
        <v>2232</v>
      </c>
      <c r="C796" t="s">
        <v>2759</v>
      </c>
      <c r="D796" t="s">
        <v>2660</v>
      </c>
      <c r="E796" t="s">
        <v>2580</v>
      </c>
      <c r="F796" t="s">
        <v>2580</v>
      </c>
      <c r="G796" s="8">
        <v>18500</v>
      </c>
      <c r="H796" s="8">
        <f>+IF(BDAlquilerDepartamentos[[#This Row],[Ciudad]]="Lima",BDAlquilerDepartamentos[[#This Row],[Prec. Soles]]*0.1,BDAlquilerDepartamentos[[#This Row],[Prec. Soles]]*0.05)</f>
        <v>1850</v>
      </c>
      <c r="I796" s="4">
        <v>4</v>
      </c>
      <c r="J796" s="4">
        <v>4</v>
      </c>
      <c r="K796" s="4" t="s">
        <v>3095</v>
      </c>
      <c r="L796" s="4" t="s">
        <v>3096</v>
      </c>
      <c r="M796" s="4">
        <v>532</v>
      </c>
      <c r="N796" s="4">
        <v>2008</v>
      </c>
      <c r="O796" s="4" t="str">
        <f>+IF(BDAlquilerDepartamentos[[#This Row],[Prec. Soles]]&gt;2500,"Caro","Economico")</f>
        <v>Caro</v>
      </c>
      <c r="P796" s="4" t="str">
        <f>+IF(AND(BDAlquilerDepartamentos[[#This Row],[N° de Dorm.]]&gt; 3,BDAlquilerDepartamentos[[#This Row],[Prec. Soles]]&lt;= 2500),"Buena Oferta", "Precio Estadar")</f>
        <v>Precio Estadar</v>
      </c>
      <c r="Q796" t="s">
        <v>1101</v>
      </c>
      <c r="R796" t="s">
        <v>1102</v>
      </c>
      <c r="S796" s="11">
        <v>45012</v>
      </c>
      <c r="T796" t="s">
        <v>2996</v>
      </c>
      <c r="U796" t="s">
        <v>2241</v>
      </c>
    </row>
    <row r="797" spans="2:21" x14ac:dyDescent="0.3">
      <c r="B797" t="s">
        <v>2242</v>
      </c>
      <c r="C797" t="s">
        <v>2761</v>
      </c>
      <c r="D797" t="s">
        <v>3098</v>
      </c>
      <c r="E797" t="s">
        <v>2580</v>
      </c>
      <c r="F797" t="s">
        <v>2580</v>
      </c>
      <c r="G797" s="8">
        <v>3300</v>
      </c>
      <c r="H797" s="8">
        <f>+IF(BDAlquilerDepartamentos[[#This Row],[Ciudad]]="Lima",BDAlquilerDepartamentos[[#This Row],[Prec. Soles]]*0.1,BDAlquilerDepartamentos[[#This Row],[Prec. Soles]]*0.05)</f>
        <v>330</v>
      </c>
      <c r="I797" s="4">
        <v>2</v>
      </c>
      <c r="J797" s="4">
        <v>3</v>
      </c>
      <c r="K797" s="4" t="s">
        <v>3095</v>
      </c>
      <c r="L797" s="4" t="s">
        <v>3096</v>
      </c>
      <c r="M797" s="4">
        <v>278</v>
      </c>
      <c r="N797" s="4">
        <v>2007</v>
      </c>
      <c r="O797" s="4" t="str">
        <f>+IF(BDAlquilerDepartamentos[[#This Row],[Prec. Soles]]&gt;2500,"Caro","Economico")</f>
        <v>Caro</v>
      </c>
      <c r="P797" s="4" t="str">
        <f>+IF(AND(BDAlquilerDepartamentos[[#This Row],[N° de Dorm.]]&gt; 3,BDAlquilerDepartamentos[[#This Row],[Prec. Soles]]&lt;= 2500),"Buena Oferta", "Precio Estadar")</f>
        <v>Precio Estadar</v>
      </c>
      <c r="Q797" t="s">
        <v>1113</v>
      </c>
      <c r="R797" t="s">
        <v>1102</v>
      </c>
      <c r="S797" s="11">
        <v>45038</v>
      </c>
      <c r="T797" t="s">
        <v>2852</v>
      </c>
      <c r="U797" t="s">
        <v>2243</v>
      </c>
    </row>
    <row r="798" spans="2:21" x14ac:dyDescent="0.3">
      <c r="B798" t="s">
        <v>1135</v>
      </c>
      <c r="C798" t="s">
        <v>2438</v>
      </c>
      <c r="D798" t="s">
        <v>2428</v>
      </c>
      <c r="E798" t="s">
        <v>2580</v>
      </c>
      <c r="F798" t="s">
        <v>2580</v>
      </c>
      <c r="G798" s="8">
        <v>4070</v>
      </c>
      <c r="H798" s="8">
        <f>+IF(BDAlquilerDepartamentos[[#This Row],[Ciudad]]="Lima",BDAlquilerDepartamentos[[#This Row],[Prec. Soles]]*0.1,BDAlquilerDepartamentos[[#This Row],[Prec. Soles]]*0.05)</f>
        <v>407</v>
      </c>
      <c r="I798" s="4">
        <v>3</v>
      </c>
      <c r="J798" s="4">
        <v>2</v>
      </c>
      <c r="K798" s="4" t="s">
        <v>3096</v>
      </c>
      <c r="L798" s="4" t="s">
        <v>3095</v>
      </c>
      <c r="M798" s="4">
        <v>130</v>
      </c>
      <c r="N798" s="4">
        <v>2008</v>
      </c>
      <c r="O798" s="4" t="str">
        <f>+IF(BDAlquilerDepartamentos[[#This Row],[Prec. Soles]]&gt;2500,"Caro","Economico")</f>
        <v>Caro</v>
      </c>
      <c r="P798" s="4" t="str">
        <f>+IF(AND(BDAlquilerDepartamentos[[#This Row],[N° de Dorm.]]&gt; 3,BDAlquilerDepartamentos[[#This Row],[Prec. Soles]]&lt;= 2500),"Buena Oferta", "Precio Estadar")</f>
        <v>Precio Estadar</v>
      </c>
      <c r="Q798" t="s">
        <v>1101</v>
      </c>
      <c r="R798" t="s">
        <v>1102</v>
      </c>
      <c r="S798" s="11">
        <v>45432</v>
      </c>
      <c r="T798" t="s">
        <v>2863</v>
      </c>
      <c r="U798" t="s">
        <v>2244</v>
      </c>
    </row>
    <row r="799" spans="2:21" x14ac:dyDescent="0.3">
      <c r="B799" t="s">
        <v>3116</v>
      </c>
      <c r="C799" t="s">
        <v>2436</v>
      </c>
      <c r="D799" t="s">
        <v>2580</v>
      </c>
      <c r="E799" t="s">
        <v>2580</v>
      </c>
      <c r="F799" t="s">
        <v>2580</v>
      </c>
      <c r="G799" s="8">
        <v>4440</v>
      </c>
      <c r="H799" s="8">
        <f>+IF(BDAlquilerDepartamentos[[#This Row],[Ciudad]]="Lima",BDAlquilerDepartamentos[[#This Row],[Prec. Soles]]*0.1,BDAlquilerDepartamentos[[#This Row],[Prec. Soles]]*0.05)</f>
        <v>444</v>
      </c>
      <c r="I799" s="4">
        <v>2</v>
      </c>
      <c r="J799" s="4">
        <v>3</v>
      </c>
      <c r="K799" s="4" t="s">
        <v>3096</v>
      </c>
      <c r="L799" s="4" t="s">
        <v>3095</v>
      </c>
      <c r="M799" s="4">
        <v>140</v>
      </c>
      <c r="N799" s="4">
        <v>2017</v>
      </c>
      <c r="O799" s="4" t="str">
        <f>+IF(BDAlquilerDepartamentos[[#This Row],[Prec. Soles]]&gt;2500,"Caro","Economico")</f>
        <v>Caro</v>
      </c>
      <c r="P799" s="4" t="str">
        <f>+IF(AND(BDAlquilerDepartamentos[[#This Row],[N° de Dorm.]]&gt; 3,BDAlquilerDepartamentos[[#This Row],[Prec. Soles]]&lt;= 2500),"Buena Oferta", "Precio Estadar")</f>
        <v>Precio Estadar</v>
      </c>
      <c r="Q799" t="s">
        <v>1101</v>
      </c>
      <c r="R799" t="s">
        <v>1102</v>
      </c>
      <c r="S799" s="11">
        <v>45056</v>
      </c>
      <c r="T799" t="s">
        <v>2932</v>
      </c>
      <c r="U799" t="s">
        <v>2245</v>
      </c>
    </row>
    <row r="800" spans="2:21" x14ac:dyDescent="0.3">
      <c r="B800" t="s">
        <v>3113</v>
      </c>
      <c r="C800" t="s">
        <v>3114</v>
      </c>
      <c r="D800" t="s">
        <v>2436</v>
      </c>
      <c r="E800" t="s">
        <v>2580</v>
      </c>
      <c r="F800" t="s">
        <v>2580</v>
      </c>
      <c r="G800" s="8">
        <v>2035</v>
      </c>
      <c r="H800" s="8">
        <f>+IF(BDAlquilerDepartamentos[[#This Row],[Ciudad]]="Lima",BDAlquilerDepartamentos[[#This Row],[Prec. Soles]]*0.1,BDAlquilerDepartamentos[[#This Row],[Prec. Soles]]*0.05)</f>
        <v>203.5</v>
      </c>
      <c r="I800" s="4">
        <v>1</v>
      </c>
      <c r="J800" s="4">
        <v>1</v>
      </c>
      <c r="K800" s="4" t="s">
        <v>3096</v>
      </c>
      <c r="L800" s="4" t="s">
        <v>3095</v>
      </c>
      <c r="M800" s="4">
        <v>50</v>
      </c>
      <c r="N800" s="4">
        <v>2007</v>
      </c>
      <c r="O800" s="4" t="str">
        <f>+IF(BDAlquilerDepartamentos[[#This Row],[Prec. Soles]]&gt;2500,"Caro","Economico")</f>
        <v>Economico</v>
      </c>
      <c r="P800" s="4" t="str">
        <f>+IF(AND(BDAlquilerDepartamentos[[#This Row],[N° de Dorm.]]&gt; 3,BDAlquilerDepartamentos[[#This Row],[Prec. Soles]]&lt;= 2500),"Buena Oferta", "Precio Estadar")</f>
        <v>Precio Estadar</v>
      </c>
      <c r="Q800" t="s">
        <v>1101</v>
      </c>
      <c r="R800" t="s">
        <v>1102</v>
      </c>
      <c r="S800" s="11">
        <v>44951</v>
      </c>
      <c r="T800" t="s">
        <v>3055</v>
      </c>
      <c r="U800" t="s">
        <v>2246</v>
      </c>
    </row>
    <row r="801" spans="2:21" x14ac:dyDescent="0.3">
      <c r="B801" t="s">
        <v>3113</v>
      </c>
      <c r="C801" t="s">
        <v>3114</v>
      </c>
      <c r="D801" t="s">
        <v>2436</v>
      </c>
      <c r="E801" t="s">
        <v>2580</v>
      </c>
      <c r="F801" t="s">
        <v>2580</v>
      </c>
      <c r="G801" s="8">
        <v>14800</v>
      </c>
      <c r="H801" s="8">
        <f>+IF(BDAlquilerDepartamentos[[#This Row],[Ciudad]]="Lima",BDAlquilerDepartamentos[[#This Row],[Prec. Soles]]*0.1,BDAlquilerDepartamentos[[#This Row],[Prec. Soles]]*0.05)</f>
        <v>1480</v>
      </c>
      <c r="I801" s="4">
        <v>3</v>
      </c>
      <c r="J801" s="4">
        <v>2</v>
      </c>
      <c r="K801" s="4" t="s">
        <v>3095</v>
      </c>
      <c r="L801" s="4" t="s">
        <v>3096</v>
      </c>
      <c r="M801" s="4">
        <v>310</v>
      </c>
      <c r="N801" s="4">
        <v>2015</v>
      </c>
      <c r="O801" s="4" t="str">
        <f>+IF(BDAlquilerDepartamentos[[#This Row],[Prec. Soles]]&gt;2500,"Caro","Economico")</f>
        <v>Caro</v>
      </c>
      <c r="P801" s="4" t="str">
        <f>+IF(AND(BDAlquilerDepartamentos[[#This Row],[N° de Dorm.]]&gt; 3,BDAlquilerDepartamentos[[#This Row],[Prec. Soles]]&lt;= 2500),"Buena Oferta", "Precio Estadar")</f>
        <v>Precio Estadar</v>
      </c>
      <c r="Q801" t="s">
        <v>1101</v>
      </c>
      <c r="R801" t="s">
        <v>1102</v>
      </c>
      <c r="S801" s="11">
        <v>45615</v>
      </c>
      <c r="T801" t="s">
        <v>3056</v>
      </c>
      <c r="U801" t="s">
        <v>2247</v>
      </c>
    </row>
    <row r="802" spans="2:21" x14ac:dyDescent="0.3">
      <c r="B802" t="s">
        <v>1468</v>
      </c>
      <c r="C802" t="s">
        <v>2568</v>
      </c>
      <c r="D802" t="s">
        <v>2580</v>
      </c>
      <c r="E802" t="s">
        <v>2580</v>
      </c>
      <c r="F802" t="s">
        <v>2580</v>
      </c>
      <c r="G802" s="8">
        <v>3515</v>
      </c>
      <c r="H802" s="8">
        <f>+IF(BDAlquilerDepartamentos[[#This Row],[Ciudad]]="Lima",BDAlquilerDepartamentos[[#This Row],[Prec. Soles]]*0.1,BDAlquilerDepartamentos[[#This Row],[Prec. Soles]]*0.05)</f>
        <v>351.5</v>
      </c>
      <c r="I802" s="4">
        <v>3</v>
      </c>
      <c r="J802" s="4">
        <v>4</v>
      </c>
      <c r="K802" s="4" t="s">
        <v>3095</v>
      </c>
      <c r="L802" s="4" t="s">
        <v>3096</v>
      </c>
      <c r="M802" s="4">
        <v>110</v>
      </c>
      <c r="N802" s="4">
        <v>2017</v>
      </c>
      <c r="O802" s="4" t="str">
        <f>+IF(BDAlquilerDepartamentos[[#This Row],[Prec. Soles]]&gt;2500,"Caro","Economico")</f>
        <v>Caro</v>
      </c>
      <c r="P802" s="4" t="str">
        <f>+IF(AND(BDAlquilerDepartamentos[[#This Row],[N° de Dorm.]]&gt; 3,BDAlquilerDepartamentos[[#This Row],[Prec. Soles]]&lt;= 2500),"Buena Oferta", "Precio Estadar")</f>
        <v>Precio Estadar</v>
      </c>
      <c r="Q802" t="s">
        <v>1101</v>
      </c>
      <c r="R802" t="s">
        <v>1102</v>
      </c>
      <c r="S802" s="11">
        <v>45605</v>
      </c>
      <c r="T802" t="s">
        <v>3057</v>
      </c>
      <c r="U802" t="s">
        <v>2248</v>
      </c>
    </row>
    <row r="803" spans="2:21" x14ac:dyDescent="0.3">
      <c r="B803" t="s">
        <v>1120</v>
      </c>
      <c r="C803" t="s">
        <v>2427</v>
      </c>
      <c r="D803" t="s">
        <v>2428</v>
      </c>
      <c r="E803" t="s">
        <v>2580</v>
      </c>
      <c r="F803" t="s">
        <v>2580</v>
      </c>
      <c r="G803" s="8">
        <v>9620</v>
      </c>
      <c r="H803" s="8">
        <f>+IF(BDAlquilerDepartamentos[[#This Row],[Ciudad]]="Lima",BDAlquilerDepartamentos[[#This Row],[Prec. Soles]]*0.1,BDAlquilerDepartamentos[[#This Row],[Prec. Soles]]*0.05)</f>
        <v>962</v>
      </c>
      <c r="I803" s="4">
        <v>3</v>
      </c>
      <c r="J803" s="4">
        <v>4</v>
      </c>
      <c r="K803" s="4" t="s">
        <v>3096</v>
      </c>
      <c r="L803" s="4" t="s">
        <v>3096</v>
      </c>
      <c r="M803" s="4">
        <v>244</v>
      </c>
      <c r="N803" s="4">
        <v>2006</v>
      </c>
      <c r="O803" s="4" t="str">
        <f>+IF(BDAlquilerDepartamentos[[#This Row],[Prec. Soles]]&gt;2500,"Caro","Economico")</f>
        <v>Caro</v>
      </c>
      <c r="P803" s="4" t="str">
        <f>+IF(AND(BDAlquilerDepartamentos[[#This Row],[N° de Dorm.]]&gt; 3,BDAlquilerDepartamentos[[#This Row],[Prec. Soles]]&lt;= 2500),"Buena Oferta", "Precio Estadar")</f>
        <v>Precio Estadar</v>
      </c>
      <c r="Q803" t="s">
        <v>1101</v>
      </c>
      <c r="R803" t="s">
        <v>1102</v>
      </c>
      <c r="S803" s="11">
        <v>45026</v>
      </c>
      <c r="T803" t="s">
        <v>2882</v>
      </c>
      <c r="U803" t="s">
        <v>2249</v>
      </c>
    </row>
    <row r="804" spans="2:21" x14ac:dyDescent="0.3">
      <c r="B804" t="s">
        <v>1135</v>
      </c>
      <c r="C804" t="s">
        <v>2438</v>
      </c>
      <c r="D804" t="s">
        <v>2428</v>
      </c>
      <c r="E804" t="s">
        <v>2580</v>
      </c>
      <c r="F804" t="s">
        <v>2580</v>
      </c>
      <c r="G804" s="8">
        <v>3700</v>
      </c>
      <c r="H804" s="8">
        <f>+IF(BDAlquilerDepartamentos[[#This Row],[Ciudad]]="Lima",BDAlquilerDepartamentos[[#This Row],[Prec. Soles]]*0.1,BDAlquilerDepartamentos[[#This Row],[Prec. Soles]]*0.05)</f>
        <v>370</v>
      </c>
      <c r="I804" s="4">
        <v>2</v>
      </c>
      <c r="J804" s="4">
        <v>2</v>
      </c>
      <c r="K804" s="4" t="s">
        <v>3096</v>
      </c>
      <c r="L804" s="4" t="s">
        <v>3095</v>
      </c>
      <c r="M804" s="4">
        <v>140</v>
      </c>
      <c r="N804" s="4">
        <v>2013</v>
      </c>
      <c r="O804" s="4" t="str">
        <f>+IF(BDAlquilerDepartamentos[[#This Row],[Prec. Soles]]&gt;2500,"Caro","Economico")</f>
        <v>Caro</v>
      </c>
      <c r="P804" s="4" t="str">
        <f>+IF(AND(BDAlquilerDepartamentos[[#This Row],[N° de Dorm.]]&gt; 3,BDAlquilerDepartamentos[[#This Row],[Prec. Soles]]&lt;= 2500),"Buena Oferta", "Precio Estadar")</f>
        <v>Precio Estadar</v>
      </c>
      <c r="Q804" t="s">
        <v>1101</v>
      </c>
      <c r="R804" t="s">
        <v>1102</v>
      </c>
      <c r="S804" s="11">
        <v>45330</v>
      </c>
      <c r="T804" t="s">
        <v>2862</v>
      </c>
      <c r="U804" t="s">
        <v>2250</v>
      </c>
    </row>
    <row r="805" spans="2:21" x14ac:dyDescent="0.3">
      <c r="B805" t="s">
        <v>2251</v>
      </c>
      <c r="C805" t="s">
        <v>2622</v>
      </c>
      <c r="D805" t="s">
        <v>2422</v>
      </c>
      <c r="E805" t="s">
        <v>2580</v>
      </c>
      <c r="F805" t="s">
        <v>2580</v>
      </c>
      <c r="G805" s="8">
        <v>4255</v>
      </c>
      <c r="H805" s="8">
        <f>+IF(BDAlquilerDepartamentos[[#This Row],[Ciudad]]="Lima",BDAlquilerDepartamentos[[#This Row],[Prec. Soles]]*0.1,BDAlquilerDepartamentos[[#This Row],[Prec. Soles]]*0.05)</f>
        <v>425.5</v>
      </c>
      <c r="I805" s="4">
        <v>3</v>
      </c>
      <c r="J805" s="4">
        <v>3</v>
      </c>
      <c r="K805" s="4" t="s">
        <v>3095</v>
      </c>
      <c r="L805" s="4" t="s">
        <v>3095</v>
      </c>
      <c r="M805" s="4">
        <v>145</v>
      </c>
      <c r="N805" s="4">
        <v>2013</v>
      </c>
      <c r="O805" s="4" t="str">
        <f>+IF(BDAlquilerDepartamentos[[#This Row],[Prec. Soles]]&gt;2500,"Caro","Economico")</f>
        <v>Caro</v>
      </c>
      <c r="P805" s="4" t="str">
        <f>+IF(AND(BDAlquilerDepartamentos[[#This Row],[N° de Dorm.]]&gt; 3,BDAlquilerDepartamentos[[#This Row],[Prec. Soles]]&lt;= 2500),"Buena Oferta", "Precio Estadar")</f>
        <v>Precio Estadar</v>
      </c>
      <c r="Q805" t="s">
        <v>1101</v>
      </c>
      <c r="R805" t="s">
        <v>1102</v>
      </c>
      <c r="S805" s="11">
        <v>45218</v>
      </c>
      <c r="T805" t="s">
        <v>2821</v>
      </c>
      <c r="U805" t="s">
        <v>2252</v>
      </c>
    </row>
    <row r="806" spans="2:21" x14ac:dyDescent="0.3">
      <c r="B806" t="s">
        <v>1152</v>
      </c>
      <c r="C806" t="s">
        <v>2446</v>
      </c>
      <c r="D806" t="s">
        <v>2580</v>
      </c>
      <c r="E806" t="s">
        <v>2580</v>
      </c>
      <c r="F806" t="s">
        <v>2580</v>
      </c>
      <c r="G806" s="8">
        <v>2035</v>
      </c>
      <c r="H806" s="8">
        <f>+IF(BDAlquilerDepartamentos[[#This Row],[Ciudad]]="Lima",BDAlquilerDepartamentos[[#This Row],[Prec. Soles]]*0.1,BDAlquilerDepartamentos[[#This Row],[Prec. Soles]]*0.05)</f>
        <v>203.5</v>
      </c>
      <c r="I806" s="4">
        <v>1</v>
      </c>
      <c r="J806" s="4">
        <v>1</v>
      </c>
      <c r="K806" s="4" t="s">
        <v>3096</v>
      </c>
      <c r="L806" s="4" t="s">
        <v>3096</v>
      </c>
      <c r="M806" s="4">
        <v>50</v>
      </c>
      <c r="N806" s="4">
        <v>2009</v>
      </c>
      <c r="O806" s="4" t="str">
        <f>+IF(BDAlquilerDepartamentos[[#This Row],[Prec. Soles]]&gt;2500,"Caro","Economico")</f>
        <v>Economico</v>
      </c>
      <c r="P806" s="4" t="str">
        <f>+IF(AND(BDAlquilerDepartamentos[[#This Row],[N° de Dorm.]]&gt; 3,BDAlquilerDepartamentos[[#This Row],[Prec. Soles]]&lt;= 2500),"Buena Oferta", "Precio Estadar")</f>
        <v>Precio Estadar</v>
      </c>
      <c r="Q806" t="s">
        <v>1101</v>
      </c>
      <c r="R806" t="s">
        <v>1102</v>
      </c>
      <c r="S806" s="11">
        <v>45460</v>
      </c>
      <c r="T806" t="s">
        <v>3058</v>
      </c>
      <c r="U806" t="s">
        <v>2253</v>
      </c>
    </row>
    <row r="807" spans="2:21" x14ac:dyDescent="0.3">
      <c r="B807" t="s">
        <v>3132</v>
      </c>
      <c r="C807" t="s">
        <v>2689</v>
      </c>
      <c r="D807" t="s">
        <v>2689</v>
      </c>
      <c r="E807" t="s">
        <v>3129</v>
      </c>
      <c r="F807" t="s">
        <v>3129</v>
      </c>
      <c r="G807" s="8">
        <v>9250</v>
      </c>
      <c r="H807" s="8">
        <f>+IF(BDAlquilerDepartamentos[[#This Row],[Ciudad]]="Lima",BDAlquilerDepartamentos[[#This Row],[Prec. Soles]]*0.1,BDAlquilerDepartamentos[[#This Row],[Prec. Soles]]*0.05)</f>
        <v>462.5</v>
      </c>
      <c r="I807" s="4">
        <v>7</v>
      </c>
      <c r="J807" s="4">
        <v>3</v>
      </c>
      <c r="K807" s="4" t="s">
        <v>3095</v>
      </c>
      <c r="L807" s="4" t="s">
        <v>3095</v>
      </c>
      <c r="M807" s="4">
        <v>480</v>
      </c>
      <c r="N807" s="4">
        <v>2003</v>
      </c>
      <c r="O807" s="4" t="str">
        <f>+IF(BDAlquilerDepartamentos[[#This Row],[Prec. Soles]]&gt;2500,"Caro","Economico")</f>
        <v>Caro</v>
      </c>
      <c r="P807" s="4" t="str">
        <f>+IF(AND(BDAlquilerDepartamentos[[#This Row],[N° de Dorm.]]&gt; 3,BDAlquilerDepartamentos[[#This Row],[Prec. Soles]]&lt;= 2500),"Buena Oferta", "Precio Estadar")</f>
        <v>Precio Estadar</v>
      </c>
      <c r="Q807" t="s">
        <v>1113</v>
      </c>
      <c r="R807" t="s">
        <v>1102</v>
      </c>
      <c r="S807" s="11">
        <v>45426</v>
      </c>
      <c r="T807" t="s">
        <v>3050</v>
      </c>
      <c r="U807" t="s">
        <v>2254</v>
      </c>
    </row>
    <row r="808" spans="2:21" x14ac:dyDescent="0.3">
      <c r="B808" t="s">
        <v>1108</v>
      </c>
      <c r="C808" t="s">
        <v>2419</v>
      </c>
      <c r="D808" t="s">
        <v>2420</v>
      </c>
      <c r="E808" t="s">
        <v>2580</v>
      </c>
      <c r="F808" t="s">
        <v>2580</v>
      </c>
      <c r="G808" s="8">
        <v>2500</v>
      </c>
      <c r="H808" s="8">
        <f>+IF(BDAlquilerDepartamentos[[#This Row],[Ciudad]]="Lima",BDAlquilerDepartamentos[[#This Row],[Prec. Soles]]*0.1,BDAlquilerDepartamentos[[#This Row],[Prec. Soles]]*0.05)</f>
        <v>250</v>
      </c>
      <c r="I808" s="4">
        <v>2</v>
      </c>
      <c r="J808" s="4">
        <v>2</v>
      </c>
      <c r="K808" s="4" t="s">
        <v>3095</v>
      </c>
      <c r="L808" s="4" t="s">
        <v>3096</v>
      </c>
      <c r="M808" s="4">
        <v>65</v>
      </c>
      <c r="N808" s="4">
        <v>2015</v>
      </c>
      <c r="O808" s="4" t="str">
        <f>+IF(BDAlquilerDepartamentos[[#This Row],[Prec. Soles]]&gt;2500,"Caro","Economico")</f>
        <v>Economico</v>
      </c>
      <c r="P808" s="4" t="str">
        <f>+IF(AND(BDAlquilerDepartamentos[[#This Row],[N° de Dorm.]]&gt; 3,BDAlquilerDepartamentos[[#This Row],[Prec. Soles]]&lt;= 2500),"Buena Oferta", "Precio Estadar")</f>
        <v>Precio Estadar</v>
      </c>
      <c r="Q808" t="s">
        <v>1101</v>
      </c>
      <c r="R808" t="s">
        <v>1102</v>
      </c>
      <c r="S808" s="11">
        <v>44964</v>
      </c>
      <c r="T808" t="s">
        <v>2860</v>
      </c>
      <c r="U808" t="s">
        <v>2255</v>
      </c>
    </row>
    <row r="809" spans="2:21" x14ac:dyDescent="0.3">
      <c r="B809" t="s">
        <v>2256</v>
      </c>
      <c r="C809" t="s">
        <v>2762</v>
      </c>
      <c r="D809" t="s">
        <v>2580</v>
      </c>
      <c r="E809" t="s">
        <v>2580</v>
      </c>
      <c r="F809" t="s">
        <v>2580</v>
      </c>
      <c r="G809" s="8">
        <v>87</v>
      </c>
      <c r="H809" s="8">
        <f>+IF(BDAlquilerDepartamentos[[#This Row],[Ciudad]]="Lima",BDAlquilerDepartamentos[[#This Row],[Prec. Soles]]*0.1,BDAlquilerDepartamentos[[#This Row],[Prec. Soles]]*0.05)</f>
        <v>8.7000000000000011</v>
      </c>
      <c r="I809" s="4">
        <v>2</v>
      </c>
      <c r="J809" s="4">
        <v>1</v>
      </c>
      <c r="K809" s="4" t="s">
        <v>3095</v>
      </c>
      <c r="L809" s="4" t="s">
        <v>3095</v>
      </c>
      <c r="M809" s="4">
        <v>79</v>
      </c>
      <c r="N809" s="4">
        <v>2007</v>
      </c>
      <c r="O809" s="4" t="str">
        <f>+IF(BDAlquilerDepartamentos[[#This Row],[Prec. Soles]]&gt;2500,"Caro","Economico")</f>
        <v>Economico</v>
      </c>
      <c r="P809" s="4" t="str">
        <f>+IF(AND(BDAlquilerDepartamentos[[#This Row],[N° de Dorm.]]&gt; 3,BDAlquilerDepartamentos[[#This Row],[Prec. Soles]]&lt;= 2500),"Buena Oferta", "Precio Estadar")</f>
        <v>Precio Estadar</v>
      </c>
      <c r="Q809" t="s">
        <v>1101</v>
      </c>
      <c r="R809" t="s">
        <v>1102</v>
      </c>
      <c r="S809" s="11">
        <v>45246</v>
      </c>
      <c r="T809" t="s">
        <v>2960</v>
      </c>
      <c r="U809" t="s">
        <v>2257</v>
      </c>
    </row>
    <row r="810" spans="2:21" x14ac:dyDescent="0.3">
      <c r="B810" t="s">
        <v>2258</v>
      </c>
      <c r="C810" t="s">
        <v>2763</v>
      </c>
      <c r="D810" t="s">
        <v>2580</v>
      </c>
      <c r="E810" t="s">
        <v>2580</v>
      </c>
      <c r="F810" t="s">
        <v>2580</v>
      </c>
      <c r="G810" s="8">
        <v>3515</v>
      </c>
      <c r="H810" s="8">
        <f>+IF(BDAlquilerDepartamentos[[#This Row],[Ciudad]]="Lima",BDAlquilerDepartamentos[[#This Row],[Prec. Soles]]*0.1,BDAlquilerDepartamentos[[#This Row],[Prec. Soles]]*0.05)</f>
        <v>351.5</v>
      </c>
      <c r="I810" s="4">
        <v>3</v>
      </c>
      <c r="J810" s="4">
        <v>3</v>
      </c>
      <c r="K810" s="4" t="s">
        <v>3096</v>
      </c>
      <c r="L810" s="4" t="s">
        <v>3095</v>
      </c>
      <c r="M810" s="4">
        <v>168</v>
      </c>
      <c r="N810" s="4">
        <v>2006</v>
      </c>
      <c r="O810" s="4" t="str">
        <f>+IF(BDAlquilerDepartamentos[[#This Row],[Prec. Soles]]&gt;2500,"Caro","Economico")</f>
        <v>Caro</v>
      </c>
      <c r="P810" s="4" t="str">
        <f>+IF(AND(BDAlquilerDepartamentos[[#This Row],[N° de Dorm.]]&gt; 3,BDAlquilerDepartamentos[[#This Row],[Prec. Soles]]&lt;= 2500),"Buena Oferta", "Precio Estadar")</f>
        <v>Precio Estadar</v>
      </c>
      <c r="Q810" t="s">
        <v>1101</v>
      </c>
      <c r="R810" t="s">
        <v>1102</v>
      </c>
      <c r="S810" s="11">
        <v>45163</v>
      </c>
      <c r="T810" t="s">
        <v>2827</v>
      </c>
      <c r="U810" t="s">
        <v>2259</v>
      </c>
    </row>
    <row r="811" spans="2:21" x14ac:dyDescent="0.3">
      <c r="B811" t="s">
        <v>1323</v>
      </c>
      <c r="C811" t="s">
        <v>2520</v>
      </c>
      <c r="D811" t="s">
        <v>2420</v>
      </c>
      <c r="E811" t="s">
        <v>2580</v>
      </c>
      <c r="F811" t="s">
        <v>2580</v>
      </c>
      <c r="G811" s="8">
        <v>2500</v>
      </c>
      <c r="H811" s="8">
        <f>+IF(BDAlquilerDepartamentos[[#This Row],[Ciudad]]="Lima",BDAlquilerDepartamentos[[#This Row],[Prec. Soles]]*0.1,BDAlquilerDepartamentos[[#This Row],[Prec. Soles]]*0.05)</f>
        <v>250</v>
      </c>
      <c r="I811" s="4">
        <v>2</v>
      </c>
      <c r="J811" s="4">
        <v>2</v>
      </c>
      <c r="K811" s="4" t="s">
        <v>3095</v>
      </c>
      <c r="L811" s="4" t="s">
        <v>3096</v>
      </c>
      <c r="M811" s="4">
        <v>65</v>
      </c>
      <c r="N811" s="4">
        <v>2009</v>
      </c>
      <c r="O811" s="4" t="str">
        <f>+IF(BDAlquilerDepartamentos[[#This Row],[Prec. Soles]]&gt;2500,"Caro","Economico")</f>
        <v>Economico</v>
      </c>
      <c r="P811" s="4" t="str">
        <f>+IF(AND(BDAlquilerDepartamentos[[#This Row],[N° de Dorm.]]&gt; 3,BDAlquilerDepartamentos[[#This Row],[Prec. Soles]]&lt;= 2500),"Buena Oferta", "Precio Estadar")</f>
        <v>Precio Estadar</v>
      </c>
      <c r="Q811" t="s">
        <v>1101</v>
      </c>
      <c r="R811" t="s">
        <v>1102</v>
      </c>
      <c r="S811" s="11">
        <v>44970</v>
      </c>
      <c r="T811" t="s">
        <v>2843</v>
      </c>
      <c r="U811" t="s">
        <v>2260</v>
      </c>
    </row>
    <row r="812" spans="2:21" x14ac:dyDescent="0.3">
      <c r="B812" t="s">
        <v>1328</v>
      </c>
      <c r="C812" t="s">
        <v>2522</v>
      </c>
      <c r="D812" t="s">
        <v>2580</v>
      </c>
      <c r="E812" t="s">
        <v>2580</v>
      </c>
      <c r="F812" t="s">
        <v>2580</v>
      </c>
      <c r="G812" s="8">
        <v>1950</v>
      </c>
      <c r="H812" s="8">
        <f>+IF(BDAlquilerDepartamentos[[#This Row],[Ciudad]]="Lima",BDAlquilerDepartamentos[[#This Row],[Prec. Soles]]*0.1,BDAlquilerDepartamentos[[#This Row],[Prec. Soles]]*0.05)</f>
        <v>195</v>
      </c>
      <c r="I812" s="4">
        <v>1</v>
      </c>
      <c r="J812" s="4">
        <v>1</v>
      </c>
      <c r="K812" s="4" t="s">
        <v>3095</v>
      </c>
      <c r="L812" s="4" t="s">
        <v>3095</v>
      </c>
      <c r="M812" s="4">
        <v>45</v>
      </c>
      <c r="N812" s="4">
        <v>2015</v>
      </c>
      <c r="O812" s="4" t="str">
        <f>+IF(BDAlquilerDepartamentos[[#This Row],[Prec. Soles]]&gt;2500,"Caro","Economico")</f>
        <v>Economico</v>
      </c>
      <c r="P812" s="4" t="str">
        <f>+IF(AND(BDAlquilerDepartamentos[[#This Row],[N° de Dorm.]]&gt; 3,BDAlquilerDepartamentos[[#This Row],[Prec. Soles]]&lt;= 2500),"Buena Oferta", "Precio Estadar")</f>
        <v>Precio Estadar</v>
      </c>
      <c r="Q812" t="s">
        <v>1101</v>
      </c>
      <c r="R812" t="s">
        <v>1102</v>
      </c>
      <c r="S812" s="11">
        <v>45349</v>
      </c>
      <c r="T812" t="s">
        <v>2985</v>
      </c>
      <c r="U812" t="s">
        <v>2261</v>
      </c>
    </row>
    <row r="813" spans="2:21" x14ac:dyDescent="0.3">
      <c r="B813" t="s">
        <v>2262</v>
      </c>
      <c r="C813" t="s">
        <v>2582</v>
      </c>
      <c r="D813" t="s">
        <v>2473</v>
      </c>
      <c r="E813" t="s">
        <v>2474</v>
      </c>
      <c r="F813" t="s">
        <v>2474</v>
      </c>
      <c r="G813" s="8">
        <v>4810</v>
      </c>
      <c r="H813" s="8">
        <f>+IF(BDAlquilerDepartamentos[[#This Row],[Ciudad]]="Lima",BDAlquilerDepartamentos[[#This Row],[Prec. Soles]]*0.1,BDAlquilerDepartamentos[[#This Row],[Prec. Soles]]*0.05)</f>
        <v>240.5</v>
      </c>
      <c r="I813" s="4">
        <v>4</v>
      </c>
      <c r="J813" s="4">
        <v>2</v>
      </c>
      <c r="K813" s="4" t="s">
        <v>3095</v>
      </c>
      <c r="L813" s="4" t="s">
        <v>3096</v>
      </c>
      <c r="M813" s="4">
        <v>200</v>
      </c>
      <c r="N813" s="4">
        <v>2007</v>
      </c>
      <c r="O813" s="4" t="str">
        <f>+IF(BDAlquilerDepartamentos[[#This Row],[Prec. Soles]]&gt;2500,"Caro","Economico")</f>
        <v>Caro</v>
      </c>
      <c r="P813" s="4" t="str">
        <f>+IF(AND(BDAlquilerDepartamentos[[#This Row],[N° de Dorm.]]&gt; 3,BDAlquilerDepartamentos[[#This Row],[Prec. Soles]]&lt;= 2500),"Buena Oferta", "Precio Estadar")</f>
        <v>Precio Estadar</v>
      </c>
      <c r="Q813" t="s">
        <v>1113</v>
      </c>
      <c r="R813" t="s">
        <v>1102</v>
      </c>
      <c r="S813" s="11">
        <v>45217</v>
      </c>
      <c r="T813" t="s">
        <v>3059</v>
      </c>
      <c r="U813" t="s">
        <v>2263</v>
      </c>
    </row>
    <row r="814" spans="2:21" x14ac:dyDescent="0.3">
      <c r="B814" t="s">
        <v>1918</v>
      </c>
      <c r="C814" t="s">
        <v>2688</v>
      </c>
      <c r="D814" t="s">
        <v>2527</v>
      </c>
      <c r="E814" t="s">
        <v>2580</v>
      </c>
      <c r="F814" t="s">
        <v>2580</v>
      </c>
      <c r="G814" s="8">
        <v>9</v>
      </c>
      <c r="H814" s="8">
        <f>+IF(BDAlquilerDepartamentos[[#This Row],[Ciudad]]="Lima",BDAlquilerDepartamentos[[#This Row],[Prec. Soles]]*0.1,BDAlquilerDepartamentos[[#This Row],[Prec. Soles]]*0.05)</f>
        <v>0.9</v>
      </c>
      <c r="I814" s="4">
        <v>2</v>
      </c>
      <c r="J814" s="4">
        <v>1</v>
      </c>
      <c r="K814" s="4" t="s">
        <v>3095</v>
      </c>
      <c r="L814" s="4" t="s">
        <v>3095</v>
      </c>
      <c r="M814" s="4">
        <v>80</v>
      </c>
      <c r="N814" s="4">
        <v>2018</v>
      </c>
      <c r="O814" s="4" t="str">
        <f>+IF(BDAlquilerDepartamentos[[#This Row],[Prec. Soles]]&gt;2500,"Caro","Economico")</f>
        <v>Economico</v>
      </c>
      <c r="P814" s="4" t="str">
        <f>+IF(AND(BDAlquilerDepartamentos[[#This Row],[N° de Dorm.]]&gt; 3,BDAlquilerDepartamentos[[#This Row],[Prec. Soles]]&lt;= 2500),"Buena Oferta", "Precio Estadar")</f>
        <v>Precio Estadar</v>
      </c>
      <c r="Q814" t="s">
        <v>1101</v>
      </c>
      <c r="R814" t="s">
        <v>1102</v>
      </c>
      <c r="S814" s="11">
        <v>45287</v>
      </c>
      <c r="T814" t="s">
        <v>2932</v>
      </c>
      <c r="U814" t="s">
        <v>2264</v>
      </c>
    </row>
    <row r="815" spans="2:21" x14ac:dyDescent="0.3">
      <c r="B815" t="s">
        <v>2265</v>
      </c>
      <c r="C815" t="s">
        <v>2764</v>
      </c>
      <c r="D815" t="s">
        <v>2580</v>
      </c>
      <c r="E815" t="s">
        <v>2580</v>
      </c>
      <c r="F815" t="s">
        <v>2580</v>
      </c>
      <c r="G815" s="8">
        <v>4440</v>
      </c>
      <c r="H815" s="8">
        <f>+IF(BDAlquilerDepartamentos[[#This Row],[Ciudad]]="Lima",BDAlquilerDepartamentos[[#This Row],[Prec. Soles]]*0.1,BDAlquilerDepartamentos[[#This Row],[Prec. Soles]]*0.05)</f>
        <v>444</v>
      </c>
      <c r="I815" s="4">
        <v>3</v>
      </c>
      <c r="J815" s="4">
        <v>2</v>
      </c>
      <c r="K815" s="4" t="s">
        <v>3095</v>
      </c>
      <c r="L815" s="4" t="s">
        <v>3095</v>
      </c>
      <c r="M815" s="4">
        <v>140</v>
      </c>
      <c r="N815" s="4">
        <v>2006</v>
      </c>
      <c r="O815" s="4" t="str">
        <f>+IF(BDAlquilerDepartamentos[[#This Row],[Prec. Soles]]&gt;2500,"Caro","Economico")</f>
        <v>Caro</v>
      </c>
      <c r="P815" s="4" t="str">
        <f>+IF(AND(BDAlquilerDepartamentos[[#This Row],[N° de Dorm.]]&gt; 3,BDAlquilerDepartamentos[[#This Row],[Prec. Soles]]&lt;= 2500),"Buena Oferta", "Precio Estadar")</f>
        <v>Precio Estadar</v>
      </c>
      <c r="Q815" t="s">
        <v>1101</v>
      </c>
      <c r="R815" t="s">
        <v>1102</v>
      </c>
      <c r="S815" s="11">
        <v>45376</v>
      </c>
      <c r="T815" t="s">
        <v>2831</v>
      </c>
      <c r="U815" t="s">
        <v>2266</v>
      </c>
    </row>
    <row r="816" spans="2:21" x14ac:dyDescent="0.3">
      <c r="B816" t="s">
        <v>2267</v>
      </c>
      <c r="C816" t="s">
        <v>2765</v>
      </c>
      <c r="D816" t="s">
        <v>2472</v>
      </c>
      <c r="E816" t="s">
        <v>2473</v>
      </c>
      <c r="F816" t="s">
        <v>2473</v>
      </c>
      <c r="G816" s="8">
        <v>2600</v>
      </c>
      <c r="H816" s="8">
        <f>+IF(BDAlquilerDepartamentos[[#This Row],[Ciudad]]="Lima",BDAlquilerDepartamentos[[#This Row],[Prec. Soles]]*0.1,BDAlquilerDepartamentos[[#This Row],[Prec. Soles]]*0.05)</f>
        <v>130</v>
      </c>
      <c r="I816" s="4">
        <v>3</v>
      </c>
      <c r="J816" s="4">
        <v>2</v>
      </c>
      <c r="K816" s="4" t="s">
        <v>3095</v>
      </c>
      <c r="L816" s="4" t="s">
        <v>3096</v>
      </c>
      <c r="M816" s="4">
        <v>120</v>
      </c>
      <c r="N816" s="4">
        <v>2004</v>
      </c>
      <c r="O816" s="4" t="str">
        <f>+IF(BDAlquilerDepartamentos[[#This Row],[Prec. Soles]]&gt;2500,"Caro","Economico")</f>
        <v>Caro</v>
      </c>
      <c r="P816" s="4" t="str">
        <f>+IF(AND(BDAlquilerDepartamentos[[#This Row],[N° de Dorm.]]&gt; 3,BDAlquilerDepartamentos[[#This Row],[Prec. Soles]]&lt;= 2500),"Buena Oferta", "Precio Estadar")</f>
        <v>Precio Estadar</v>
      </c>
      <c r="Q816" t="s">
        <v>1101</v>
      </c>
      <c r="R816" t="s">
        <v>1102</v>
      </c>
      <c r="S816" s="11">
        <v>45092</v>
      </c>
      <c r="T816" t="s">
        <v>2860</v>
      </c>
      <c r="U816" t="s">
        <v>2268</v>
      </c>
    </row>
    <row r="817" spans="2:21" x14ac:dyDescent="0.3">
      <c r="B817" t="s">
        <v>1350</v>
      </c>
      <c r="C817" t="s">
        <v>2530</v>
      </c>
      <c r="D817" t="s">
        <v>2580</v>
      </c>
      <c r="E817" t="s">
        <v>2580</v>
      </c>
      <c r="F817" t="s">
        <v>2580</v>
      </c>
      <c r="G817" s="8">
        <v>1800</v>
      </c>
      <c r="H817" s="8">
        <f>+IF(BDAlquilerDepartamentos[[#This Row],[Ciudad]]="Lima",BDAlquilerDepartamentos[[#This Row],[Prec. Soles]]*0.1,BDAlquilerDepartamentos[[#This Row],[Prec. Soles]]*0.05)</f>
        <v>180</v>
      </c>
      <c r="I817" s="4">
        <v>3</v>
      </c>
      <c r="J817" s="4">
        <v>2</v>
      </c>
      <c r="K817" s="4" t="s">
        <v>3096</v>
      </c>
      <c r="L817" s="4" t="s">
        <v>3096</v>
      </c>
      <c r="M817" s="4">
        <v>110</v>
      </c>
      <c r="N817" s="4">
        <v>2010</v>
      </c>
      <c r="O817" s="4" t="str">
        <f>+IF(BDAlquilerDepartamentos[[#This Row],[Prec. Soles]]&gt;2500,"Caro","Economico")</f>
        <v>Economico</v>
      </c>
      <c r="P817" s="4" t="str">
        <f>+IF(AND(BDAlquilerDepartamentos[[#This Row],[N° de Dorm.]]&gt; 3,BDAlquilerDepartamentos[[#This Row],[Prec. Soles]]&lt;= 2500),"Buena Oferta", "Precio Estadar")</f>
        <v>Precio Estadar</v>
      </c>
      <c r="Q817" t="s">
        <v>1101</v>
      </c>
      <c r="R817" t="s">
        <v>1102</v>
      </c>
      <c r="S817" s="11">
        <v>45349</v>
      </c>
      <c r="T817" t="s">
        <v>2851</v>
      </c>
      <c r="U817" t="s">
        <v>2269</v>
      </c>
    </row>
    <row r="818" spans="2:21" x14ac:dyDescent="0.3">
      <c r="B818" t="s">
        <v>2270</v>
      </c>
      <c r="C818" t="s">
        <v>2766</v>
      </c>
      <c r="D818" t="s">
        <v>2580</v>
      </c>
      <c r="E818" t="s">
        <v>2580</v>
      </c>
      <c r="F818" t="s">
        <v>2580</v>
      </c>
      <c r="G818" s="8">
        <v>2850</v>
      </c>
      <c r="H818" s="8">
        <f>+IF(BDAlquilerDepartamentos[[#This Row],[Ciudad]]="Lima",BDAlquilerDepartamentos[[#This Row],[Prec. Soles]]*0.1,BDAlquilerDepartamentos[[#This Row],[Prec. Soles]]*0.05)</f>
        <v>285</v>
      </c>
      <c r="I818" s="4">
        <v>3</v>
      </c>
      <c r="J818" s="4">
        <v>2</v>
      </c>
      <c r="K818" s="4" t="s">
        <v>3095</v>
      </c>
      <c r="L818" s="4" t="s">
        <v>3095</v>
      </c>
      <c r="M818" s="4">
        <v>115</v>
      </c>
      <c r="N818" s="4">
        <v>2014</v>
      </c>
      <c r="O818" s="4" t="str">
        <f>+IF(BDAlquilerDepartamentos[[#This Row],[Prec. Soles]]&gt;2500,"Caro","Economico")</f>
        <v>Caro</v>
      </c>
      <c r="P818" s="4" t="str">
        <f>+IF(AND(BDAlquilerDepartamentos[[#This Row],[N° de Dorm.]]&gt; 3,BDAlquilerDepartamentos[[#This Row],[Prec. Soles]]&lt;= 2500),"Buena Oferta", "Precio Estadar")</f>
        <v>Precio Estadar</v>
      </c>
      <c r="Q818" t="s">
        <v>1101</v>
      </c>
      <c r="R818" t="s">
        <v>1102</v>
      </c>
      <c r="S818" s="11">
        <v>45102</v>
      </c>
      <c r="T818" t="s">
        <v>2896</v>
      </c>
      <c r="U818" t="s">
        <v>2271</v>
      </c>
    </row>
    <row r="819" spans="2:21" x14ac:dyDescent="0.3">
      <c r="B819" t="s">
        <v>2272</v>
      </c>
      <c r="C819" t="s">
        <v>2767</v>
      </c>
      <c r="D819" t="s">
        <v>2463</v>
      </c>
      <c r="E819" t="s">
        <v>2580</v>
      </c>
      <c r="F819" t="s">
        <v>2580</v>
      </c>
      <c r="G819" s="8">
        <v>1800</v>
      </c>
      <c r="H819" s="8">
        <f>+IF(BDAlquilerDepartamentos[[#This Row],[Ciudad]]="Lima",BDAlquilerDepartamentos[[#This Row],[Prec. Soles]]*0.1,BDAlquilerDepartamentos[[#This Row],[Prec. Soles]]*0.05)</f>
        <v>180</v>
      </c>
      <c r="I819" s="4">
        <v>2</v>
      </c>
      <c r="J819" s="4">
        <v>1</v>
      </c>
      <c r="K819" s="4" t="s">
        <v>3095</v>
      </c>
      <c r="L819" s="4" t="s">
        <v>3095</v>
      </c>
      <c r="M819" s="4">
        <v>90</v>
      </c>
      <c r="N819" s="4">
        <v>2014</v>
      </c>
      <c r="O819" s="4" t="str">
        <f>+IF(BDAlquilerDepartamentos[[#This Row],[Prec. Soles]]&gt;2500,"Caro","Economico")</f>
        <v>Economico</v>
      </c>
      <c r="P819" s="4" t="str">
        <f>+IF(AND(BDAlquilerDepartamentos[[#This Row],[N° de Dorm.]]&gt; 3,BDAlquilerDepartamentos[[#This Row],[Prec. Soles]]&lt;= 2500),"Buena Oferta", "Precio Estadar")</f>
        <v>Precio Estadar</v>
      </c>
      <c r="Q819" t="s">
        <v>1101</v>
      </c>
      <c r="R819" t="s">
        <v>1102</v>
      </c>
      <c r="S819" s="11">
        <v>44963</v>
      </c>
      <c r="T819" t="s">
        <v>2932</v>
      </c>
      <c r="U819" t="s">
        <v>2273</v>
      </c>
    </row>
    <row r="820" spans="2:21" x14ac:dyDescent="0.3">
      <c r="B820" t="s">
        <v>2274</v>
      </c>
      <c r="C820" t="s">
        <v>2426</v>
      </c>
      <c r="D820" t="s">
        <v>2436</v>
      </c>
      <c r="E820" t="s">
        <v>2580</v>
      </c>
      <c r="F820" t="s">
        <v>2580</v>
      </c>
      <c r="G820" s="8">
        <v>6660</v>
      </c>
      <c r="H820" s="8">
        <f>+IF(BDAlquilerDepartamentos[[#This Row],[Ciudad]]="Lima",BDAlquilerDepartamentos[[#This Row],[Prec. Soles]]*0.1,BDAlquilerDepartamentos[[#This Row],[Prec. Soles]]*0.05)</f>
        <v>666</v>
      </c>
      <c r="I820" s="4">
        <v>3</v>
      </c>
      <c r="J820" s="4">
        <v>2</v>
      </c>
      <c r="K820" s="4" t="s">
        <v>3096</v>
      </c>
      <c r="L820" s="4" t="s">
        <v>3095</v>
      </c>
      <c r="M820" s="4">
        <v>230</v>
      </c>
      <c r="N820" s="4">
        <v>2018</v>
      </c>
      <c r="O820" s="4" t="str">
        <f>+IF(BDAlquilerDepartamentos[[#This Row],[Prec. Soles]]&gt;2500,"Caro","Economico")</f>
        <v>Caro</v>
      </c>
      <c r="P820" s="4" t="str">
        <f>+IF(AND(BDAlquilerDepartamentos[[#This Row],[N° de Dorm.]]&gt; 3,BDAlquilerDepartamentos[[#This Row],[Prec. Soles]]&lt;= 2500),"Buena Oferta", "Precio Estadar")</f>
        <v>Precio Estadar</v>
      </c>
      <c r="Q820" t="s">
        <v>1113</v>
      </c>
      <c r="R820" t="s">
        <v>1102</v>
      </c>
      <c r="S820" s="11">
        <v>45515</v>
      </c>
      <c r="T820" t="s">
        <v>2918</v>
      </c>
      <c r="U820" t="s">
        <v>2275</v>
      </c>
    </row>
    <row r="821" spans="2:21" x14ac:dyDescent="0.3">
      <c r="B821" t="s">
        <v>1180</v>
      </c>
      <c r="C821" t="s">
        <v>2461</v>
      </c>
      <c r="D821" t="s">
        <v>2580</v>
      </c>
      <c r="E821" t="s">
        <v>2580</v>
      </c>
      <c r="F821" t="s">
        <v>2580</v>
      </c>
      <c r="G821" s="8">
        <v>4000</v>
      </c>
      <c r="H821" s="8">
        <f>+IF(BDAlquilerDepartamentos[[#This Row],[Ciudad]]="Lima",BDAlquilerDepartamentos[[#This Row],[Prec. Soles]]*0.1,BDAlquilerDepartamentos[[#This Row],[Prec. Soles]]*0.05)</f>
        <v>400</v>
      </c>
      <c r="I821" s="4">
        <v>6</v>
      </c>
      <c r="J821" s="4">
        <v>6</v>
      </c>
      <c r="K821" s="4" t="s">
        <v>3095</v>
      </c>
      <c r="L821" s="4" t="s">
        <v>3095</v>
      </c>
      <c r="M821" s="17">
        <v>1000</v>
      </c>
      <c r="N821" s="4">
        <v>2015</v>
      </c>
      <c r="O821" s="4" t="str">
        <f>+IF(BDAlquilerDepartamentos[[#This Row],[Prec. Soles]]&gt;2500,"Caro","Economico")</f>
        <v>Caro</v>
      </c>
      <c r="P821" s="4" t="str">
        <f>+IF(AND(BDAlquilerDepartamentos[[#This Row],[N° de Dorm.]]&gt; 3,BDAlquilerDepartamentos[[#This Row],[Prec. Soles]]&lt;= 2500),"Buena Oferta", "Precio Estadar")</f>
        <v>Precio Estadar</v>
      </c>
      <c r="Q821" t="s">
        <v>1113</v>
      </c>
      <c r="R821" t="s">
        <v>1102</v>
      </c>
      <c r="S821" s="11">
        <v>45200</v>
      </c>
      <c r="T821" t="s">
        <v>2958</v>
      </c>
      <c r="U821" t="s">
        <v>2276</v>
      </c>
    </row>
    <row r="822" spans="2:21" x14ac:dyDescent="0.3">
      <c r="B822" t="s">
        <v>1210</v>
      </c>
      <c r="C822" t="s">
        <v>2476</v>
      </c>
      <c r="D822" t="s">
        <v>2436</v>
      </c>
      <c r="E822" t="s">
        <v>2580</v>
      </c>
      <c r="F822" t="s">
        <v>2580</v>
      </c>
      <c r="G822" s="8">
        <v>9620</v>
      </c>
      <c r="H822" s="8">
        <f>+IF(BDAlquilerDepartamentos[[#This Row],[Ciudad]]="Lima",BDAlquilerDepartamentos[[#This Row],[Prec. Soles]]*0.1,BDAlquilerDepartamentos[[#This Row],[Prec. Soles]]*0.05)</f>
        <v>962</v>
      </c>
      <c r="I822" s="4">
        <v>4</v>
      </c>
      <c r="J822" s="4">
        <v>5</v>
      </c>
      <c r="K822" s="4" t="s">
        <v>3096</v>
      </c>
      <c r="L822" s="4" t="s">
        <v>3095</v>
      </c>
      <c r="M822" s="4">
        <v>313</v>
      </c>
      <c r="N822" s="4">
        <v>2008</v>
      </c>
      <c r="O822" s="4" t="str">
        <f>+IF(BDAlquilerDepartamentos[[#This Row],[Prec. Soles]]&gt;2500,"Caro","Economico")</f>
        <v>Caro</v>
      </c>
      <c r="P822" s="4" t="str">
        <f>+IF(AND(BDAlquilerDepartamentos[[#This Row],[N° de Dorm.]]&gt; 3,BDAlquilerDepartamentos[[#This Row],[Prec. Soles]]&lt;= 2500),"Buena Oferta", "Precio Estadar")</f>
        <v>Precio Estadar</v>
      </c>
      <c r="Q822" t="s">
        <v>1101</v>
      </c>
      <c r="R822" t="s">
        <v>1102</v>
      </c>
      <c r="S822" s="11">
        <v>45528</v>
      </c>
      <c r="T822" t="s">
        <v>2833</v>
      </c>
      <c r="U822" t="s">
        <v>2277</v>
      </c>
    </row>
    <row r="823" spans="2:21" x14ac:dyDescent="0.3">
      <c r="B823" t="s">
        <v>1981</v>
      </c>
      <c r="C823" t="s">
        <v>2700</v>
      </c>
      <c r="D823" t="s">
        <v>2580</v>
      </c>
      <c r="E823" t="s">
        <v>2580</v>
      </c>
      <c r="F823" t="s">
        <v>2580</v>
      </c>
      <c r="G823" s="8">
        <v>1200</v>
      </c>
      <c r="H823" s="8">
        <f>+IF(BDAlquilerDepartamentos[[#This Row],[Ciudad]]="Lima",BDAlquilerDepartamentos[[#This Row],[Prec. Soles]]*0.1,BDAlquilerDepartamentos[[#This Row],[Prec. Soles]]*0.05)</f>
        <v>120</v>
      </c>
      <c r="I823" s="4">
        <v>1</v>
      </c>
      <c r="J823" s="4">
        <v>1</v>
      </c>
      <c r="K823" s="4" t="s">
        <v>3095</v>
      </c>
      <c r="L823" s="4" t="s">
        <v>3096</v>
      </c>
      <c r="M823" s="4">
        <v>30</v>
      </c>
      <c r="N823" s="4">
        <v>2017</v>
      </c>
      <c r="O823" s="4" t="str">
        <f>+IF(BDAlquilerDepartamentos[[#This Row],[Prec. Soles]]&gt;2500,"Caro","Economico")</f>
        <v>Economico</v>
      </c>
      <c r="P823" s="4" t="str">
        <f>+IF(AND(BDAlquilerDepartamentos[[#This Row],[N° de Dorm.]]&gt; 3,BDAlquilerDepartamentos[[#This Row],[Prec. Soles]]&lt;= 2500),"Buena Oferta", "Precio Estadar")</f>
        <v>Precio Estadar</v>
      </c>
      <c r="Q823" t="s">
        <v>1101</v>
      </c>
      <c r="R823" t="s">
        <v>1102</v>
      </c>
      <c r="S823" s="11">
        <v>45253</v>
      </c>
      <c r="T823" t="s">
        <v>2841</v>
      </c>
      <c r="U823" t="s">
        <v>2278</v>
      </c>
    </row>
    <row r="824" spans="2:21" x14ac:dyDescent="0.3">
      <c r="B824" t="s">
        <v>2279</v>
      </c>
      <c r="C824" t="s">
        <v>2570</v>
      </c>
      <c r="D824" t="s">
        <v>2444</v>
      </c>
      <c r="E824" t="s">
        <v>2580</v>
      </c>
      <c r="F824" t="s">
        <v>2580</v>
      </c>
      <c r="G824" s="8">
        <v>9250</v>
      </c>
      <c r="H824" s="8">
        <f>+IF(BDAlquilerDepartamentos[[#This Row],[Ciudad]]="Lima",BDAlquilerDepartamentos[[#This Row],[Prec. Soles]]*0.1,BDAlquilerDepartamentos[[#This Row],[Prec. Soles]]*0.05)</f>
        <v>925</v>
      </c>
      <c r="I824" s="4">
        <v>9</v>
      </c>
      <c r="J824" s="4">
        <v>7</v>
      </c>
      <c r="K824" s="4" t="s">
        <v>3096</v>
      </c>
      <c r="L824" s="4" t="s">
        <v>3095</v>
      </c>
      <c r="M824" s="4">
        <v>416</v>
      </c>
      <c r="N824" s="4">
        <v>2011</v>
      </c>
      <c r="O824" s="4" t="str">
        <f>+IF(BDAlquilerDepartamentos[[#This Row],[Prec. Soles]]&gt;2500,"Caro","Economico")</f>
        <v>Caro</v>
      </c>
      <c r="P824" s="4" t="str">
        <f>+IF(AND(BDAlquilerDepartamentos[[#This Row],[N° de Dorm.]]&gt; 3,BDAlquilerDepartamentos[[#This Row],[Prec. Soles]]&lt;= 2500),"Buena Oferta", "Precio Estadar")</f>
        <v>Precio Estadar</v>
      </c>
      <c r="Q824" t="s">
        <v>1113</v>
      </c>
      <c r="R824" t="s">
        <v>1102</v>
      </c>
      <c r="S824" s="11">
        <v>45574</v>
      </c>
      <c r="T824" t="s">
        <v>3060</v>
      </c>
      <c r="U824" t="s">
        <v>2280</v>
      </c>
    </row>
    <row r="825" spans="2:21" x14ac:dyDescent="0.3">
      <c r="B825" t="s">
        <v>1661</v>
      </c>
      <c r="C825" t="s">
        <v>2616</v>
      </c>
      <c r="D825" t="s">
        <v>2432</v>
      </c>
      <c r="E825" t="s">
        <v>2580</v>
      </c>
      <c r="F825" t="s">
        <v>2580</v>
      </c>
      <c r="G825" s="8">
        <v>1600</v>
      </c>
      <c r="H825" s="8">
        <f>+IF(BDAlquilerDepartamentos[[#This Row],[Ciudad]]="Lima",BDAlquilerDepartamentos[[#This Row],[Prec. Soles]]*0.1,BDAlquilerDepartamentos[[#This Row],[Prec. Soles]]*0.05)</f>
        <v>160</v>
      </c>
      <c r="I825" s="4">
        <v>3</v>
      </c>
      <c r="J825" s="4">
        <v>3</v>
      </c>
      <c r="K825" s="4" t="s">
        <v>3096</v>
      </c>
      <c r="L825" s="4" t="s">
        <v>3096</v>
      </c>
      <c r="M825" s="4">
        <v>84</v>
      </c>
      <c r="N825" s="4">
        <v>2018</v>
      </c>
      <c r="O825" s="4" t="str">
        <f>+IF(BDAlquilerDepartamentos[[#This Row],[Prec. Soles]]&gt;2500,"Caro","Economico")</f>
        <v>Economico</v>
      </c>
      <c r="P825" s="4" t="str">
        <f>+IF(AND(BDAlquilerDepartamentos[[#This Row],[N° de Dorm.]]&gt; 3,BDAlquilerDepartamentos[[#This Row],[Prec. Soles]]&lt;= 2500),"Buena Oferta", "Precio Estadar")</f>
        <v>Precio Estadar</v>
      </c>
      <c r="Q825" t="s">
        <v>1101</v>
      </c>
      <c r="R825" t="s">
        <v>1102</v>
      </c>
      <c r="S825" s="11">
        <v>45538</v>
      </c>
      <c r="T825" t="s">
        <v>3028</v>
      </c>
      <c r="U825" t="s">
        <v>2282</v>
      </c>
    </row>
    <row r="826" spans="2:21" x14ac:dyDescent="0.3">
      <c r="B826" t="s">
        <v>3124</v>
      </c>
      <c r="C826" t="s">
        <v>3125</v>
      </c>
      <c r="D826" t="s">
        <v>3121</v>
      </c>
      <c r="E826" t="s">
        <v>2580</v>
      </c>
      <c r="F826" t="s">
        <v>2580</v>
      </c>
      <c r="G826" s="8">
        <v>6290</v>
      </c>
      <c r="H826" s="8">
        <f>+IF(BDAlquilerDepartamentos[[#This Row],[Ciudad]]="Lima",BDAlquilerDepartamentos[[#This Row],[Prec. Soles]]*0.1,BDAlquilerDepartamentos[[#This Row],[Prec. Soles]]*0.05)</f>
        <v>629</v>
      </c>
      <c r="I826" s="4">
        <v>3</v>
      </c>
      <c r="J826" s="4">
        <v>4</v>
      </c>
      <c r="K826" s="4" t="s">
        <v>3095</v>
      </c>
      <c r="L826" s="4" t="s">
        <v>3095</v>
      </c>
      <c r="M826" s="4">
        <v>240</v>
      </c>
      <c r="N826" s="4">
        <v>2013</v>
      </c>
      <c r="O826" s="4" t="str">
        <f>+IF(BDAlquilerDepartamentos[[#This Row],[Prec. Soles]]&gt;2500,"Caro","Economico")</f>
        <v>Caro</v>
      </c>
      <c r="P826" s="4" t="str">
        <f>+IF(AND(BDAlquilerDepartamentos[[#This Row],[N° de Dorm.]]&gt; 3,BDAlquilerDepartamentos[[#This Row],[Prec. Soles]]&lt;= 2500),"Buena Oferta", "Precio Estadar")</f>
        <v>Precio Estadar</v>
      </c>
      <c r="Q826" t="s">
        <v>1101</v>
      </c>
      <c r="R826" t="s">
        <v>1102</v>
      </c>
      <c r="S826" s="11">
        <v>45243</v>
      </c>
      <c r="T826" t="s">
        <v>2959</v>
      </c>
      <c r="U826" t="s">
        <v>2283</v>
      </c>
    </row>
    <row r="827" spans="2:21" x14ac:dyDescent="0.3">
      <c r="B827" t="s">
        <v>1637</v>
      </c>
      <c r="C827" t="s">
        <v>2609</v>
      </c>
      <c r="D827" t="s">
        <v>2428</v>
      </c>
      <c r="E827" t="s">
        <v>2580</v>
      </c>
      <c r="F827" t="s">
        <v>2580</v>
      </c>
      <c r="G827" s="8">
        <v>5180</v>
      </c>
      <c r="H827" s="8">
        <f>+IF(BDAlquilerDepartamentos[[#This Row],[Ciudad]]="Lima",BDAlquilerDepartamentos[[#This Row],[Prec. Soles]]*0.1,BDAlquilerDepartamentos[[#This Row],[Prec. Soles]]*0.05)</f>
        <v>518</v>
      </c>
      <c r="I827" s="4">
        <v>2</v>
      </c>
      <c r="J827" s="4">
        <v>2</v>
      </c>
      <c r="K827" s="4" t="s">
        <v>3095</v>
      </c>
      <c r="L827" s="4" t="s">
        <v>3095</v>
      </c>
      <c r="M827" s="4">
        <v>179</v>
      </c>
      <c r="N827" s="4">
        <v>2004</v>
      </c>
      <c r="O827" s="4" t="str">
        <f>+IF(BDAlquilerDepartamentos[[#This Row],[Prec. Soles]]&gt;2500,"Caro","Economico")</f>
        <v>Caro</v>
      </c>
      <c r="P827" s="4" t="str">
        <f>+IF(AND(BDAlquilerDepartamentos[[#This Row],[N° de Dorm.]]&gt; 3,BDAlquilerDepartamentos[[#This Row],[Prec. Soles]]&lt;= 2500),"Buena Oferta", "Precio Estadar")</f>
        <v>Precio Estadar</v>
      </c>
      <c r="Q827" t="s">
        <v>1101</v>
      </c>
      <c r="R827" t="s">
        <v>1102</v>
      </c>
      <c r="S827" s="11">
        <v>44988</v>
      </c>
      <c r="T827" t="s">
        <v>2877</v>
      </c>
      <c r="U827" t="s">
        <v>2284</v>
      </c>
    </row>
    <row r="828" spans="2:21" x14ac:dyDescent="0.3">
      <c r="B828" t="s">
        <v>1169</v>
      </c>
      <c r="C828" t="s">
        <v>2455</v>
      </c>
      <c r="D828" t="s">
        <v>2436</v>
      </c>
      <c r="E828" t="s">
        <v>2580</v>
      </c>
      <c r="F828" t="s">
        <v>2580</v>
      </c>
      <c r="G828" s="8">
        <v>3145</v>
      </c>
      <c r="H828" s="8">
        <f>+IF(BDAlquilerDepartamentos[[#This Row],[Ciudad]]="Lima",BDAlquilerDepartamentos[[#This Row],[Prec. Soles]]*0.1,BDAlquilerDepartamentos[[#This Row],[Prec. Soles]]*0.05)</f>
        <v>314.5</v>
      </c>
      <c r="I828" s="4">
        <v>3</v>
      </c>
      <c r="J828" s="4">
        <v>3</v>
      </c>
      <c r="K828" s="4" t="s">
        <v>3095</v>
      </c>
      <c r="L828" s="4" t="s">
        <v>3096</v>
      </c>
      <c r="M828" s="4">
        <v>110</v>
      </c>
      <c r="N828" s="4">
        <v>2011</v>
      </c>
      <c r="O828" s="4" t="str">
        <f>+IF(BDAlquilerDepartamentos[[#This Row],[Prec. Soles]]&gt;2500,"Caro","Economico")</f>
        <v>Caro</v>
      </c>
      <c r="P828" s="4" t="str">
        <f>+IF(AND(BDAlquilerDepartamentos[[#This Row],[N° de Dorm.]]&gt; 3,BDAlquilerDepartamentos[[#This Row],[Prec. Soles]]&lt;= 2500),"Buena Oferta", "Precio Estadar")</f>
        <v>Precio Estadar</v>
      </c>
      <c r="Q828" t="s">
        <v>1101</v>
      </c>
      <c r="R828" t="s">
        <v>1102</v>
      </c>
      <c r="S828" s="11">
        <v>45510</v>
      </c>
      <c r="T828" t="s">
        <v>2936</v>
      </c>
      <c r="U828" t="s">
        <v>2285</v>
      </c>
    </row>
    <row r="829" spans="2:21" x14ac:dyDescent="0.3">
      <c r="B829" t="s">
        <v>2286</v>
      </c>
      <c r="C829" t="s">
        <v>2768</v>
      </c>
      <c r="D829" t="s">
        <v>2422</v>
      </c>
      <c r="E829" t="s">
        <v>2580</v>
      </c>
      <c r="F829" t="s">
        <v>2580</v>
      </c>
      <c r="G829" s="8">
        <v>2200</v>
      </c>
      <c r="H829" s="8">
        <f>+IF(BDAlquilerDepartamentos[[#This Row],[Ciudad]]="Lima",BDAlquilerDepartamentos[[#This Row],[Prec. Soles]]*0.1,BDAlquilerDepartamentos[[#This Row],[Prec. Soles]]*0.05)</f>
        <v>220</v>
      </c>
      <c r="I829" s="4">
        <v>2</v>
      </c>
      <c r="J829" s="4">
        <v>1</v>
      </c>
      <c r="K829" s="4" t="s">
        <v>3095</v>
      </c>
      <c r="L829" s="4" t="s">
        <v>3095</v>
      </c>
      <c r="M829" s="4">
        <v>95</v>
      </c>
      <c r="N829" s="4">
        <v>2011</v>
      </c>
      <c r="O829" s="4" t="str">
        <f>+IF(BDAlquilerDepartamentos[[#This Row],[Prec. Soles]]&gt;2500,"Caro","Economico")</f>
        <v>Economico</v>
      </c>
      <c r="P829" s="4" t="str">
        <f>+IF(AND(BDAlquilerDepartamentos[[#This Row],[N° de Dorm.]]&gt; 3,BDAlquilerDepartamentos[[#This Row],[Prec. Soles]]&lt;= 2500),"Buena Oferta", "Precio Estadar")</f>
        <v>Precio Estadar</v>
      </c>
      <c r="Q829" t="s">
        <v>1101</v>
      </c>
      <c r="R829" t="s">
        <v>1102</v>
      </c>
      <c r="S829" s="11">
        <v>45042</v>
      </c>
      <c r="T829" t="s">
        <v>2985</v>
      </c>
      <c r="U829" t="s">
        <v>2287</v>
      </c>
    </row>
    <row r="830" spans="2:21" x14ac:dyDescent="0.3">
      <c r="B830" t="s">
        <v>2002</v>
      </c>
      <c r="C830" t="s">
        <v>2705</v>
      </c>
      <c r="D830" t="s">
        <v>2580</v>
      </c>
      <c r="E830" t="s">
        <v>2580</v>
      </c>
      <c r="F830" t="s">
        <v>2580</v>
      </c>
      <c r="G830" s="8">
        <v>7400</v>
      </c>
      <c r="H830" s="8">
        <f>+IF(BDAlquilerDepartamentos[[#This Row],[Ciudad]]="Lima",BDAlquilerDepartamentos[[#This Row],[Prec. Soles]]*0.1,BDAlquilerDepartamentos[[#This Row],[Prec. Soles]]*0.05)</f>
        <v>740</v>
      </c>
      <c r="I830" s="4">
        <v>3</v>
      </c>
      <c r="J830" s="4">
        <v>3</v>
      </c>
      <c r="K830" s="4" t="s">
        <v>3095</v>
      </c>
      <c r="L830" s="4" t="s">
        <v>3096</v>
      </c>
      <c r="M830" s="4">
        <v>200</v>
      </c>
      <c r="N830" s="4">
        <v>2016</v>
      </c>
      <c r="O830" s="4" t="str">
        <f>+IF(BDAlquilerDepartamentos[[#This Row],[Prec. Soles]]&gt;2500,"Caro","Economico")</f>
        <v>Caro</v>
      </c>
      <c r="P830" s="4" t="str">
        <f>+IF(AND(BDAlquilerDepartamentos[[#This Row],[N° de Dorm.]]&gt; 3,BDAlquilerDepartamentos[[#This Row],[Prec. Soles]]&lt;= 2500),"Buena Oferta", "Precio Estadar")</f>
        <v>Precio Estadar</v>
      </c>
      <c r="Q830" t="s">
        <v>1101</v>
      </c>
      <c r="R830" t="s">
        <v>1102</v>
      </c>
      <c r="S830" s="11">
        <v>45395</v>
      </c>
      <c r="T830" t="s">
        <v>3006</v>
      </c>
      <c r="U830" t="s">
        <v>2288</v>
      </c>
    </row>
    <row r="831" spans="2:21" x14ac:dyDescent="0.3">
      <c r="B831" t="s">
        <v>1887</v>
      </c>
      <c r="C831" t="s">
        <v>2675</v>
      </c>
      <c r="D831" t="s">
        <v>2580</v>
      </c>
      <c r="E831" t="s">
        <v>2580</v>
      </c>
      <c r="F831" t="s">
        <v>2580</v>
      </c>
      <c r="G831" s="8">
        <v>4995</v>
      </c>
      <c r="H831" s="8">
        <f>+IF(BDAlquilerDepartamentos[[#This Row],[Ciudad]]="Lima",BDAlquilerDepartamentos[[#This Row],[Prec. Soles]]*0.1,BDAlquilerDepartamentos[[#This Row],[Prec. Soles]]*0.05)</f>
        <v>499.5</v>
      </c>
      <c r="I831" s="4">
        <v>2</v>
      </c>
      <c r="J831" s="4">
        <v>2</v>
      </c>
      <c r="K831" s="4" t="s">
        <v>3096</v>
      </c>
      <c r="L831" s="4" t="s">
        <v>3095</v>
      </c>
      <c r="M831" s="4">
        <v>130</v>
      </c>
      <c r="N831" s="4">
        <v>2010</v>
      </c>
      <c r="O831" s="4" t="str">
        <f>+IF(BDAlquilerDepartamentos[[#This Row],[Prec. Soles]]&gt;2500,"Caro","Economico")</f>
        <v>Caro</v>
      </c>
      <c r="P831" s="4" t="str">
        <f>+IF(AND(BDAlquilerDepartamentos[[#This Row],[N° de Dorm.]]&gt; 3,BDAlquilerDepartamentos[[#This Row],[Prec. Soles]]&lt;= 2500),"Buena Oferta", "Precio Estadar")</f>
        <v>Precio Estadar</v>
      </c>
      <c r="Q831" t="s">
        <v>1101</v>
      </c>
      <c r="R831" t="s">
        <v>1102</v>
      </c>
      <c r="S831" s="11">
        <v>45127</v>
      </c>
      <c r="T831" t="s">
        <v>3157</v>
      </c>
      <c r="U831" t="s">
        <v>2289</v>
      </c>
    </row>
    <row r="832" spans="2:21" x14ac:dyDescent="0.3">
      <c r="B832" t="s">
        <v>3102</v>
      </c>
      <c r="C832" t="s">
        <v>2580</v>
      </c>
      <c r="D832" t="s">
        <v>2580</v>
      </c>
      <c r="E832" t="s">
        <v>2580</v>
      </c>
      <c r="F832" t="s">
        <v>2580</v>
      </c>
      <c r="G832" s="8">
        <v>2405</v>
      </c>
      <c r="H832" s="8">
        <f>+IF(BDAlquilerDepartamentos[[#This Row],[Ciudad]]="Lima",BDAlquilerDepartamentos[[#This Row],[Prec. Soles]]*0.1,BDAlquilerDepartamentos[[#This Row],[Prec. Soles]]*0.05)</f>
        <v>240.5</v>
      </c>
      <c r="I832" s="4">
        <v>2</v>
      </c>
      <c r="J832" s="4">
        <v>2</v>
      </c>
      <c r="K832" s="4" t="s">
        <v>3096</v>
      </c>
      <c r="L832" s="4" t="s">
        <v>3096</v>
      </c>
      <c r="M832" s="4">
        <v>70</v>
      </c>
      <c r="N832" s="4">
        <v>2013</v>
      </c>
      <c r="O832" s="4" t="str">
        <f>+IF(BDAlquilerDepartamentos[[#This Row],[Prec. Soles]]&gt;2500,"Caro","Economico")</f>
        <v>Economico</v>
      </c>
      <c r="P832" s="4" t="str">
        <f>+IF(AND(BDAlquilerDepartamentos[[#This Row],[N° de Dorm.]]&gt; 3,BDAlquilerDepartamentos[[#This Row],[Prec. Soles]]&lt;= 2500),"Buena Oferta", "Precio Estadar")</f>
        <v>Precio Estadar</v>
      </c>
      <c r="Q832" t="s">
        <v>1101</v>
      </c>
      <c r="R832" t="s">
        <v>1102</v>
      </c>
      <c r="S832" s="11">
        <v>45533</v>
      </c>
      <c r="T832" t="s">
        <v>3061</v>
      </c>
      <c r="U832" t="s">
        <v>2290</v>
      </c>
    </row>
    <row r="833" spans="2:21" x14ac:dyDescent="0.3">
      <c r="B833" t="s">
        <v>2291</v>
      </c>
      <c r="C833" t="s">
        <v>2769</v>
      </c>
      <c r="D833" t="s">
        <v>2580</v>
      </c>
      <c r="E833" t="s">
        <v>2580</v>
      </c>
      <c r="F833" t="s">
        <v>2580</v>
      </c>
      <c r="G833" s="8">
        <v>9250</v>
      </c>
      <c r="H833" s="8">
        <f>+IF(BDAlquilerDepartamentos[[#This Row],[Ciudad]]="Lima",BDAlquilerDepartamentos[[#This Row],[Prec. Soles]]*0.1,BDAlquilerDepartamentos[[#This Row],[Prec. Soles]]*0.05)</f>
        <v>925</v>
      </c>
      <c r="I833" s="4">
        <v>3</v>
      </c>
      <c r="J833" s="4">
        <v>3</v>
      </c>
      <c r="K833" s="4" t="s">
        <v>3095</v>
      </c>
      <c r="L833" s="4" t="s">
        <v>3095</v>
      </c>
      <c r="M833" s="4">
        <v>106</v>
      </c>
      <c r="N833" s="4">
        <v>2017</v>
      </c>
      <c r="O833" s="4" t="str">
        <f>+IF(BDAlquilerDepartamentos[[#This Row],[Prec. Soles]]&gt;2500,"Caro","Economico")</f>
        <v>Caro</v>
      </c>
      <c r="P833" s="4" t="str">
        <f>+IF(AND(BDAlquilerDepartamentos[[#This Row],[N° de Dorm.]]&gt; 3,BDAlquilerDepartamentos[[#This Row],[Prec. Soles]]&lt;= 2500),"Buena Oferta", "Precio Estadar")</f>
        <v>Precio Estadar</v>
      </c>
      <c r="Q833" t="s">
        <v>1101</v>
      </c>
      <c r="R833" t="s">
        <v>1102</v>
      </c>
      <c r="S833" s="11">
        <v>45387</v>
      </c>
      <c r="T833" t="s">
        <v>3062</v>
      </c>
      <c r="U833" t="s">
        <v>2292</v>
      </c>
    </row>
    <row r="834" spans="2:21" x14ac:dyDescent="0.3">
      <c r="B834" t="s">
        <v>2293</v>
      </c>
      <c r="C834" t="s">
        <v>2770</v>
      </c>
      <c r="D834" t="s">
        <v>2689</v>
      </c>
      <c r="E834" t="s">
        <v>3129</v>
      </c>
      <c r="F834" t="s">
        <v>3129</v>
      </c>
      <c r="G834" s="8">
        <v>1600</v>
      </c>
      <c r="H834" s="8">
        <f>+IF(BDAlquilerDepartamentos[[#This Row],[Ciudad]]="Lima",BDAlquilerDepartamentos[[#This Row],[Prec. Soles]]*0.1,BDAlquilerDepartamentos[[#This Row],[Prec. Soles]]*0.05)</f>
        <v>80</v>
      </c>
      <c r="I834" s="4">
        <v>1</v>
      </c>
      <c r="J834" s="4">
        <v>1</v>
      </c>
      <c r="K834" s="4" t="s">
        <v>3095</v>
      </c>
      <c r="L834" s="4" t="s">
        <v>3095</v>
      </c>
      <c r="M834" s="4">
        <v>38</v>
      </c>
      <c r="N834" s="4">
        <v>2010</v>
      </c>
      <c r="O834" s="4" t="str">
        <f>+IF(BDAlquilerDepartamentos[[#This Row],[Prec. Soles]]&gt;2500,"Caro","Economico")</f>
        <v>Economico</v>
      </c>
      <c r="P834" s="4" t="str">
        <f>+IF(AND(BDAlquilerDepartamentos[[#This Row],[N° de Dorm.]]&gt; 3,BDAlquilerDepartamentos[[#This Row],[Prec. Soles]]&lt;= 2500),"Buena Oferta", "Precio Estadar")</f>
        <v>Precio Estadar</v>
      </c>
      <c r="Q834" t="s">
        <v>1101</v>
      </c>
      <c r="R834" t="s">
        <v>1102</v>
      </c>
      <c r="S834" s="11">
        <v>45054</v>
      </c>
      <c r="T834" t="s">
        <v>2852</v>
      </c>
      <c r="U834" t="s">
        <v>2294</v>
      </c>
    </row>
    <row r="835" spans="2:21" x14ac:dyDescent="0.3">
      <c r="B835" t="s">
        <v>3120</v>
      </c>
      <c r="C835" t="s">
        <v>2436</v>
      </c>
      <c r="D835" t="s">
        <v>2689</v>
      </c>
      <c r="E835" t="s">
        <v>2689</v>
      </c>
      <c r="F835" t="s">
        <v>2689</v>
      </c>
      <c r="G835" s="8">
        <v>6064.3</v>
      </c>
      <c r="H835" s="8">
        <f>+IF(BDAlquilerDepartamentos[[#This Row],[Ciudad]]="Lima",BDAlquilerDepartamentos[[#This Row],[Prec. Soles]]*0.1,BDAlquilerDepartamentos[[#This Row],[Prec. Soles]]*0.05)</f>
        <v>303.21500000000003</v>
      </c>
      <c r="I835" s="4">
        <v>8</v>
      </c>
      <c r="J835" s="4">
        <v>4</v>
      </c>
      <c r="K835" s="4" t="s">
        <v>3095</v>
      </c>
      <c r="L835" s="4" t="s">
        <v>3096</v>
      </c>
      <c r="M835" s="4">
        <v>272</v>
      </c>
      <c r="N835" s="4">
        <v>2008</v>
      </c>
      <c r="O835" s="4" t="str">
        <f>+IF(BDAlquilerDepartamentos[[#This Row],[Prec. Soles]]&gt;2500,"Caro","Economico")</f>
        <v>Caro</v>
      </c>
      <c r="P835" s="4" t="str">
        <f>+IF(AND(BDAlquilerDepartamentos[[#This Row],[N° de Dorm.]]&gt; 3,BDAlquilerDepartamentos[[#This Row],[Prec. Soles]]&lt;= 2500),"Buena Oferta", "Precio Estadar")</f>
        <v>Precio Estadar</v>
      </c>
      <c r="Q835" t="s">
        <v>1113</v>
      </c>
      <c r="R835" t="s">
        <v>1102</v>
      </c>
      <c r="S835" s="11">
        <v>45456</v>
      </c>
      <c r="T835" t="s">
        <v>3123</v>
      </c>
      <c r="U835" t="s">
        <v>2295</v>
      </c>
    </row>
    <row r="836" spans="2:21" x14ac:dyDescent="0.3">
      <c r="B836" t="s">
        <v>2296</v>
      </c>
      <c r="C836" t="s">
        <v>2771</v>
      </c>
      <c r="D836" t="s">
        <v>2422</v>
      </c>
      <c r="E836" t="s">
        <v>2580</v>
      </c>
      <c r="F836" t="s">
        <v>2580</v>
      </c>
      <c r="G836" s="8">
        <v>2300</v>
      </c>
      <c r="H836" s="8">
        <f>+IF(BDAlquilerDepartamentos[[#This Row],[Ciudad]]="Lima",BDAlquilerDepartamentos[[#This Row],[Prec. Soles]]*0.1,BDAlquilerDepartamentos[[#This Row],[Prec. Soles]]*0.05)</f>
        <v>230</v>
      </c>
      <c r="I836" s="4">
        <v>2</v>
      </c>
      <c r="J836" s="4">
        <v>3</v>
      </c>
      <c r="K836" s="4" t="s">
        <v>3096</v>
      </c>
      <c r="L836" s="4" t="s">
        <v>3095</v>
      </c>
      <c r="M836" s="4">
        <v>110</v>
      </c>
      <c r="N836" s="4">
        <v>2018</v>
      </c>
      <c r="O836" s="4" t="str">
        <f>+IF(BDAlquilerDepartamentos[[#This Row],[Prec. Soles]]&gt;2500,"Caro","Economico")</f>
        <v>Economico</v>
      </c>
      <c r="P836" s="4" t="str">
        <f>+IF(AND(BDAlquilerDepartamentos[[#This Row],[N° de Dorm.]]&gt; 3,BDAlquilerDepartamentos[[#This Row],[Prec. Soles]]&lt;= 2500),"Buena Oferta", "Precio Estadar")</f>
        <v>Precio Estadar</v>
      </c>
      <c r="Q836" t="s">
        <v>1101</v>
      </c>
      <c r="R836" t="s">
        <v>1102</v>
      </c>
      <c r="S836" s="11">
        <v>45576</v>
      </c>
      <c r="T836" t="s">
        <v>2843</v>
      </c>
      <c r="U836" t="s">
        <v>2297</v>
      </c>
    </row>
    <row r="837" spans="2:21" x14ac:dyDescent="0.3">
      <c r="B837" t="s">
        <v>1210</v>
      </c>
      <c r="C837" t="s">
        <v>2476</v>
      </c>
      <c r="D837" t="s">
        <v>2436</v>
      </c>
      <c r="E837" t="s">
        <v>2580</v>
      </c>
      <c r="F837" t="s">
        <v>2580</v>
      </c>
      <c r="G837" s="8">
        <v>3700</v>
      </c>
      <c r="H837" s="8">
        <f>+IF(BDAlquilerDepartamentos[[#This Row],[Ciudad]]="Lima",BDAlquilerDepartamentos[[#This Row],[Prec. Soles]]*0.1,BDAlquilerDepartamentos[[#This Row],[Prec. Soles]]*0.05)</f>
        <v>370</v>
      </c>
      <c r="I837" s="4">
        <v>6</v>
      </c>
      <c r="J837" s="4">
        <v>2</v>
      </c>
      <c r="K837" s="4" t="s">
        <v>3095</v>
      </c>
      <c r="L837" s="4" t="s">
        <v>3095</v>
      </c>
      <c r="M837" s="4">
        <v>120</v>
      </c>
      <c r="N837" s="4">
        <v>2018</v>
      </c>
      <c r="O837" s="4" t="str">
        <f>+IF(BDAlquilerDepartamentos[[#This Row],[Prec. Soles]]&gt;2500,"Caro","Economico")</f>
        <v>Caro</v>
      </c>
      <c r="P837" s="4" t="str">
        <f>+IF(AND(BDAlquilerDepartamentos[[#This Row],[N° de Dorm.]]&gt; 3,BDAlquilerDepartamentos[[#This Row],[Prec. Soles]]&lt;= 2500),"Buena Oferta", "Precio Estadar")</f>
        <v>Precio Estadar</v>
      </c>
      <c r="Q837" t="s">
        <v>1101</v>
      </c>
      <c r="R837" t="s">
        <v>1102</v>
      </c>
      <c r="S837" s="11">
        <v>45192</v>
      </c>
      <c r="T837" t="s">
        <v>3063</v>
      </c>
      <c r="U837" t="s">
        <v>2298</v>
      </c>
    </row>
    <row r="838" spans="2:21" x14ac:dyDescent="0.3">
      <c r="B838" t="s">
        <v>1992</v>
      </c>
      <c r="C838" t="s">
        <v>2703</v>
      </c>
      <c r="D838" t="s">
        <v>2452</v>
      </c>
      <c r="E838" t="s">
        <v>2580</v>
      </c>
      <c r="F838" t="s">
        <v>2580</v>
      </c>
      <c r="G838" s="8">
        <v>3900</v>
      </c>
      <c r="H838" s="8">
        <f>+IF(BDAlquilerDepartamentos[[#This Row],[Ciudad]]="Lima",BDAlquilerDepartamentos[[#This Row],[Prec. Soles]]*0.1,BDAlquilerDepartamentos[[#This Row],[Prec. Soles]]*0.05)</f>
        <v>390</v>
      </c>
      <c r="I838" s="4">
        <v>3</v>
      </c>
      <c r="J838" s="4">
        <v>3</v>
      </c>
      <c r="K838" s="4" t="s">
        <v>3096</v>
      </c>
      <c r="L838" s="4" t="s">
        <v>3095</v>
      </c>
      <c r="M838" s="4">
        <v>100</v>
      </c>
      <c r="N838" s="4">
        <v>2006</v>
      </c>
      <c r="O838" s="4" t="str">
        <f>+IF(BDAlquilerDepartamentos[[#This Row],[Prec. Soles]]&gt;2500,"Caro","Economico")</f>
        <v>Caro</v>
      </c>
      <c r="P838" s="4" t="str">
        <f>+IF(AND(BDAlquilerDepartamentos[[#This Row],[N° de Dorm.]]&gt; 3,BDAlquilerDepartamentos[[#This Row],[Prec. Soles]]&lt;= 2500),"Buena Oferta", "Precio Estadar")</f>
        <v>Precio Estadar</v>
      </c>
      <c r="Q838" t="s">
        <v>1101</v>
      </c>
      <c r="R838" t="s">
        <v>1102</v>
      </c>
      <c r="S838" s="11">
        <v>45404</v>
      </c>
      <c r="T838" t="s">
        <v>2861</v>
      </c>
      <c r="U838" t="s">
        <v>2299</v>
      </c>
    </row>
    <row r="839" spans="2:21" x14ac:dyDescent="0.3">
      <c r="B839" t="s">
        <v>2300</v>
      </c>
      <c r="C839" t="s">
        <v>2772</v>
      </c>
      <c r="D839" t="s">
        <v>2543</v>
      </c>
      <c r="E839" t="s">
        <v>2580</v>
      </c>
      <c r="F839" t="s">
        <v>2580</v>
      </c>
      <c r="G839" s="8">
        <v>7400</v>
      </c>
      <c r="H839" s="8">
        <f>+IF(BDAlquilerDepartamentos[[#This Row],[Ciudad]]="Lima",BDAlquilerDepartamentos[[#This Row],[Prec. Soles]]*0.1,BDAlquilerDepartamentos[[#This Row],[Prec. Soles]]*0.05)</f>
        <v>740</v>
      </c>
      <c r="I839" s="4">
        <v>4</v>
      </c>
      <c r="J839" s="4">
        <v>3</v>
      </c>
      <c r="K839" s="4" t="s">
        <v>3095</v>
      </c>
      <c r="L839" s="4" t="s">
        <v>3096</v>
      </c>
      <c r="M839" s="4">
        <v>360</v>
      </c>
      <c r="N839" s="4">
        <v>2015</v>
      </c>
      <c r="O839" s="4" t="str">
        <f>+IF(BDAlquilerDepartamentos[[#This Row],[Prec. Soles]]&gt;2500,"Caro","Economico")</f>
        <v>Caro</v>
      </c>
      <c r="P839" s="4" t="str">
        <f>+IF(AND(BDAlquilerDepartamentos[[#This Row],[N° de Dorm.]]&gt; 3,BDAlquilerDepartamentos[[#This Row],[Prec. Soles]]&lt;= 2500),"Buena Oferta", "Precio Estadar")</f>
        <v>Precio Estadar</v>
      </c>
      <c r="Q839" t="s">
        <v>1113</v>
      </c>
      <c r="R839" t="s">
        <v>1102</v>
      </c>
      <c r="S839" s="11">
        <v>45269</v>
      </c>
      <c r="T839" t="s">
        <v>2929</v>
      </c>
      <c r="U839" t="s">
        <v>2301</v>
      </c>
    </row>
    <row r="840" spans="2:21" x14ac:dyDescent="0.3">
      <c r="B840" t="s">
        <v>1335</v>
      </c>
      <c r="C840" t="s">
        <v>2491</v>
      </c>
      <c r="D840" t="s">
        <v>2580</v>
      </c>
      <c r="E840" t="s">
        <v>2580</v>
      </c>
      <c r="F840" t="s">
        <v>2580</v>
      </c>
      <c r="G840" s="8">
        <v>88</v>
      </c>
      <c r="H840" s="8">
        <f>+IF(BDAlquilerDepartamentos[[#This Row],[Ciudad]]="Lima",BDAlquilerDepartamentos[[#This Row],[Prec. Soles]]*0.1,BDAlquilerDepartamentos[[#This Row],[Prec. Soles]]*0.05)</f>
        <v>8.8000000000000007</v>
      </c>
      <c r="I840" s="4">
        <v>3</v>
      </c>
      <c r="J840" s="4">
        <v>1</v>
      </c>
      <c r="K840" s="4" t="s">
        <v>3095</v>
      </c>
      <c r="L840" s="4" t="s">
        <v>3096</v>
      </c>
      <c r="M840" s="4">
        <v>55</v>
      </c>
      <c r="N840" s="4">
        <v>2013</v>
      </c>
      <c r="O840" s="4" t="str">
        <f>+IF(BDAlquilerDepartamentos[[#This Row],[Prec. Soles]]&gt;2500,"Caro","Economico")</f>
        <v>Economico</v>
      </c>
      <c r="P840" s="4" t="str">
        <f>+IF(AND(BDAlquilerDepartamentos[[#This Row],[N° de Dorm.]]&gt; 3,BDAlquilerDepartamentos[[#This Row],[Prec. Soles]]&lt;= 2500),"Buena Oferta", "Precio Estadar")</f>
        <v>Precio Estadar</v>
      </c>
      <c r="Q840" t="s">
        <v>1101</v>
      </c>
      <c r="R840" t="s">
        <v>1102</v>
      </c>
      <c r="S840" s="11">
        <v>45290</v>
      </c>
      <c r="T840" t="s">
        <v>2843</v>
      </c>
      <c r="U840" t="s">
        <v>2302</v>
      </c>
    </row>
    <row r="841" spans="2:21" x14ac:dyDescent="0.3">
      <c r="B841" t="s">
        <v>1533</v>
      </c>
      <c r="C841" t="s">
        <v>2587</v>
      </c>
      <c r="D841" t="s">
        <v>2463</v>
      </c>
      <c r="E841" t="s">
        <v>2580</v>
      </c>
      <c r="F841" t="s">
        <v>2580</v>
      </c>
      <c r="G841" s="8">
        <v>2700</v>
      </c>
      <c r="H841" s="8">
        <f>+IF(BDAlquilerDepartamentos[[#This Row],[Ciudad]]="Lima",BDAlquilerDepartamentos[[#This Row],[Prec. Soles]]*0.1,BDAlquilerDepartamentos[[#This Row],[Prec. Soles]]*0.05)</f>
        <v>270</v>
      </c>
      <c r="I841" s="4">
        <v>3</v>
      </c>
      <c r="J841" s="4">
        <v>2</v>
      </c>
      <c r="K841" s="4" t="s">
        <v>3095</v>
      </c>
      <c r="L841" s="4" t="s">
        <v>3095</v>
      </c>
      <c r="M841" s="4">
        <v>140</v>
      </c>
      <c r="N841" s="4">
        <v>2004</v>
      </c>
      <c r="O841" s="4" t="str">
        <f>+IF(BDAlquilerDepartamentos[[#This Row],[Prec. Soles]]&gt;2500,"Caro","Economico")</f>
        <v>Caro</v>
      </c>
      <c r="P841" s="4" t="str">
        <f>+IF(AND(BDAlquilerDepartamentos[[#This Row],[N° de Dorm.]]&gt; 3,BDAlquilerDepartamentos[[#This Row],[Prec. Soles]]&lt;= 2500),"Buena Oferta", "Precio Estadar")</f>
        <v>Precio Estadar</v>
      </c>
      <c r="Q841" t="s">
        <v>1101</v>
      </c>
      <c r="R841" t="s">
        <v>1102</v>
      </c>
      <c r="S841" s="11">
        <v>44980</v>
      </c>
      <c r="T841" t="s">
        <v>2958</v>
      </c>
      <c r="U841" t="s">
        <v>2303</v>
      </c>
    </row>
    <row r="842" spans="2:21" x14ac:dyDescent="0.3">
      <c r="B842" t="s">
        <v>1122</v>
      </c>
      <c r="C842" t="s">
        <v>2429</v>
      </c>
      <c r="D842" t="s">
        <v>2553</v>
      </c>
      <c r="E842" t="s">
        <v>2580</v>
      </c>
      <c r="F842" t="s">
        <v>2580</v>
      </c>
      <c r="G842" s="8">
        <v>5683.2000000000007</v>
      </c>
      <c r="H842" s="8">
        <f>+IF(BDAlquilerDepartamentos[[#This Row],[Ciudad]]="Lima",BDAlquilerDepartamentos[[#This Row],[Prec. Soles]]*0.1,BDAlquilerDepartamentos[[#This Row],[Prec. Soles]]*0.05)</f>
        <v>568.32000000000005</v>
      </c>
      <c r="I842" s="4">
        <v>4</v>
      </c>
      <c r="J842" s="4">
        <v>4</v>
      </c>
      <c r="K842" s="4" t="s">
        <v>3095</v>
      </c>
      <c r="L842" s="4" t="s">
        <v>3096</v>
      </c>
      <c r="M842" s="4">
        <v>180</v>
      </c>
      <c r="N842" s="4">
        <v>2010</v>
      </c>
      <c r="O842" s="4" t="str">
        <f>+IF(BDAlquilerDepartamentos[[#This Row],[Prec. Soles]]&gt;2500,"Caro","Economico")</f>
        <v>Caro</v>
      </c>
      <c r="P842" s="4" t="str">
        <f>+IF(AND(BDAlquilerDepartamentos[[#This Row],[N° de Dorm.]]&gt; 3,BDAlquilerDepartamentos[[#This Row],[Prec. Soles]]&lt;= 2500),"Buena Oferta", "Precio Estadar")</f>
        <v>Precio Estadar</v>
      </c>
      <c r="Q842" t="s">
        <v>1101</v>
      </c>
      <c r="R842" t="s">
        <v>1102</v>
      </c>
      <c r="S842" s="11">
        <v>45517</v>
      </c>
      <c r="T842" t="s">
        <v>3123</v>
      </c>
      <c r="U842" t="s">
        <v>2304</v>
      </c>
    </row>
    <row r="843" spans="2:21" x14ac:dyDescent="0.3">
      <c r="B843" t="s">
        <v>3113</v>
      </c>
      <c r="C843" t="s">
        <v>3114</v>
      </c>
      <c r="D843" t="s">
        <v>2436</v>
      </c>
      <c r="E843" t="s">
        <v>2580</v>
      </c>
      <c r="F843" t="s">
        <v>2580</v>
      </c>
      <c r="G843" s="8">
        <v>9250</v>
      </c>
      <c r="H843" s="8">
        <f>+IF(BDAlquilerDepartamentos[[#This Row],[Ciudad]]="Lima",BDAlquilerDepartamentos[[#This Row],[Prec. Soles]]*0.1,BDAlquilerDepartamentos[[#This Row],[Prec. Soles]]*0.05)</f>
        <v>925</v>
      </c>
      <c r="I843" s="4">
        <v>3</v>
      </c>
      <c r="J843" s="4">
        <v>3</v>
      </c>
      <c r="K843" s="4" t="s">
        <v>3096</v>
      </c>
      <c r="L843" s="4" t="s">
        <v>3096</v>
      </c>
      <c r="M843" s="4">
        <v>100</v>
      </c>
      <c r="N843" s="4">
        <v>2004</v>
      </c>
      <c r="O843" s="4" t="str">
        <f>+IF(BDAlquilerDepartamentos[[#This Row],[Prec. Soles]]&gt;2500,"Caro","Economico")</f>
        <v>Caro</v>
      </c>
      <c r="P843" s="4" t="str">
        <f>+IF(AND(BDAlquilerDepartamentos[[#This Row],[N° de Dorm.]]&gt; 3,BDAlquilerDepartamentos[[#This Row],[Prec. Soles]]&lt;= 2500),"Buena Oferta", "Precio Estadar")</f>
        <v>Precio Estadar</v>
      </c>
      <c r="Q843" t="s">
        <v>1101</v>
      </c>
      <c r="R843" t="s">
        <v>1102</v>
      </c>
      <c r="S843" s="11">
        <v>45381</v>
      </c>
      <c r="T843" t="s">
        <v>3123</v>
      </c>
      <c r="U843" t="s">
        <v>2305</v>
      </c>
    </row>
    <row r="844" spans="2:21" x14ac:dyDescent="0.3">
      <c r="B844" t="s">
        <v>1185</v>
      </c>
      <c r="C844" t="s">
        <v>2462</v>
      </c>
      <c r="D844" t="s">
        <v>2463</v>
      </c>
      <c r="E844" t="s">
        <v>2580</v>
      </c>
      <c r="F844" t="s">
        <v>2580</v>
      </c>
      <c r="G844" s="8">
        <v>4400</v>
      </c>
      <c r="H844" s="8">
        <f>+IF(BDAlquilerDepartamentos[[#This Row],[Ciudad]]="Lima",BDAlquilerDepartamentos[[#This Row],[Prec. Soles]]*0.1,BDAlquilerDepartamentos[[#This Row],[Prec. Soles]]*0.05)</f>
        <v>440</v>
      </c>
      <c r="I844" s="4">
        <v>4</v>
      </c>
      <c r="J844" s="4">
        <v>3</v>
      </c>
      <c r="K844" s="4" t="s">
        <v>3095</v>
      </c>
      <c r="L844" s="4" t="s">
        <v>3096</v>
      </c>
      <c r="M844" s="4">
        <v>160</v>
      </c>
      <c r="N844" s="4">
        <v>2010</v>
      </c>
      <c r="O844" s="4" t="str">
        <f>+IF(BDAlquilerDepartamentos[[#This Row],[Prec. Soles]]&gt;2500,"Caro","Economico")</f>
        <v>Caro</v>
      </c>
      <c r="P844" s="4" t="str">
        <f>+IF(AND(BDAlquilerDepartamentos[[#This Row],[N° de Dorm.]]&gt; 3,BDAlquilerDepartamentos[[#This Row],[Prec. Soles]]&lt;= 2500),"Buena Oferta", "Precio Estadar")</f>
        <v>Precio Estadar</v>
      </c>
      <c r="Q844" t="s">
        <v>1113</v>
      </c>
      <c r="R844" t="s">
        <v>1102</v>
      </c>
      <c r="S844" s="11">
        <v>45637</v>
      </c>
      <c r="T844" t="s">
        <v>2958</v>
      </c>
      <c r="U844" t="s">
        <v>2306</v>
      </c>
    </row>
    <row r="845" spans="2:21" x14ac:dyDescent="0.3">
      <c r="B845" t="s">
        <v>3102</v>
      </c>
      <c r="C845" t="s">
        <v>2580</v>
      </c>
      <c r="D845" t="s">
        <v>2580</v>
      </c>
      <c r="E845" t="s">
        <v>2580</v>
      </c>
      <c r="F845" t="s">
        <v>2580</v>
      </c>
      <c r="G845" s="8">
        <v>1490</v>
      </c>
      <c r="H845" s="8">
        <f>+IF(BDAlquilerDepartamentos[[#This Row],[Ciudad]]="Lima",BDAlquilerDepartamentos[[#This Row],[Prec. Soles]]*0.1,BDAlquilerDepartamentos[[#This Row],[Prec. Soles]]*0.05)</f>
        <v>149</v>
      </c>
      <c r="I845" s="4">
        <v>1</v>
      </c>
      <c r="J845" s="4">
        <v>1</v>
      </c>
      <c r="K845" s="4" t="s">
        <v>3096</v>
      </c>
      <c r="L845" s="4" t="s">
        <v>3096</v>
      </c>
      <c r="M845" s="4">
        <v>44</v>
      </c>
      <c r="N845" s="4">
        <v>2003</v>
      </c>
      <c r="O845" s="4" t="str">
        <f>+IF(BDAlquilerDepartamentos[[#This Row],[Prec. Soles]]&gt;2500,"Caro","Economico")</f>
        <v>Economico</v>
      </c>
      <c r="P845" s="4" t="str">
        <f>+IF(AND(BDAlquilerDepartamentos[[#This Row],[N° de Dorm.]]&gt; 3,BDAlquilerDepartamentos[[#This Row],[Prec. Soles]]&lt;= 2500),"Buena Oferta", "Precio Estadar")</f>
        <v>Precio Estadar</v>
      </c>
      <c r="Q845" t="s">
        <v>1101</v>
      </c>
      <c r="R845" t="s">
        <v>1102</v>
      </c>
      <c r="S845" s="11">
        <v>45517</v>
      </c>
      <c r="T845" t="s">
        <v>3064</v>
      </c>
      <c r="U845" t="s">
        <v>2307</v>
      </c>
    </row>
    <row r="846" spans="2:21" x14ac:dyDescent="0.3">
      <c r="B846" t="s">
        <v>1122</v>
      </c>
      <c r="C846" t="s">
        <v>2429</v>
      </c>
      <c r="D846" t="s">
        <v>3121</v>
      </c>
      <c r="E846" t="s">
        <v>2580</v>
      </c>
      <c r="F846" t="s">
        <v>2580</v>
      </c>
      <c r="G846" s="8">
        <v>5020.9000000000005</v>
      </c>
      <c r="H846" s="8">
        <f>+IF(BDAlquilerDepartamentos[[#This Row],[Ciudad]]="Lima",BDAlquilerDepartamentos[[#This Row],[Prec. Soles]]*0.1,BDAlquilerDepartamentos[[#This Row],[Prec. Soles]]*0.05)</f>
        <v>502.09000000000009</v>
      </c>
      <c r="I846" s="4">
        <v>3</v>
      </c>
      <c r="J846" s="4">
        <v>4</v>
      </c>
      <c r="K846" s="4" t="s">
        <v>3096</v>
      </c>
      <c r="L846" s="4" t="s">
        <v>3096</v>
      </c>
      <c r="M846" s="4">
        <v>105</v>
      </c>
      <c r="N846" s="4">
        <v>2014</v>
      </c>
      <c r="O846" s="4" t="str">
        <f>+IF(BDAlquilerDepartamentos[[#This Row],[Prec. Soles]]&gt;2500,"Caro","Economico")</f>
        <v>Caro</v>
      </c>
      <c r="P846" s="4" t="str">
        <f>+IF(AND(BDAlquilerDepartamentos[[#This Row],[N° de Dorm.]]&gt; 3,BDAlquilerDepartamentos[[#This Row],[Prec. Soles]]&lt;= 2500),"Buena Oferta", "Precio Estadar")</f>
        <v>Precio Estadar</v>
      </c>
      <c r="Q846" t="s">
        <v>1101</v>
      </c>
      <c r="R846" t="s">
        <v>1102</v>
      </c>
      <c r="S846" s="11">
        <v>45157</v>
      </c>
      <c r="T846" t="s">
        <v>3123</v>
      </c>
      <c r="U846" t="s">
        <v>2308</v>
      </c>
    </row>
    <row r="847" spans="2:21" x14ac:dyDescent="0.3">
      <c r="B847" t="s">
        <v>3113</v>
      </c>
      <c r="C847" t="s">
        <v>3114</v>
      </c>
      <c r="D847" t="s">
        <v>2436</v>
      </c>
      <c r="E847" t="s">
        <v>2580</v>
      </c>
      <c r="F847" t="s">
        <v>2580</v>
      </c>
      <c r="G847" s="8">
        <v>3769</v>
      </c>
      <c r="H847" s="8">
        <f>+IF(BDAlquilerDepartamentos[[#This Row],[Ciudad]]="Lima",BDAlquilerDepartamentos[[#This Row],[Prec. Soles]]*0.1,BDAlquilerDepartamentos[[#This Row],[Prec. Soles]]*0.05)</f>
        <v>376.90000000000003</v>
      </c>
      <c r="I847" s="4">
        <v>2</v>
      </c>
      <c r="J847" s="4">
        <v>2</v>
      </c>
      <c r="K847" s="4" t="s">
        <v>3095</v>
      </c>
      <c r="L847" s="4" t="s">
        <v>3095</v>
      </c>
      <c r="M847" s="4">
        <v>65</v>
      </c>
      <c r="N847" s="4">
        <v>2015</v>
      </c>
      <c r="O847" s="4" t="str">
        <f>+IF(BDAlquilerDepartamentos[[#This Row],[Prec. Soles]]&gt;2500,"Caro","Economico")</f>
        <v>Caro</v>
      </c>
      <c r="P847" s="4" t="str">
        <f>+IF(AND(BDAlquilerDepartamentos[[#This Row],[N° de Dorm.]]&gt; 3,BDAlquilerDepartamentos[[#This Row],[Prec. Soles]]&lt;= 2500),"Buena Oferta", "Precio Estadar")</f>
        <v>Precio Estadar</v>
      </c>
      <c r="Q847" t="s">
        <v>1101</v>
      </c>
      <c r="R847" t="s">
        <v>1102</v>
      </c>
      <c r="S847" s="11">
        <v>45106</v>
      </c>
      <c r="T847" t="s">
        <v>3123</v>
      </c>
      <c r="U847" t="s">
        <v>2309</v>
      </c>
    </row>
    <row r="848" spans="2:21" x14ac:dyDescent="0.3">
      <c r="B848" t="s">
        <v>1298</v>
      </c>
      <c r="C848" t="s">
        <v>2511</v>
      </c>
      <c r="D848" t="s">
        <v>2444</v>
      </c>
      <c r="E848" t="s">
        <v>2580</v>
      </c>
      <c r="F848" t="s">
        <v>2580</v>
      </c>
      <c r="G848" s="8">
        <v>3400</v>
      </c>
      <c r="H848" s="8">
        <f>+IF(BDAlquilerDepartamentos[[#This Row],[Ciudad]]="Lima",BDAlquilerDepartamentos[[#This Row],[Prec. Soles]]*0.1,BDAlquilerDepartamentos[[#This Row],[Prec. Soles]]*0.05)</f>
        <v>340</v>
      </c>
      <c r="I848" s="4">
        <v>3</v>
      </c>
      <c r="J848" s="4">
        <v>3</v>
      </c>
      <c r="K848" s="4" t="s">
        <v>3095</v>
      </c>
      <c r="L848" s="4" t="s">
        <v>3095</v>
      </c>
      <c r="M848" s="4">
        <v>91</v>
      </c>
      <c r="N848" s="4">
        <v>2010</v>
      </c>
      <c r="O848" s="4" t="str">
        <f>+IF(BDAlquilerDepartamentos[[#This Row],[Prec. Soles]]&gt;2500,"Caro","Economico")</f>
        <v>Caro</v>
      </c>
      <c r="P848" s="4" t="str">
        <f>+IF(AND(BDAlquilerDepartamentos[[#This Row],[N° de Dorm.]]&gt; 3,BDAlquilerDepartamentos[[#This Row],[Prec. Soles]]&lt;= 2500),"Buena Oferta", "Precio Estadar")</f>
        <v>Precio Estadar</v>
      </c>
      <c r="Q848" t="s">
        <v>1101</v>
      </c>
      <c r="R848" t="s">
        <v>1102</v>
      </c>
      <c r="S848" s="11">
        <v>45235</v>
      </c>
      <c r="T848" t="s">
        <v>3026</v>
      </c>
      <c r="U848" t="s">
        <v>2310</v>
      </c>
    </row>
    <row r="849" spans="2:21" x14ac:dyDescent="0.3">
      <c r="B849" t="s">
        <v>2311</v>
      </c>
      <c r="C849" t="s">
        <v>2773</v>
      </c>
      <c r="D849" t="s">
        <v>2580</v>
      </c>
      <c r="E849" t="s">
        <v>2580</v>
      </c>
      <c r="F849" t="s">
        <v>2580</v>
      </c>
      <c r="G849" s="8">
        <v>4440</v>
      </c>
      <c r="H849" s="8">
        <f>+IF(BDAlquilerDepartamentos[[#This Row],[Ciudad]]="Lima",BDAlquilerDepartamentos[[#This Row],[Prec. Soles]]*0.1,BDAlquilerDepartamentos[[#This Row],[Prec. Soles]]*0.05)</f>
        <v>444</v>
      </c>
      <c r="I849" s="4">
        <v>3</v>
      </c>
      <c r="J849" s="4">
        <v>1</v>
      </c>
      <c r="K849" s="4" t="s">
        <v>3096</v>
      </c>
      <c r="L849" s="4" t="s">
        <v>3096</v>
      </c>
      <c r="M849" s="4">
        <v>64</v>
      </c>
      <c r="N849" s="4">
        <v>2006</v>
      </c>
      <c r="O849" s="4" t="str">
        <f>+IF(BDAlquilerDepartamentos[[#This Row],[Prec. Soles]]&gt;2500,"Caro","Economico")</f>
        <v>Caro</v>
      </c>
      <c r="P849" s="4" t="str">
        <f>+IF(AND(BDAlquilerDepartamentos[[#This Row],[N° de Dorm.]]&gt; 3,BDAlquilerDepartamentos[[#This Row],[Prec. Soles]]&lt;= 2500),"Buena Oferta", "Precio Estadar")</f>
        <v>Precio Estadar</v>
      </c>
      <c r="Q849" t="s">
        <v>1101</v>
      </c>
      <c r="R849" t="s">
        <v>1102</v>
      </c>
      <c r="S849" s="11">
        <v>45604</v>
      </c>
      <c r="T849" t="s">
        <v>3065</v>
      </c>
      <c r="U849" t="s">
        <v>2312</v>
      </c>
    </row>
    <row r="850" spans="2:21" x14ac:dyDescent="0.3">
      <c r="B850" t="s">
        <v>1165</v>
      </c>
      <c r="C850" t="s">
        <v>2453</v>
      </c>
      <c r="D850" t="s">
        <v>2580</v>
      </c>
      <c r="E850" t="s">
        <v>2580</v>
      </c>
      <c r="F850" t="s">
        <v>2580</v>
      </c>
      <c r="G850" s="8">
        <v>7400</v>
      </c>
      <c r="H850" s="8">
        <f>+IF(BDAlquilerDepartamentos[[#This Row],[Ciudad]]="Lima",BDAlquilerDepartamentos[[#This Row],[Prec. Soles]]*0.1,BDAlquilerDepartamentos[[#This Row],[Prec. Soles]]*0.05)</f>
        <v>740</v>
      </c>
      <c r="I850" s="4">
        <v>3</v>
      </c>
      <c r="J850" s="4">
        <v>3</v>
      </c>
      <c r="K850" s="4" t="s">
        <v>3096</v>
      </c>
      <c r="L850" s="4" t="s">
        <v>3095</v>
      </c>
      <c r="M850" s="4">
        <v>200</v>
      </c>
      <c r="N850" s="4">
        <v>2007</v>
      </c>
      <c r="O850" s="4" t="str">
        <f>+IF(BDAlquilerDepartamentos[[#This Row],[Prec. Soles]]&gt;2500,"Caro","Economico")</f>
        <v>Caro</v>
      </c>
      <c r="P850" s="4" t="str">
        <f>+IF(AND(BDAlquilerDepartamentos[[#This Row],[N° de Dorm.]]&gt; 3,BDAlquilerDepartamentos[[#This Row],[Prec. Soles]]&lt;= 2500),"Buena Oferta", "Precio Estadar")</f>
        <v>Precio Estadar</v>
      </c>
      <c r="Q850" t="s">
        <v>1101</v>
      </c>
      <c r="R850" t="s">
        <v>1102</v>
      </c>
      <c r="S850" s="11">
        <v>45211</v>
      </c>
      <c r="T850" t="s">
        <v>3066</v>
      </c>
      <c r="U850" t="s">
        <v>2313</v>
      </c>
    </row>
    <row r="851" spans="2:21" x14ac:dyDescent="0.3">
      <c r="B851" t="s">
        <v>3116</v>
      </c>
      <c r="C851" t="s">
        <v>2436</v>
      </c>
      <c r="D851" t="s">
        <v>2580</v>
      </c>
      <c r="E851" t="s">
        <v>2580</v>
      </c>
      <c r="F851" t="s">
        <v>2580</v>
      </c>
      <c r="G851" s="8">
        <v>3700</v>
      </c>
      <c r="H851" s="8">
        <f>+IF(BDAlquilerDepartamentos[[#This Row],[Ciudad]]="Lima",BDAlquilerDepartamentos[[#This Row],[Prec. Soles]]*0.1,BDAlquilerDepartamentos[[#This Row],[Prec. Soles]]*0.05)</f>
        <v>370</v>
      </c>
      <c r="I851" s="4">
        <v>2</v>
      </c>
      <c r="J851" s="4">
        <v>2</v>
      </c>
      <c r="K851" s="4" t="s">
        <v>3095</v>
      </c>
      <c r="L851" s="4" t="s">
        <v>3096</v>
      </c>
      <c r="M851" s="4">
        <v>100</v>
      </c>
      <c r="N851" s="4">
        <v>2012</v>
      </c>
      <c r="O851" s="4" t="str">
        <f>+IF(BDAlquilerDepartamentos[[#This Row],[Prec. Soles]]&gt;2500,"Caro","Economico")</f>
        <v>Caro</v>
      </c>
      <c r="P851" s="4" t="str">
        <f>+IF(AND(BDAlquilerDepartamentos[[#This Row],[N° de Dorm.]]&gt; 3,BDAlquilerDepartamentos[[#This Row],[Prec. Soles]]&lt;= 2500),"Buena Oferta", "Precio Estadar")</f>
        <v>Precio Estadar</v>
      </c>
      <c r="Q851" t="s">
        <v>1101</v>
      </c>
      <c r="R851" t="s">
        <v>1102</v>
      </c>
      <c r="S851" s="11">
        <v>45424</v>
      </c>
      <c r="T851" t="s">
        <v>3067</v>
      </c>
      <c r="U851" t="s">
        <v>2314</v>
      </c>
    </row>
    <row r="852" spans="2:21" x14ac:dyDescent="0.3">
      <c r="B852" t="s">
        <v>3113</v>
      </c>
      <c r="C852" t="s">
        <v>3114</v>
      </c>
      <c r="D852" t="s">
        <v>2436</v>
      </c>
      <c r="E852" t="s">
        <v>2580</v>
      </c>
      <c r="F852" t="s">
        <v>2580</v>
      </c>
      <c r="G852" s="8">
        <v>4810</v>
      </c>
      <c r="H852" s="8">
        <f>+IF(BDAlquilerDepartamentos[[#This Row],[Ciudad]]="Lima",BDAlquilerDepartamentos[[#This Row],[Prec. Soles]]*0.1,BDAlquilerDepartamentos[[#This Row],[Prec. Soles]]*0.05)</f>
        <v>481</v>
      </c>
      <c r="I852" s="4">
        <v>3</v>
      </c>
      <c r="J852" s="4">
        <v>3</v>
      </c>
      <c r="K852" s="4" t="s">
        <v>3095</v>
      </c>
      <c r="L852" s="4" t="s">
        <v>3096</v>
      </c>
      <c r="M852" s="4">
        <v>160</v>
      </c>
      <c r="N852" s="4">
        <v>2016</v>
      </c>
      <c r="O852" s="4" t="str">
        <f>+IF(BDAlquilerDepartamentos[[#This Row],[Prec. Soles]]&gt;2500,"Caro","Economico")</f>
        <v>Caro</v>
      </c>
      <c r="P852" s="4" t="str">
        <f>+IF(AND(BDAlquilerDepartamentos[[#This Row],[N° de Dorm.]]&gt; 3,BDAlquilerDepartamentos[[#This Row],[Prec. Soles]]&lt;= 2500),"Buena Oferta", "Precio Estadar")</f>
        <v>Precio Estadar</v>
      </c>
      <c r="Q852" t="s">
        <v>1101</v>
      </c>
      <c r="R852" t="s">
        <v>1102</v>
      </c>
      <c r="S852" s="11">
        <v>45078</v>
      </c>
      <c r="T852" t="s">
        <v>2862</v>
      </c>
      <c r="U852" t="s">
        <v>2315</v>
      </c>
    </row>
    <row r="853" spans="2:21" x14ac:dyDescent="0.3">
      <c r="B853" t="s">
        <v>1717</v>
      </c>
      <c r="C853" t="s">
        <v>2635</v>
      </c>
      <c r="D853" t="s">
        <v>2580</v>
      </c>
      <c r="E853" t="s">
        <v>2580</v>
      </c>
      <c r="F853" t="s">
        <v>2580</v>
      </c>
      <c r="G853" s="8">
        <v>2220</v>
      </c>
      <c r="H853" s="8">
        <f>+IF(BDAlquilerDepartamentos[[#This Row],[Ciudad]]="Lima",BDAlquilerDepartamentos[[#This Row],[Prec. Soles]]*0.1,BDAlquilerDepartamentos[[#This Row],[Prec. Soles]]*0.05)</f>
        <v>222</v>
      </c>
      <c r="I853" s="4">
        <v>1</v>
      </c>
      <c r="J853" s="4">
        <v>1</v>
      </c>
      <c r="K853" s="4" t="s">
        <v>3095</v>
      </c>
      <c r="L853" s="4" t="s">
        <v>3095</v>
      </c>
      <c r="M853" s="4">
        <v>42</v>
      </c>
      <c r="N853" s="4">
        <v>2005</v>
      </c>
      <c r="O853" s="4" t="str">
        <f>+IF(BDAlquilerDepartamentos[[#This Row],[Prec. Soles]]&gt;2500,"Caro","Economico")</f>
        <v>Economico</v>
      </c>
      <c r="P853" s="4" t="str">
        <f>+IF(AND(BDAlquilerDepartamentos[[#This Row],[N° de Dorm.]]&gt; 3,BDAlquilerDepartamentos[[#This Row],[Prec. Soles]]&lt;= 2500),"Buena Oferta", "Precio Estadar")</f>
        <v>Precio Estadar</v>
      </c>
      <c r="Q853" t="s">
        <v>1101</v>
      </c>
      <c r="R853" t="s">
        <v>1102</v>
      </c>
      <c r="S853" s="11">
        <v>45271</v>
      </c>
      <c r="T853" t="s">
        <v>2850</v>
      </c>
      <c r="U853" t="s">
        <v>2316</v>
      </c>
    </row>
    <row r="854" spans="2:21" x14ac:dyDescent="0.3">
      <c r="B854" t="s">
        <v>3107</v>
      </c>
      <c r="C854" t="s">
        <v>2580</v>
      </c>
      <c r="D854" t="s">
        <v>2580</v>
      </c>
      <c r="E854" t="s">
        <v>2580</v>
      </c>
      <c r="F854" t="s">
        <v>2580</v>
      </c>
      <c r="G854" s="8">
        <v>4810</v>
      </c>
      <c r="H854" s="8">
        <f>+IF(BDAlquilerDepartamentos[[#This Row],[Ciudad]]="Lima",BDAlquilerDepartamentos[[#This Row],[Prec. Soles]]*0.1,BDAlquilerDepartamentos[[#This Row],[Prec. Soles]]*0.05)</f>
        <v>481</v>
      </c>
      <c r="I854" s="4">
        <v>3</v>
      </c>
      <c r="J854" s="4">
        <v>4</v>
      </c>
      <c r="K854" s="4" t="s">
        <v>3096</v>
      </c>
      <c r="L854" s="4" t="s">
        <v>3095</v>
      </c>
      <c r="M854" s="4">
        <v>114</v>
      </c>
      <c r="N854" s="4">
        <v>2015</v>
      </c>
      <c r="O854" s="4" t="str">
        <f>+IF(BDAlquilerDepartamentos[[#This Row],[Prec. Soles]]&gt;2500,"Caro","Economico")</f>
        <v>Caro</v>
      </c>
      <c r="P854" s="4" t="str">
        <f>+IF(AND(BDAlquilerDepartamentos[[#This Row],[N° de Dorm.]]&gt; 3,BDAlquilerDepartamentos[[#This Row],[Prec. Soles]]&lt;= 2500),"Buena Oferta", "Precio Estadar")</f>
        <v>Precio Estadar</v>
      </c>
      <c r="Q854" t="s">
        <v>1113</v>
      </c>
      <c r="R854" t="s">
        <v>1102</v>
      </c>
      <c r="S854" s="11">
        <v>44948</v>
      </c>
      <c r="T854" t="s">
        <v>2849</v>
      </c>
      <c r="U854" t="s">
        <v>2317</v>
      </c>
    </row>
    <row r="855" spans="2:21" x14ac:dyDescent="0.3">
      <c r="B855" t="s">
        <v>2002</v>
      </c>
      <c r="C855" t="s">
        <v>2705</v>
      </c>
      <c r="D855" t="s">
        <v>2580</v>
      </c>
      <c r="E855" t="s">
        <v>2580</v>
      </c>
      <c r="F855" t="s">
        <v>2580</v>
      </c>
      <c r="G855" s="8">
        <v>7400</v>
      </c>
      <c r="H855" s="8">
        <f>+IF(BDAlquilerDepartamentos[[#This Row],[Ciudad]]="Lima",BDAlquilerDepartamentos[[#This Row],[Prec. Soles]]*0.1,BDAlquilerDepartamentos[[#This Row],[Prec. Soles]]*0.05)</f>
        <v>740</v>
      </c>
      <c r="I855" s="4">
        <v>3</v>
      </c>
      <c r="J855" s="4">
        <v>2</v>
      </c>
      <c r="K855" s="4" t="s">
        <v>3096</v>
      </c>
      <c r="L855" s="4" t="s">
        <v>3095</v>
      </c>
      <c r="M855" s="4">
        <v>200</v>
      </c>
      <c r="N855" s="4">
        <v>2012</v>
      </c>
      <c r="O855" s="4" t="str">
        <f>+IF(BDAlquilerDepartamentos[[#This Row],[Prec. Soles]]&gt;2500,"Caro","Economico")</f>
        <v>Caro</v>
      </c>
      <c r="P855" s="4" t="str">
        <f>+IF(AND(BDAlquilerDepartamentos[[#This Row],[N° de Dorm.]]&gt; 3,BDAlquilerDepartamentos[[#This Row],[Prec. Soles]]&lt;= 2500),"Buena Oferta", "Precio Estadar")</f>
        <v>Precio Estadar</v>
      </c>
      <c r="Q855" t="s">
        <v>1101</v>
      </c>
      <c r="R855" t="s">
        <v>1102</v>
      </c>
      <c r="S855" s="11">
        <v>45008</v>
      </c>
      <c r="T855" t="s">
        <v>2846</v>
      </c>
      <c r="U855" t="s">
        <v>2318</v>
      </c>
    </row>
    <row r="856" spans="2:21" x14ac:dyDescent="0.3">
      <c r="B856" t="s">
        <v>1108</v>
      </c>
      <c r="C856" t="s">
        <v>2419</v>
      </c>
      <c r="D856" t="s">
        <v>2428</v>
      </c>
      <c r="E856" t="s">
        <v>2580</v>
      </c>
      <c r="F856" t="s">
        <v>2580</v>
      </c>
      <c r="G856" s="8">
        <v>2995</v>
      </c>
      <c r="H856" s="8">
        <f>+IF(BDAlquilerDepartamentos[[#This Row],[Ciudad]]="Lima",BDAlquilerDepartamentos[[#This Row],[Prec. Soles]]*0.1,BDAlquilerDepartamentos[[#This Row],[Prec. Soles]]*0.05)</f>
        <v>299.5</v>
      </c>
      <c r="I856" s="4">
        <v>1</v>
      </c>
      <c r="J856" s="4">
        <v>2</v>
      </c>
      <c r="K856" s="4" t="s">
        <v>3095</v>
      </c>
      <c r="L856" s="4" t="s">
        <v>3095</v>
      </c>
      <c r="M856" s="4">
        <v>65</v>
      </c>
      <c r="N856" s="4">
        <v>2015</v>
      </c>
      <c r="O856" s="4" t="str">
        <f>+IF(BDAlquilerDepartamentos[[#This Row],[Prec. Soles]]&gt;2500,"Caro","Economico")</f>
        <v>Caro</v>
      </c>
      <c r="P856" s="4" t="str">
        <f>+IF(AND(BDAlquilerDepartamentos[[#This Row],[N° de Dorm.]]&gt; 3,BDAlquilerDepartamentos[[#This Row],[Prec. Soles]]&lt;= 2500),"Buena Oferta", "Precio Estadar")</f>
        <v>Precio Estadar</v>
      </c>
      <c r="Q856" t="s">
        <v>1101</v>
      </c>
      <c r="R856" t="s">
        <v>1102</v>
      </c>
      <c r="S856" s="11">
        <v>45479</v>
      </c>
      <c r="T856" t="s">
        <v>2898</v>
      </c>
      <c r="U856" t="s">
        <v>2319</v>
      </c>
    </row>
    <row r="857" spans="2:21" x14ac:dyDescent="0.3">
      <c r="B857" t="s">
        <v>1242</v>
      </c>
      <c r="C857" t="s">
        <v>2489</v>
      </c>
      <c r="D857" t="s">
        <v>2428</v>
      </c>
      <c r="E857" t="s">
        <v>2580</v>
      </c>
      <c r="F857" t="s">
        <v>2580</v>
      </c>
      <c r="G857" s="8">
        <v>6660</v>
      </c>
      <c r="H857" s="8">
        <f>+IF(BDAlquilerDepartamentos[[#This Row],[Ciudad]]="Lima",BDAlquilerDepartamentos[[#This Row],[Prec. Soles]]*0.1,BDAlquilerDepartamentos[[#This Row],[Prec. Soles]]*0.05)</f>
        <v>666</v>
      </c>
      <c r="I857" s="4">
        <v>3</v>
      </c>
      <c r="J857" s="4">
        <v>3</v>
      </c>
      <c r="K857" s="4" t="s">
        <v>3096</v>
      </c>
      <c r="L857" s="4" t="s">
        <v>3095</v>
      </c>
      <c r="M857" s="4">
        <v>398</v>
      </c>
      <c r="N857" s="4">
        <v>2014</v>
      </c>
      <c r="O857" s="4" t="str">
        <f>+IF(BDAlquilerDepartamentos[[#This Row],[Prec. Soles]]&gt;2500,"Caro","Economico")</f>
        <v>Caro</v>
      </c>
      <c r="P857" s="4" t="str">
        <f>+IF(AND(BDAlquilerDepartamentos[[#This Row],[N° de Dorm.]]&gt; 3,BDAlquilerDepartamentos[[#This Row],[Prec. Soles]]&lt;= 2500),"Buena Oferta", "Precio Estadar")</f>
        <v>Precio Estadar</v>
      </c>
      <c r="Q857" t="s">
        <v>1101</v>
      </c>
      <c r="R857" t="s">
        <v>1102</v>
      </c>
      <c r="S857" s="11">
        <v>45244</v>
      </c>
      <c r="T857" t="s">
        <v>2945</v>
      </c>
      <c r="U857" t="s">
        <v>2320</v>
      </c>
    </row>
    <row r="858" spans="2:21" x14ac:dyDescent="0.3">
      <c r="B858" t="s">
        <v>2321</v>
      </c>
      <c r="C858" t="s">
        <v>2774</v>
      </c>
      <c r="D858" t="s">
        <v>2485</v>
      </c>
      <c r="E858" t="s">
        <v>2580</v>
      </c>
      <c r="F858" t="s">
        <v>2580</v>
      </c>
      <c r="G858" s="8">
        <v>2775</v>
      </c>
      <c r="H858" s="8">
        <f>+IF(BDAlquilerDepartamentos[[#This Row],[Ciudad]]="Lima",BDAlquilerDepartamentos[[#This Row],[Prec. Soles]]*0.1,BDAlquilerDepartamentos[[#This Row],[Prec. Soles]]*0.05)</f>
        <v>277.5</v>
      </c>
      <c r="I858" s="4">
        <v>3</v>
      </c>
      <c r="J858" s="4">
        <v>2</v>
      </c>
      <c r="K858" s="4" t="s">
        <v>3095</v>
      </c>
      <c r="L858" s="4" t="s">
        <v>3096</v>
      </c>
      <c r="M858" s="4">
        <v>95</v>
      </c>
      <c r="N858" s="4">
        <v>2018</v>
      </c>
      <c r="O858" s="4" t="str">
        <f>+IF(BDAlquilerDepartamentos[[#This Row],[Prec. Soles]]&gt;2500,"Caro","Economico")</f>
        <v>Caro</v>
      </c>
      <c r="P858" s="4" t="str">
        <f>+IF(AND(BDAlquilerDepartamentos[[#This Row],[N° de Dorm.]]&gt; 3,BDAlquilerDepartamentos[[#This Row],[Prec. Soles]]&lt;= 2500),"Buena Oferta", "Precio Estadar")</f>
        <v>Precio Estadar</v>
      </c>
      <c r="Q858" t="s">
        <v>1101</v>
      </c>
      <c r="R858" t="s">
        <v>1102</v>
      </c>
      <c r="S858" s="11">
        <v>45217</v>
      </c>
      <c r="T858" t="s">
        <v>2863</v>
      </c>
      <c r="U858" t="s">
        <v>2322</v>
      </c>
    </row>
    <row r="859" spans="2:21" x14ac:dyDescent="0.3">
      <c r="B859" t="s">
        <v>2323</v>
      </c>
      <c r="C859" t="s">
        <v>2775</v>
      </c>
      <c r="D859" t="s">
        <v>2422</v>
      </c>
      <c r="E859" t="s">
        <v>2580</v>
      </c>
      <c r="F859" t="s">
        <v>2580</v>
      </c>
      <c r="G859" s="8">
        <v>4775</v>
      </c>
      <c r="H859" s="8">
        <f>+IF(BDAlquilerDepartamentos[[#This Row],[Ciudad]]="Lima",BDAlquilerDepartamentos[[#This Row],[Prec. Soles]]*0.1,BDAlquilerDepartamentos[[#This Row],[Prec. Soles]]*0.05)</f>
        <v>477.5</v>
      </c>
      <c r="I859" s="4">
        <v>3</v>
      </c>
      <c r="J859" s="4">
        <v>2</v>
      </c>
      <c r="K859" s="4" t="s">
        <v>3096</v>
      </c>
      <c r="L859" s="4" t="s">
        <v>3095</v>
      </c>
      <c r="M859" s="4">
        <v>187</v>
      </c>
      <c r="N859" s="4">
        <v>2016</v>
      </c>
      <c r="O859" s="4" t="str">
        <f>+IF(BDAlquilerDepartamentos[[#This Row],[Prec. Soles]]&gt;2500,"Caro","Economico")</f>
        <v>Caro</v>
      </c>
      <c r="P859" s="4" t="str">
        <f>+IF(AND(BDAlquilerDepartamentos[[#This Row],[N° de Dorm.]]&gt; 3,BDAlquilerDepartamentos[[#This Row],[Prec. Soles]]&lt;= 2500),"Buena Oferta", "Precio Estadar")</f>
        <v>Precio Estadar</v>
      </c>
      <c r="Q859" t="s">
        <v>1101</v>
      </c>
      <c r="R859" t="s">
        <v>1102</v>
      </c>
      <c r="S859" s="11">
        <v>44933</v>
      </c>
      <c r="T859" t="s">
        <v>2950</v>
      </c>
      <c r="U859" t="s">
        <v>2324</v>
      </c>
    </row>
    <row r="860" spans="2:21" x14ac:dyDescent="0.3">
      <c r="B860" t="s">
        <v>1189</v>
      </c>
      <c r="C860" t="s">
        <v>2465</v>
      </c>
      <c r="D860" t="s">
        <v>2418</v>
      </c>
      <c r="E860" t="s">
        <v>2580</v>
      </c>
      <c r="F860" t="s">
        <v>2580</v>
      </c>
      <c r="G860" s="8">
        <v>2590</v>
      </c>
      <c r="H860" s="8">
        <f>+IF(BDAlquilerDepartamentos[[#This Row],[Ciudad]]="Lima",BDAlquilerDepartamentos[[#This Row],[Prec. Soles]]*0.1,BDAlquilerDepartamentos[[#This Row],[Prec. Soles]]*0.05)</f>
        <v>259</v>
      </c>
      <c r="I860" s="4">
        <v>2</v>
      </c>
      <c r="J860" s="4">
        <v>2</v>
      </c>
      <c r="K860" s="4" t="s">
        <v>3095</v>
      </c>
      <c r="L860" s="4" t="s">
        <v>3095</v>
      </c>
      <c r="M860" s="4">
        <v>53</v>
      </c>
      <c r="N860" s="4">
        <v>2005</v>
      </c>
      <c r="O860" s="4" t="str">
        <f>+IF(BDAlquilerDepartamentos[[#This Row],[Prec. Soles]]&gt;2500,"Caro","Economico")</f>
        <v>Caro</v>
      </c>
      <c r="P860" s="4" t="str">
        <f>+IF(AND(BDAlquilerDepartamentos[[#This Row],[N° de Dorm.]]&gt; 3,BDAlquilerDepartamentos[[#This Row],[Prec. Soles]]&lt;= 2500),"Buena Oferta", "Precio Estadar")</f>
        <v>Precio Estadar</v>
      </c>
      <c r="Q860" t="s">
        <v>1101</v>
      </c>
      <c r="R860" t="s">
        <v>1102</v>
      </c>
      <c r="S860" s="11">
        <v>45506</v>
      </c>
      <c r="T860" t="s">
        <v>3068</v>
      </c>
      <c r="U860" t="s">
        <v>2325</v>
      </c>
    </row>
    <row r="861" spans="2:21" x14ac:dyDescent="0.3">
      <c r="B861" t="s">
        <v>3102</v>
      </c>
      <c r="C861" t="s">
        <v>2580</v>
      </c>
      <c r="D861" t="s">
        <v>2580</v>
      </c>
      <c r="E861" t="s">
        <v>2580</v>
      </c>
      <c r="F861" t="s">
        <v>2580</v>
      </c>
      <c r="G861" s="8">
        <v>3330</v>
      </c>
      <c r="H861" s="8">
        <f>+IF(BDAlquilerDepartamentos[[#This Row],[Ciudad]]="Lima",BDAlquilerDepartamentos[[#This Row],[Prec. Soles]]*0.1,BDAlquilerDepartamentos[[#This Row],[Prec. Soles]]*0.05)</f>
        <v>333</v>
      </c>
      <c r="I861" s="4">
        <v>3</v>
      </c>
      <c r="J861" s="4">
        <v>2</v>
      </c>
      <c r="K861" s="4" t="s">
        <v>3095</v>
      </c>
      <c r="L861" s="4" t="s">
        <v>3095</v>
      </c>
      <c r="M861" s="4">
        <v>146</v>
      </c>
      <c r="N861" s="4">
        <v>2007</v>
      </c>
      <c r="O861" s="4" t="str">
        <f>+IF(BDAlquilerDepartamentos[[#This Row],[Prec. Soles]]&gt;2500,"Caro","Economico")</f>
        <v>Caro</v>
      </c>
      <c r="P861" s="4" t="str">
        <f>+IF(AND(BDAlquilerDepartamentos[[#This Row],[N° de Dorm.]]&gt; 3,BDAlquilerDepartamentos[[#This Row],[Prec. Soles]]&lt;= 2500),"Buena Oferta", "Precio Estadar")</f>
        <v>Precio Estadar</v>
      </c>
      <c r="Q861" t="s">
        <v>1101</v>
      </c>
      <c r="R861" t="s">
        <v>1102</v>
      </c>
      <c r="S861" s="11">
        <v>45000</v>
      </c>
      <c r="T861" t="s">
        <v>2831</v>
      </c>
      <c r="U861" t="s">
        <v>2326</v>
      </c>
    </row>
    <row r="862" spans="2:21" x14ac:dyDescent="0.3">
      <c r="B862" t="s">
        <v>2002</v>
      </c>
      <c r="C862" t="s">
        <v>2705</v>
      </c>
      <c r="D862" t="s">
        <v>2580</v>
      </c>
      <c r="E862" t="s">
        <v>2580</v>
      </c>
      <c r="F862" t="s">
        <v>2580</v>
      </c>
      <c r="G862" s="8">
        <v>4625</v>
      </c>
      <c r="H862" s="8">
        <f>+IF(BDAlquilerDepartamentos[[#This Row],[Ciudad]]="Lima",BDAlquilerDepartamentos[[#This Row],[Prec. Soles]]*0.1,BDAlquilerDepartamentos[[#This Row],[Prec. Soles]]*0.05)</f>
        <v>462.5</v>
      </c>
      <c r="I862" s="4">
        <v>2</v>
      </c>
      <c r="J862" s="4">
        <v>3</v>
      </c>
      <c r="K862" s="4" t="s">
        <v>3095</v>
      </c>
      <c r="L862" s="4" t="s">
        <v>3095</v>
      </c>
      <c r="M862" s="4">
        <v>180</v>
      </c>
      <c r="N862" s="4">
        <v>2013</v>
      </c>
      <c r="O862" s="4" t="str">
        <f>+IF(BDAlquilerDepartamentos[[#This Row],[Prec. Soles]]&gt;2500,"Caro","Economico")</f>
        <v>Caro</v>
      </c>
      <c r="P862" s="4" t="str">
        <f>+IF(AND(BDAlquilerDepartamentos[[#This Row],[N° de Dorm.]]&gt; 3,BDAlquilerDepartamentos[[#This Row],[Prec. Soles]]&lt;= 2500),"Buena Oferta", "Precio Estadar")</f>
        <v>Precio Estadar</v>
      </c>
      <c r="Q862" t="s">
        <v>1101</v>
      </c>
      <c r="R862" t="s">
        <v>1102</v>
      </c>
      <c r="S862" s="11">
        <v>44995</v>
      </c>
      <c r="T862" t="s">
        <v>3069</v>
      </c>
      <c r="U862" t="s">
        <v>2327</v>
      </c>
    </row>
    <row r="863" spans="2:21" x14ac:dyDescent="0.3">
      <c r="B863" t="s">
        <v>1941</v>
      </c>
      <c r="C863" t="s">
        <v>2456</v>
      </c>
      <c r="D863" t="s">
        <v>2457</v>
      </c>
      <c r="E863" t="s">
        <v>2580</v>
      </c>
      <c r="F863" t="s">
        <v>2580</v>
      </c>
      <c r="G863" s="8">
        <v>5550</v>
      </c>
      <c r="H863" s="8">
        <f>+IF(BDAlquilerDepartamentos[[#This Row],[Ciudad]]="Lima",BDAlquilerDepartamentos[[#This Row],[Prec. Soles]]*0.1,BDAlquilerDepartamentos[[#This Row],[Prec. Soles]]*0.05)</f>
        <v>555</v>
      </c>
      <c r="I863" s="4">
        <v>4</v>
      </c>
      <c r="J863" s="4">
        <v>4</v>
      </c>
      <c r="K863" s="4" t="s">
        <v>3095</v>
      </c>
      <c r="L863" s="4" t="s">
        <v>3095</v>
      </c>
      <c r="M863" s="4">
        <v>310</v>
      </c>
      <c r="N863" s="4">
        <v>2016</v>
      </c>
      <c r="O863" s="4" t="str">
        <f>+IF(BDAlquilerDepartamentos[[#This Row],[Prec. Soles]]&gt;2500,"Caro","Economico")</f>
        <v>Caro</v>
      </c>
      <c r="P863" s="4" t="str">
        <f>+IF(AND(BDAlquilerDepartamentos[[#This Row],[N° de Dorm.]]&gt; 3,BDAlquilerDepartamentos[[#This Row],[Prec. Soles]]&lt;= 2500),"Buena Oferta", "Precio Estadar")</f>
        <v>Precio Estadar</v>
      </c>
      <c r="Q863" t="s">
        <v>1113</v>
      </c>
      <c r="R863" t="s">
        <v>1102</v>
      </c>
      <c r="S863" s="11">
        <v>45588</v>
      </c>
      <c r="T863" t="s">
        <v>2979</v>
      </c>
      <c r="U863" t="s">
        <v>2328</v>
      </c>
    </row>
    <row r="864" spans="2:21" x14ac:dyDescent="0.3">
      <c r="B864" t="s">
        <v>1990</v>
      </c>
      <c r="C864" t="s">
        <v>2449</v>
      </c>
      <c r="D864" t="s">
        <v>2430</v>
      </c>
      <c r="E864" t="s">
        <v>2580</v>
      </c>
      <c r="F864" t="s">
        <v>2580</v>
      </c>
      <c r="G864" s="8">
        <v>14800</v>
      </c>
      <c r="H864" s="8">
        <f>+IF(BDAlquilerDepartamentos[[#This Row],[Ciudad]]="Lima",BDAlquilerDepartamentos[[#This Row],[Prec. Soles]]*0.1,BDAlquilerDepartamentos[[#This Row],[Prec. Soles]]*0.05)</f>
        <v>1480</v>
      </c>
      <c r="I864" s="4">
        <v>5</v>
      </c>
      <c r="J864" s="4">
        <v>7</v>
      </c>
      <c r="K864" s="4" t="s">
        <v>3095</v>
      </c>
      <c r="L864" s="4" t="s">
        <v>3095</v>
      </c>
      <c r="M864" s="4">
        <v>659</v>
      </c>
      <c r="N864" s="4">
        <v>2004</v>
      </c>
      <c r="O864" s="4" t="str">
        <f>+IF(BDAlquilerDepartamentos[[#This Row],[Prec. Soles]]&gt;2500,"Caro","Economico")</f>
        <v>Caro</v>
      </c>
      <c r="P864" s="4" t="str">
        <f>+IF(AND(BDAlquilerDepartamentos[[#This Row],[N° de Dorm.]]&gt; 3,BDAlquilerDepartamentos[[#This Row],[Prec. Soles]]&lt;= 2500),"Buena Oferta", "Precio Estadar")</f>
        <v>Precio Estadar</v>
      </c>
      <c r="Q864" t="s">
        <v>1113</v>
      </c>
      <c r="R864" t="s">
        <v>1102</v>
      </c>
      <c r="S864" s="11">
        <v>45448</v>
      </c>
      <c r="T864" t="s">
        <v>3040</v>
      </c>
      <c r="U864" t="s">
        <v>2329</v>
      </c>
    </row>
    <row r="865" spans="2:21" x14ac:dyDescent="0.3">
      <c r="B865" t="s">
        <v>2330</v>
      </c>
      <c r="C865" t="s">
        <v>2776</v>
      </c>
      <c r="D865" t="s">
        <v>2422</v>
      </c>
      <c r="E865" t="s">
        <v>2580</v>
      </c>
      <c r="F865" t="s">
        <v>2580</v>
      </c>
      <c r="G865" s="8">
        <v>2000</v>
      </c>
      <c r="H865" s="8">
        <f>+IF(BDAlquilerDepartamentos[[#This Row],[Ciudad]]="Lima",BDAlquilerDepartamentos[[#This Row],[Prec. Soles]]*0.1,BDAlquilerDepartamentos[[#This Row],[Prec. Soles]]*0.05)</f>
        <v>200</v>
      </c>
      <c r="I865" s="4">
        <v>2</v>
      </c>
      <c r="J865" s="4">
        <v>1</v>
      </c>
      <c r="K865" s="4" t="s">
        <v>3095</v>
      </c>
      <c r="L865" s="4" t="s">
        <v>3096</v>
      </c>
      <c r="M865" s="4">
        <v>80</v>
      </c>
      <c r="N865" s="4">
        <v>2013</v>
      </c>
      <c r="O865" s="4" t="str">
        <f>+IF(BDAlquilerDepartamentos[[#This Row],[Prec. Soles]]&gt;2500,"Caro","Economico")</f>
        <v>Economico</v>
      </c>
      <c r="P865" s="4" t="str">
        <f>+IF(AND(BDAlquilerDepartamentos[[#This Row],[N° de Dorm.]]&gt; 3,BDAlquilerDepartamentos[[#This Row],[Prec. Soles]]&lt;= 2500),"Buena Oferta", "Precio Estadar")</f>
        <v>Precio Estadar</v>
      </c>
      <c r="Q865" t="s">
        <v>1113</v>
      </c>
      <c r="R865" t="s">
        <v>1102</v>
      </c>
      <c r="S865" s="11">
        <v>45103</v>
      </c>
      <c r="T865" t="s">
        <v>3070</v>
      </c>
      <c r="U865" t="s">
        <v>2331</v>
      </c>
    </row>
    <row r="866" spans="2:21" x14ac:dyDescent="0.3">
      <c r="B866" t="s">
        <v>2332</v>
      </c>
      <c r="C866" t="s">
        <v>2777</v>
      </c>
      <c r="D866" t="s">
        <v>2778</v>
      </c>
      <c r="E866" t="s">
        <v>2580</v>
      </c>
      <c r="F866" t="s">
        <v>2580</v>
      </c>
      <c r="G866" s="8">
        <v>3700</v>
      </c>
      <c r="H866" s="8">
        <f>+IF(BDAlquilerDepartamentos[[#This Row],[Ciudad]]="Lima",BDAlquilerDepartamentos[[#This Row],[Prec. Soles]]*0.1,BDAlquilerDepartamentos[[#This Row],[Prec. Soles]]*0.05)</f>
        <v>370</v>
      </c>
      <c r="I866" s="4">
        <v>3</v>
      </c>
      <c r="J866" s="4">
        <v>2</v>
      </c>
      <c r="K866" s="4" t="s">
        <v>3096</v>
      </c>
      <c r="L866" s="4" t="s">
        <v>3095</v>
      </c>
      <c r="M866" s="4">
        <v>140</v>
      </c>
      <c r="N866" s="4">
        <v>2016</v>
      </c>
      <c r="O866" s="4" t="str">
        <f>+IF(BDAlquilerDepartamentos[[#This Row],[Prec. Soles]]&gt;2500,"Caro","Economico")</f>
        <v>Caro</v>
      </c>
      <c r="P866" s="4" t="str">
        <f>+IF(AND(BDAlquilerDepartamentos[[#This Row],[N° de Dorm.]]&gt; 3,BDAlquilerDepartamentos[[#This Row],[Prec. Soles]]&lt;= 2500),"Buena Oferta", "Precio Estadar")</f>
        <v>Precio Estadar</v>
      </c>
      <c r="Q866" t="s">
        <v>1101</v>
      </c>
      <c r="R866" t="s">
        <v>1102</v>
      </c>
      <c r="S866" s="11">
        <v>45241</v>
      </c>
      <c r="T866" t="s">
        <v>2831</v>
      </c>
      <c r="U866" t="s">
        <v>2333</v>
      </c>
    </row>
    <row r="867" spans="2:21" x14ac:dyDescent="0.3">
      <c r="B867" t="s">
        <v>2334</v>
      </c>
      <c r="C867" t="s">
        <v>2779</v>
      </c>
      <c r="D867" t="s">
        <v>2422</v>
      </c>
      <c r="E867" t="s">
        <v>2580</v>
      </c>
      <c r="F867" t="s">
        <v>2580</v>
      </c>
      <c r="G867" s="8">
        <v>5920</v>
      </c>
      <c r="H867" s="8">
        <f>+IF(BDAlquilerDepartamentos[[#This Row],[Ciudad]]="Lima",BDAlquilerDepartamentos[[#This Row],[Prec. Soles]]*0.1,BDAlquilerDepartamentos[[#This Row],[Prec. Soles]]*0.05)</f>
        <v>592</v>
      </c>
      <c r="I867" s="4">
        <v>3</v>
      </c>
      <c r="J867" s="4">
        <v>2</v>
      </c>
      <c r="K867" s="4" t="s">
        <v>3095</v>
      </c>
      <c r="L867" s="4" t="s">
        <v>3096</v>
      </c>
      <c r="M867" s="4">
        <v>150</v>
      </c>
      <c r="N867" s="4">
        <v>2007</v>
      </c>
      <c r="O867" s="4" t="str">
        <f>+IF(BDAlquilerDepartamentos[[#This Row],[Prec. Soles]]&gt;2500,"Caro","Economico")</f>
        <v>Caro</v>
      </c>
      <c r="P867" s="4" t="str">
        <f>+IF(AND(BDAlquilerDepartamentos[[#This Row],[N° de Dorm.]]&gt; 3,BDAlquilerDepartamentos[[#This Row],[Prec. Soles]]&lt;= 2500),"Buena Oferta", "Precio Estadar")</f>
        <v>Precio Estadar</v>
      </c>
      <c r="Q867" t="s">
        <v>1101</v>
      </c>
      <c r="R867" t="s">
        <v>1102</v>
      </c>
      <c r="S867" s="11">
        <v>45509</v>
      </c>
      <c r="T867" t="s">
        <v>3071</v>
      </c>
      <c r="U867" t="s">
        <v>2335</v>
      </c>
    </row>
    <row r="868" spans="2:21" x14ac:dyDescent="0.3">
      <c r="B868" t="s">
        <v>1122</v>
      </c>
      <c r="C868" t="s">
        <v>2429</v>
      </c>
      <c r="D868" t="s">
        <v>3121</v>
      </c>
      <c r="E868" t="s">
        <v>2580</v>
      </c>
      <c r="F868" t="s">
        <v>2580</v>
      </c>
      <c r="G868" s="8">
        <v>3330</v>
      </c>
      <c r="H868" s="8">
        <f>+IF(BDAlquilerDepartamentos[[#This Row],[Ciudad]]="Lima",BDAlquilerDepartamentos[[#This Row],[Prec. Soles]]*0.1,BDAlquilerDepartamentos[[#This Row],[Prec. Soles]]*0.05)</f>
        <v>333</v>
      </c>
      <c r="I868" s="4">
        <v>1</v>
      </c>
      <c r="J868" s="4">
        <v>2</v>
      </c>
      <c r="K868" s="4" t="s">
        <v>3095</v>
      </c>
      <c r="L868" s="4" t="s">
        <v>3096</v>
      </c>
      <c r="M868" s="4">
        <v>97</v>
      </c>
      <c r="N868" s="4">
        <v>2007</v>
      </c>
      <c r="O868" s="4" t="str">
        <f>+IF(BDAlquilerDepartamentos[[#This Row],[Prec. Soles]]&gt;2500,"Caro","Economico")</f>
        <v>Caro</v>
      </c>
      <c r="P868" s="4" t="str">
        <f>+IF(AND(BDAlquilerDepartamentos[[#This Row],[N° de Dorm.]]&gt; 3,BDAlquilerDepartamentos[[#This Row],[Prec. Soles]]&lt;= 2500),"Buena Oferta", "Precio Estadar")</f>
        <v>Precio Estadar</v>
      </c>
      <c r="Q868" t="s">
        <v>1101</v>
      </c>
      <c r="R868" t="s">
        <v>1102</v>
      </c>
      <c r="S868" s="11">
        <v>45440</v>
      </c>
      <c r="T868" t="s">
        <v>2827</v>
      </c>
      <c r="U868" t="s">
        <v>2336</v>
      </c>
    </row>
    <row r="869" spans="2:21" x14ac:dyDescent="0.3">
      <c r="B869" t="s">
        <v>1165</v>
      </c>
      <c r="C869" t="s">
        <v>2453</v>
      </c>
      <c r="D869" t="s">
        <v>2689</v>
      </c>
      <c r="E869" t="s">
        <v>2689</v>
      </c>
      <c r="F869" t="s">
        <v>2689</v>
      </c>
      <c r="G869" s="8">
        <v>1700</v>
      </c>
      <c r="H869" s="8">
        <f>+IF(BDAlquilerDepartamentos[[#This Row],[Ciudad]]="Lima",BDAlquilerDepartamentos[[#This Row],[Prec. Soles]]*0.1,BDAlquilerDepartamentos[[#This Row],[Prec. Soles]]*0.05)</f>
        <v>85</v>
      </c>
      <c r="I869" s="4">
        <v>3</v>
      </c>
      <c r="J869" s="4">
        <v>2</v>
      </c>
      <c r="K869" s="4" t="s">
        <v>3095</v>
      </c>
      <c r="L869" s="4" t="s">
        <v>3096</v>
      </c>
      <c r="M869" s="4">
        <v>82</v>
      </c>
      <c r="N869" s="4">
        <v>2011</v>
      </c>
      <c r="O869" s="4" t="str">
        <f>+IF(BDAlquilerDepartamentos[[#This Row],[Prec. Soles]]&gt;2500,"Caro","Economico")</f>
        <v>Economico</v>
      </c>
      <c r="P869" s="4" t="str">
        <f>+IF(AND(BDAlquilerDepartamentos[[#This Row],[N° de Dorm.]]&gt; 3,BDAlquilerDepartamentos[[#This Row],[Prec. Soles]]&lt;= 2500),"Buena Oferta", "Precio Estadar")</f>
        <v>Precio Estadar</v>
      </c>
      <c r="Q869" t="s">
        <v>1101</v>
      </c>
      <c r="R869" t="s">
        <v>1102</v>
      </c>
      <c r="S869" s="11">
        <v>45312</v>
      </c>
      <c r="T869" t="s">
        <v>3130</v>
      </c>
      <c r="U869" t="s">
        <v>2337</v>
      </c>
    </row>
    <row r="870" spans="2:21" x14ac:dyDescent="0.3">
      <c r="B870" t="s">
        <v>3116</v>
      </c>
      <c r="C870" t="s">
        <v>2436</v>
      </c>
      <c r="D870" t="s">
        <v>2689</v>
      </c>
      <c r="E870" t="s">
        <v>3129</v>
      </c>
      <c r="F870" t="s">
        <v>3129</v>
      </c>
      <c r="G870" s="8">
        <v>4625</v>
      </c>
      <c r="H870" s="8">
        <f>+IF(BDAlquilerDepartamentos[[#This Row],[Ciudad]]="Lima",BDAlquilerDepartamentos[[#This Row],[Prec. Soles]]*0.1,BDAlquilerDepartamentos[[#This Row],[Prec. Soles]]*0.05)</f>
        <v>231.25</v>
      </c>
      <c r="I870" s="4">
        <v>2</v>
      </c>
      <c r="J870" s="4">
        <v>3</v>
      </c>
      <c r="K870" s="4" t="s">
        <v>3095</v>
      </c>
      <c r="L870" s="4" t="s">
        <v>3095</v>
      </c>
      <c r="M870" s="4">
        <v>100</v>
      </c>
      <c r="N870" s="4">
        <v>2006</v>
      </c>
      <c r="O870" s="4" t="str">
        <f>+IF(BDAlquilerDepartamentos[[#This Row],[Prec. Soles]]&gt;2500,"Caro","Economico")</f>
        <v>Caro</v>
      </c>
      <c r="P870" s="4" t="str">
        <f>+IF(AND(BDAlquilerDepartamentos[[#This Row],[N° de Dorm.]]&gt; 3,BDAlquilerDepartamentos[[#This Row],[Prec. Soles]]&lt;= 2500),"Buena Oferta", "Precio Estadar")</f>
        <v>Precio Estadar</v>
      </c>
      <c r="Q870" t="s">
        <v>1101</v>
      </c>
      <c r="R870" t="s">
        <v>1102</v>
      </c>
      <c r="S870" s="11">
        <v>45093</v>
      </c>
      <c r="T870" t="s">
        <v>2843</v>
      </c>
      <c r="U870" t="s">
        <v>2338</v>
      </c>
    </row>
    <row r="871" spans="2:21" x14ac:dyDescent="0.3">
      <c r="B871" t="s">
        <v>2339</v>
      </c>
      <c r="C871" t="s">
        <v>2780</v>
      </c>
      <c r="D871" t="s">
        <v>2485</v>
      </c>
      <c r="E871" t="s">
        <v>2580</v>
      </c>
      <c r="F871" t="s">
        <v>2580</v>
      </c>
      <c r="G871" s="8">
        <v>1846.3000000000002</v>
      </c>
      <c r="H871" s="8">
        <f>+IF(BDAlquilerDepartamentos[[#This Row],[Ciudad]]="Lima",BDAlquilerDepartamentos[[#This Row],[Prec. Soles]]*0.1,BDAlquilerDepartamentos[[#This Row],[Prec. Soles]]*0.05)</f>
        <v>184.63000000000002</v>
      </c>
      <c r="I871" s="4">
        <v>2</v>
      </c>
      <c r="J871" s="4">
        <v>2</v>
      </c>
      <c r="K871" s="4" t="s">
        <v>3096</v>
      </c>
      <c r="L871" s="4" t="s">
        <v>3096</v>
      </c>
      <c r="M871" s="4">
        <v>70</v>
      </c>
      <c r="N871" s="4">
        <v>2008</v>
      </c>
      <c r="O871" s="4" t="str">
        <f>+IF(BDAlquilerDepartamentos[[#This Row],[Prec. Soles]]&gt;2500,"Caro","Economico")</f>
        <v>Economico</v>
      </c>
      <c r="P871" s="4" t="str">
        <f>+IF(AND(BDAlquilerDepartamentos[[#This Row],[N° de Dorm.]]&gt; 3,BDAlquilerDepartamentos[[#This Row],[Prec. Soles]]&lt;= 2500),"Buena Oferta", "Precio Estadar")</f>
        <v>Precio Estadar</v>
      </c>
      <c r="Q871" t="s">
        <v>1101</v>
      </c>
      <c r="R871" t="s">
        <v>1102</v>
      </c>
      <c r="S871" s="11">
        <v>45459</v>
      </c>
      <c r="T871" t="s">
        <v>2896</v>
      </c>
      <c r="U871" t="s">
        <v>2340</v>
      </c>
    </row>
    <row r="872" spans="2:21" x14ac:dyDescent="0.3">
      <c r="B872" t="s">
        <v>1208</v>
      </c>
      <c r="C872" t="s">
        <v>2475</v>
      </c>
      <c r="D872" t="s">
        <v>2422</v>
      </c>
      <c r="E872" t="s">
        <v>2580</v>
      </c>
      <c r="F872" t="s">
        <v>2580</v>
      </c>
      <c r="G872" s="8">
        <v>9250</v>
      </c>
      <c r="H872" s="8">
        <f>+IF(BDAlquilerDepartamentos[[#This Row],[Ciudad]]="Lima",BDAlquilerDepartamentos[[#This Row],[Prec. Soles]]*0.1,BDAlquilerDepartamentos[[#This Row],[Prec. Soles]]*0.05)</f>
        <v>925</v>
      </c>
      <c r="I872" s="4">
        <v>3</v>
      </c>
      <c r="J872" s="4">
        <v>3</v>
      </c>
      <c r="K872" s="4" t="s">
        <v>3096</v>
      </c>
      <c r="L872" s="4" t="s">
        <v>3095</v>
      </c>
      <c r="M872" s="4">
        <v>367</v>
      </c>
      <c r="N872" s="4">
        <v>2010</v>
      </c>
      <c r="O872" s="4" t="str">
        <f>+IF(BDAlquilerDepartamentos[[#This Row],[Prec. Soles]]&gt;2500,"Caro","Economico")</f>
        <v>Caro</v>
      </c>
      <c r="P872" s="4" t="str">
        <f>+IF(AND(BDAlquilerDepartamentos[[#This Row],[N° de Dorm.]]&gt; 3,BDAlquilerDepartamentos[[#This Row],[Prec. Soles]]&lt;= 2500),"Buena Oferta", "Precio Estadar")</f>
        <v>Precio Estadar</v>
      </c>
      <c r="Q872" t="s">
        <v>1101</v>
      </c>
      <c r="R872" t="s">
        <v>1102</v>
      </c>
      <c r="S872" s="11">
        <v>45315</v>
      </c>
      <c r="T872" t="s">
        <v>2982</v>
      </c>
      <c r="U872" t="s">
        <v>2341</v>
      </c>
    </row>
    <row r="873" spans="2:21" x14ac:dyDescent="0.3">
      <c r="B873" t="s">
        <v>1122</v>
      </c>
      <c r="C873" t="s">
        <v>2429</v>
      </c>
      <c r="D873" t="s">
        <v>3121</v>
      </c>
      <c r="E873" t="s">
        <v>2580</v>
      </c>
      <c r="F873" t="s">
        <v>2580</v>
      </c>
      <c r="G873" s="8">
        <v>2590</v>
      </c>
      <c r="H873" s="8">
        <f>+IF(BDAlquilerDepartamentos[[#This Row],[Ciudad]]="Lima",BDAlquilerDepartamentos[[#This Row],[Prec. Soles]]*0.1,BDAlquilerDepartamentos[[#This Row],[Prec. Soles]]*0.05)</f>
        <v>259</v>
      </c>
      <c r="I873" s="4">
        <v>1</v>
      </c>
      <c r="J873" s="4">
        <v>2</v>
      </c>
      <c r="K873" s="4" t="s">
        <v>3096</v>
      </c>
      <c r="L873" s="4" t="s">
        <v>3096</v>
      </c>
      <c r="M873" s="4">
        <v>60</v>
      </c>
      <c r="N873" s="4">
        <v>2004</v>
      </c>
      <c r="O873" s="4" t="str">
        <f>+IF(BDAlquilerDepartamentos[[#This Row],[Prec. Soles]]&gt;2500,"Caro","Economico")</f>
        <v>Caro</v>
      </c>
      <c r="P873" s="4" t="str">
        <f>+IF(AND(BDAlquilerDepartamentos[[#This Row],[N° de Dorm.]]&gt; 3,BDAlquilerDepartamentos[[#This Row],[Prec. Soles]]&lt;= 2500),"Buena Oferta", "Precio Estadar")</f>
        <v>Precio Estadar</v>
      </c>
      <c r="Q873" t="s">
        <v>1101</v>
      </c>
      <c r="R873" t="s">
        <v>1102</v>
      </c>
      <c r="S873" s="11">
        <v>45019</v>
      </c>
      <c r="T873" t="s">
        <v>2943</v>
      </c>
      <c r="U873" t="s">
        <v>2342</v>
      </c>
    </row>
    <row r="874" spans="2:21" x14ac:dyDescent="0.3">
      <c r="B874" t="s">
        <v>1260</v>
      </c>
      <c r="C874" t="s">
        <v>2493</v>
      </c>
      <c r="D874" t="s">
        <v>2428</v>
      </c>
      <c r="E874" t="s">
        <v>2580</v>
      </c>
      <c r="F874" t="s">
        <v>2580</v>
      </c>
      <c r="G874" s="8">
        <v>4255</v>
      </c>
      <c r="H874" s="8">
        <f>+IF(BDAlquilerDepartamentos[[#This Row],[Ciudad]]="Lima",BDAlquilerDepartamentos[[#This Row],[Prec. Soles]]*0.1,BDAlquilerDepartamentos[[#This Row],[Prec. Soles]]*0.05)</f>
        <v>425.5</v>
      </c>
      <c r="I874" s="4">
        <v>3</v>
      </c>
      <c r="J874" s="4">
        <v>3</v>
      </c>
      <c r="K874" s="4" t="s">
        <v>3096</v>
      </c>
      <c r="L874" s="4" t="s">
        <v>3096</v>
      </c>
      <c r="M874" s="4">
        <v>136</v>
      </c>
      <c r="N874" s="4">
        <v>2003</v>
      </c>
      <c r="O874" s="4" t="str">
        <f>+IF(BDAlquilerDepartamentos[[#This Row],[Prec. Soles]]&gt;2500,"Caro","Economico")</f>
        <v>Caro</v>
      </c>
      <c r="P874" s="4" t="str">
        <f>+IF(AND(BDAlquilerDepartamentos[[#This Row],[N° de Dorm.]]&gt; 3,BDAlquilerDepartamentos[[#This Row],[Prec. Soles]]&lt;= 2500),"Buena Oferta", "Precio Estadar")</f>
        <v>Precio Estadar</v>
      </c>
      <c r="Q874" t="s">
        <v>1101</v>
      </c>
      <c r="R874" t="s">
        <v>1102</v>
      </c>
      <c r="S874" s="11">
        <v>45227</v>
      </c>
      <c r="T874" t="s">
        <v>2896</v>
      </c>
      <c r="U874" t="s">
        <v>2343</v>
      </c>
    </row>
    <row r="875" spans="2:21" x14ac:dyDescent="0.3">
      <c r="B875" t="s">
        <v>2002</v>
      </c>
      <c r="C875" t="s">
        <v>2705</v>
      </c>
      <c r="D875" t="s">
        <v>2580</v>
      </c>
      <c r="E875" t="s">
        <v>2580</v>
      </c>
      <c r="F875" t="s">
        <v>2580</v>
      </c>
      <c r="G875" s="8">
        <v>2590</v>
      </c>
      <c r="H875" s="8">
        <f>+IF(BDAlquilerDepartamentos[[#This Row],[Ciudad]]="Lima",BDAlquilerDepartamentos[[#This Row],[Prec. Soles]]*0.1,BDAlquilerDepartamentos[[#This Row],[Prec. Soles]]*0.05)</f>
        <v>259</v>
      </c>
      <c r="I875" s="4">
        <v>1</v>
      </c>
      <c r="J875" s="4">
        <v>1</v>
      </c>
      <c r="K875" s="4" t="s">
        <v>3095</v>
      </c>
      <c r="L875" s="4" t="s">
        <v>3095</v>
      </c>
      <c r="M875" s="4">
        <v>48</v>
      </c>
      <c r="N875" s="4">
        <v>2003</v>
      </c>
      <c r="O875" s="4" t="str">
        <f>+IF(BDAlquilerDepartamentos[[#This Row],[Prec. Soles]]&gt;2500,"Caro","Economico")</f>
        <v>Caro</v>
      </c>
      <c r="P875" s="4" t="str">
        <f>+IF(AND(BDAlquilerDepartamentos[[#This Row],[N° de Dorm.]]&gt; 3,BDAlquilerDepartamentos[[#This Row],[Prec. Soles]]&lt;= 2500),"Buena Oferta", "Precio Estadar")</f>
        <v>Precio Estadar</v>
      </c>
      <c r="Q875" t="s">
        <v>1101</v>
      </c>
      <c r="R875" t="s">
        <v>1102</v>
      </c>
      <c r="S875" s="11">
        <v>44954</v>
      </c>
      <c r="T875" t="s">
        <v>2861</v>
      </c>
      <c r="U875" t="s">
        <v>2344</v>
      </c>
    </row>
    <row r="876" spans="2:21" x14ac:dyDescent="0.3">
      <c r="B876" t="s">
        <v>1260</v>
      </c>
      <c r="C876" t="s">
        <v>2493</v>
      </c>
      <c r="D876" t="s">
        <v>2428</v>
      </c>
      <c r="E876" t="s">
        <v>2580</v>
      </c>
      <c r="F876" t="s">
        <v>2580</v>
      </c>
      <c r="G876" s="8">
        <v>4255</v>
      </c>
      <c r="H876" s="8">
        <f>+IF(BDAlquilerDepartamentos[[#This Row],[Ciudad]]="Lima",BDAlquilerDepartamentos[[#This Row],[Prec. Soles]]*0.1,BDAlquilerDepartamentos[[#This Row],[Prec. Soles]]*0.05)</f>
        <v>425.5</v>
      </c>
      <c r="I876" s="4">
        <v>3</v>
      </c>
      <c r="J876" s="4">
        <v>3</v>
      </c>
      <c r="K876" s="4" t="s">
        <v>3096</v>
      </c>
      <c r="L876" s="4" t="s">
        <v>3095</v>
      </c>
      <c r="M876" s="4">
        <v>136</v>
      </c>
      <c r="N876" s="4">
        <v>2014</v>
      </c>
      <c r="O876" s="4" t="str">
        <f>+IF(BDAlquilerDepartamentos[[#This Row],[Prec. Soles]]&gt;2500,"Caro","Economico")</f>
        <v>Caro</v>
      </c>
      <c r="P876" s="4" t="str">
        <f>+IF(AND(BDAlquilerDepartamentos[[#This Row],[N° de Dorm.]]&gt; 3,BDAlquilerDepartamentos[[#This Row],[Prec. Soles]]&lt;= 2500),"Buena Oferta", "Precio Estadar")</f>
        <v>Precio Estadar</v>
      </c>
      <c r="Q876" t="s">
        <v>1101</v>
      </c>
      <c r="R876" t="s">
        <v>1102</v>
      </c>
      <c r="S876" s="11">
        <v>45479</v>
      </c>
      <c r="T876" t="s">
        <v>2896</v>
      </c>
      <c r="U876" t="s">
        <v>2345</v>
      </c>
    </row>
    <row r="877" spans="2:21" x14ac:dyDescent="0.3">
      <c r="B877" t="s">
        <v>1237</v>
      </c>
      <c r="C877" t="s">
        <v>2488</v>
      </c>
      <c r="D877" t="s">
        <v>2580</v>
      </c>
      <c r="E877" t="s">
        <v>2580</v>
      </c>
      <c r="F877" t="s">
        <v>2580</v>
      </c>
      <c r="G877" s="8">
        <v>2775</v>
      </c>
      <c r="H877" s="8">
        <f>+IF(BDAlquilerDepartamentos[[#This Row],[Ciudad]]="Lima",BDAlquilerDepartamentos[[#This Row],[Prec. Soles]]*0.1,BDAlquilerDepartamentos[[#This Row],[Prec. Soles]]*0.05)</f>
        <v>277.5</v>
      </c>
      <c r="I877" s="4">
        <v>3</v>
      </c>
      <c r="J877" s="4">
        <v>2</v>
      </c>
      <c r="K877" s="4" t="s">
        <v>3095</v>
      </c>
      <c r="L877" s="4" t="s">
        <v>3096</v>
      </c>
      <c r="M877" s="4">
        <v>90</v>
      </c>
      <c r="N877" s="4">
        <v>2003</v>
      </c>
      <c r="O877" s="4" t="str">
        <f>+IF(BDAlquilerDepartamentos[[#This Row],[Prec. Soles]]&gt;2500,"Caro","Economico")</f>
        <v>Caro</v>
      </c>
      <c r="P877" s="4" t="str">
        <f>+IF(AND(BDAlquilerDepartamentos[[#This Row],[N° de Dorm.]]&gt; 3,BDAlquilerDepartamentos[[#This Row],[Prec. Soles]]&lt;= 2500),"Buena Oferta", "Precio Estadar")</f>
        <v>Precio Estadar</v>
      </c>
      <c r="Q877" t="s">
        <v>1101</v>
      </c>
      <c r="R877" t="s">
        <v>1102</v>
      </c>
      <c r="S877" s="11">
        <v>45137</v>
      </c>
      <c r="T877" t="s">
        <v>2896</v>
      </c>
      <c r="U877" t="s">
        <v>2346</v>
      </c>
    </row>
    <row r="878" spans="2:21" x14ac:dyDescent="0.3">
      <c r="B878" t="s">
        <v>3102</v>
      </c>
      <c r="C878" t="s">
        <v>2580</v>
      </c>
      <c r="D878" t="s">
        <v>2580</v>
      </c>
      <c r="E878" t="s">
        <v>2580</v>
      </c>
      <c r="F878" t="s">
        <v>2580</v>
      </c>
      <c r="G878" s="8">
        <v>3145</v>
      </c>
      <c r="H878" s="8">
        <f>+IF(BDAlquilerDepartamentos[[#This Row],[Ciudad]]="Lima",BDAlquilerDepartamentos[[#This Row],[Prec. Soles]]*0.1,BDAlquilerDepartamentos[[#This Row],[Prec. Soles]]*0.05)</f>
        <v>314.5</v>
      </c>
      <c r="I878" s="4">
        <v>2</v>
      </c>
      <c r="J878" s="4">
        <v>3</v>
      </c>
      <c r="K878" s="4" t="s">
        <v>3095</v>
      </c>
      <c r="L878" s="4" t="s">
        <v>3096</v>
      </c>
      <c r="M878" s="4">
        <v>150</v>
      </c>
      <c r="N878" s="4">
        <v>2013</v>
      </c>
      <c r="O878" s="4" t="str">
        <f>+IF(BDAlquilerDepartamentos[[#This Row],[Prec. Soles]]&gt;2500,"Caro","Economico")</f>
        <v>Caro</v>
      </c>
      <c r="P878" s="4" t="str">
        <f>+IF(AND(BDAlquilerDepartamentos[[#This Row],[N° de Dorm.]]&gt; 3,BDAlquilerDepartamentos[[#This Row],[Prec. Soles]]&lt;= 2500),"Buena Oferta", "Precio Estadar")</f>
        <v>Precio Estadar</v>
      </c>
      <c r="Q878" t="s">
        <v>1101</v>
      </c>
      <c r="R878" t="s">
        <v>1102</v>
      </c>
      <c r="S878" s="11">
        <v>44988</v>
      </c>
      <c r="T878" t="s">
        <v>3059</v>
      </c>
      <c r="U878" t="s">
        <v>2347</v>
      </c>
    </row>
    <row r="879" spans="2:21" x14ac:dyDescent="0.3">
      <c r="B879" t="s">
        <v>3113</v>
      </c>
      <c r="C879" t="s">
        <v>3114</v>
      </c>
      <c r="D879" t="s">
        <v>2436</v>
      </c>
      <c r="E879" t="s">
        <v>2580</v>
      </c>
      <c r="F879" t="s">
        <v>2580</v>
      </c>
      <c r="G879" s="8">
        <v>3330</v>
      </c>
      <c r="H879" s="8">
        <f>+IF(BDAlquilerDepartamentos[[#This Row],[Ciudad]]="Lima",BDAlquilerDepartamentos[[#This Row],[Prec. Soles]]*0.1,BDAlquilerDepartamentos[[#This Row],[Prec. Soles]]*0.05)</f>
        <v>333</v>
      </c>
      <c r="I879" s="4">
        <v>2</v>
      </c>
      <c r="J879" s="4">
        <v>3</v>
      </c>
      <c r="K879" s="4" t="s">
        <v>3095</v>
      </c>
      <c r="L879" s="4" t="s">
        <v>3095</v>
      </c>
      <c r="M879" s="4">
        <v>100</v>
      </c>
      <c r="N879" s="4">
        <v>2010</v>
      </c>
      <c r="O879" s="4" t="str">
        <f>+IF(BDAlquilerDepartamentos[[#This Row],[Prec. Soles]]&gt;2500,"Caro","Economico")</f>
        <v>Caro</v>
      </c>
      <c r="P879" s="4" t="str">
        <f>+IF(AND(BDAlquilerDepartamentos[[#This Row],[N° de Dorm.]]&gt; 3,BDAlquilerDepartamentos[[#This Row],[Prec. Soles]]&lt;= 2500),"Buena Oferta", "Precio Estadar")</f>
        <v>Precio Estadar</v>
      </c>
      <c r="Q879" t="s">
        <v>1101</v>
      </c>
      <c r="R879" t="s">
        <v>1102</v>
      </c>
      <c r="S879" s="11">
        <v>45579</v>
      </c>
      <c r="T879" t="s">
        <v>3059</v>
      </c>
      <c r="U879" t="s">
        <v>2348</v>
      </c>
    </row>
    <row r="880" spans="2:21" x14ac:dyDescent="0.3">
      <c r="B880" t="s">
        <v>3102</v>
      </c>
      <c r="C880" t="s">
        <v>2580</v>
      </c>
      <c r="D880" t="s">
        <v>2580</v>
      </c>
      <c r="E880" t="s">
        <v>2580</v>
      </c>
      <c r="F880" t="s">
        <v>2580</v>
      </c>
      <c r="G880" s="8">
        <v>1924</v>
      </c>
      <c r="H880" s="8">
        <f>+IF(BDAlquilerDepartamentos[[#This Row],[Ciudad]]="Lima",BDAlquilerDepartamentos[[#This Row],[Prec. Soles]]*0.1,BDAlquilerDepartamentos[[#This Row],[Prec. Soles]]*0.05)</f>
        <v>192.4</v>
      </c>
      <c r="I880" s="4">
        <v>1</v>
      </c>
      <c r="J880" s="4">
        <v>1</v>
      </c>
      <c r="K880" s="4" t="s">
        <v>3095</v>
      </c>
      <c r="L880" s="4" t="s">
        <v>3096</v>
      </c>
      <c r="M880" s="4">
        <v>50</v>
      </c>
      <c r="N880" s="4">
        <v>2004</v>
      </c>
      <c r="O880" s="4" t="str">
        <f>+IF(BDAlquilerDepartamentos[[#This Row],[Prec. Soles]]&gt;2500,"Caro","Economico")</f>
        <v>Economico</v>
      </c>
      <c r="P880" s="4" t="str">
        <f>+IF(AND(BDAlquilerDepartamentos[[#This Row],[N° de Dorm.]]&gt; 3,BDAlquilerDepartamentos[[#This Row],[Prec. Soles]]&lt;= 2500),"Buena Oferta", "Precio Estadar")</f>
        <v>Precio Estadar</v>
      </c>
      <c r="Q880" t="s">
        <v>1101</v>
      </c>
      <c r="R880" t="s">
        <v>1102</v>
      </c>
      <c r="S880" s="11">
        <v>45336</v>
      </c>
      <c r="T880" t="s">
        <v>2881</v>
      </c>
      <c r="U880" t="s">
        <v>2349</v>
      </c>
    </row>
    <row r="881" spans="2:21" x14ac:dyDescent="0.3">
      <c r="B881" t="s">
        <v>1637</v>
      </c>
      <c r="C881" t="s">
        <v>2609</v>
      </c>
      <c r="D881" t="s">
        <v>2428</v>
      </c>
      <c r="E881" t="s">
        <v>2580</v>
      </c>
      <c r="F881" t="s">
        <v>2580</v>
      </c>
      <c r="G881" s="8">
        <v>12950</v>
      </c>
      <c r="H881" s="8">
        <f>+IF(BDAlquilerDepartamentos[[#This Row],[Ciudad]]="Lima",BDAlquilerDepartamentos[[#This Row],[Prec. Soles]]*0.1,BDAlquilerDepartamentos[[#This Row],[Prec. Soles]]*0.05)</f>
        <v>1295</v>
      </c>
      <c r="I881" s="4">
        <v>8</v>
      </c>
      <c r="J881" s="4">
        <v>4</v>
      </c>
      <c r="K881" s="4" t="s">
        <v>3095</v>
      </c>
      <c r="L881" s="4" t="s">
        <v>3095</v>
      </c>
      <c r="M881" s="4">
        <v>146</v>
      </c>
      <c r="N881" s="4">
        <v>2014</v>
      </c>
      <c r="O881" s="4" t="str">
        <f>+IF(BDAlquilerDepartamentos[[#This Row],[Prec. Soles]]&gt;2500,"Caro","Economico")</f>
        <v>Caro</v>
      </c>
      <c r="P881" s="4" t="str">
        <f>+IF(AND(BDAlquilerDepartamentos[[#This Row],[N° de Dorm.]]&gt; 3,BDAlquilerDepartamentos[[#This Row],[Prec. Soles]]&lt;= 2500),"Buena Oferta", "Precio Estadar")</f>
        <v>Precio Estadar</v>
      </c>
      <c r="Q881" t="s">
        <v>1101</v>
      </c>
      <c r="R881" t="s">
        <v>1102</v>
      </c>
      <c r="S881" s="11">
        <v>45435</v>
      </c>
      <c r="T881" t="s">
        <v>2849</v>
      </c>
      <c r="U881" t="s">
        <v>2350</v>
      </c>
    </row>
    <row r="882" spans="2:21" x14ac:dyDescent="0.3">
      <c r="B882" t="s">
        <v>2351</v>
      </c>
      <c r="C882" t="s">
        <v>2781</v>
      </c>
      <c r="D882" t="s">
        <v>3121</v>
      </c>
      <c r="E882" t="s">
        <v>2580</v>
      </c>
      <c r="F882" t="s">
        <v>2580</v>
      </c>
      <c r="G882" s="8">
        <v>1850</v>
      </c>
      <c r="H882" s="8">
        <f>+IF(BDAlquilerDepartamentos[[#This Row],[Ciudad]]="Lima",BDAlquilerDepartamentos[[#This Row],[Prec. Soles]]*0.1,BDAlquilerDepartamentos[[#This Row],[Prec. Soles]]*0.05)</f>
        <v>185</v>
      </c>
      <c r="I882" s="4">
        <v>1</v>
      </c>
      <c r="J882" s="4">
        <v>1</v>
      </c>
      <c r="K882" s="4" t="s">
        <v>3095</v>
      </c>
      <c r="L882" s="4" t="s">
        <v>3095</v>
      </c>
      <c r="M882" s="4">
        <v>38</v>
      </c>
      <c r="N882" s="4">
        <v>2012</v>
      </c>
      <c r="O882" s="4" t="str">
        <f>+IF(BDAlquilerDepartamentos[[#This Row],[Prec. Soles]]&gt;2500,"Caro","Economico")</f>
        <v>Economico</v>
      </c>
      <c r="P882" s="4" t="str">
        <f>+IF(AND(BDAlquilerDepartamentos[[#This Row],[N° de Dorm.]]&gt; 3,BDAlquilerDepartamentos[[#This Row],[Prec. Soles]]&lt;= 2500),"Buena Oferta", "Precio Estadar")</f>
        <v>Precio Estadar</v>
      </c>
      <c r="Q882" t="s">
        <v>1164</v>
      </c>
      <c r="R882" t="s">
        <v>1102</v>
      </c>
      <c r="S882" s="11">
        <v>45527</v>
      </c>
      <c r="T882" t="s">
        <v>3072</v>
      </c>
      <c r="U882" t="s">
        <v>2352</v>
      </c>
    </row>
    <row r="883" spans="2:21" x14ac:dyDescent="0.3">
      <c r="B883" t="s">
        <v>3116</v>
      </c>
      <c r="C883" t="s">
        <v>2436</v>
      </c>
      <c r="D883" t="s">
        <v>2689</v>
      </c>
      <c r="E883" t="s">
        <v>3129</v>
      </c>
      <c r="F883" t="s">
        <v>3129</v>
      </c>
      <c r="G883" s="8">
        <v>7400</v>
      </c>
      <c r="H883" s="8">
        <f>+IF(BDAlquilerDepartamentos[[#This Row],[Ciudad]]="Lima",BDAlquilerDepartamentos[[#This Row],[Prec. Soles]]*0.1,BDAlquilerDepartamentos[[#This Row],[Prec. Soles]]*0.05)</f>
        <v>370</v>
      </c>
      <c r="I883" s="4">
        <v>3</v>
      </c>
      <c r="J883" s="4">
        <v>2</v>
      </c>
      <c r="K883" s="4" t="s">
        <v>3096</v>
      </c>
      <c r="L883" s="4" t="s">
        <v>3095</v>
      </c>
      <c r="M883" s="4">
        <v>207</v>
      </c>
      <c r="N883" s="4">
        <v>2014</v>
      </c>
      <c r="O883" s="4" t="str">
        <f>+IF(BDAlquilerDepartamentos[[#This Row],[Prec. Soles]]&gt;2500,"Caro","Economico")</f>
        <v>Caro</v>
      </c>
      <c r="P883" s="4" t="str">
        <f>+IF(AND(BDAlquilerDepartamentos[[#This Row],[N° de Dorm.]]&gt; 3,BDAlquilerDepartamentos[[#This Row],[Prec. Soles]]&lt;= 2500),"Buena Oferta", "Precio Estadar")</f>
        <v>Precio Estadar</v>
      </c>
      <c r="Q883" t="s">
        <v>1101</v>
      </c>
      <c r="R883" t="s">
        <v>1102</v>
      </c>
      <c r="S883" s="11">
        <v>45603</v>
      </c>
      <c r="T883" t="s">
        <v>2982</v>
      </c>
      <c r="U883" t="s">
        <v>2353</v>
      </c>
    </row>
    <row r="884" spans="2:21" x14ac:dyDescent="0.3">
      <c r="B884" t="s">
        <v>1423</v>
      </c>
      <c r="C884" t="s">
        <v>2552</v>
      </c>
      <c r="D884" t="s">
        <v>2553</v>
      </c>
      <c r="E884" t="s">
        <v>2580</v>
      </c>
      <c r="F884" t="s">
        <v>2580</v>
      </c>
      <c r="G884" s="8">
        <v>4440</v>
      </c>
      <c r="H884" s="8">
        <f>+IF(BDAlquilerDepartamentos[[#This Row],[Ciudad]]="Lima",BDAlquilerDepartamentos[[#This Row],[Prec. Soles]]*0.1,BDAlquilerDepartamentos[[#This Row],[Prec. Soles]]*0.05)</f>
        <v>444</v>
      </c>
      <c r="I884" s="4">
        <v>3</v>
      </c>
      <c r="J884" s="4">
        <v>2</v>
      </c>
      <c r="K884" s="4" t="s">
        <v>3096</v>
      </c>
      <c r="L884" s="4" t="s">
        <v>3095</v>
      </c>
      <c r="M884" s="4">
        <v>155</v>
      </c>
      <c r="N884" s="4">
        <v>2013</v>
      </c>
      <c r="O884" s="4" t="str">
        <f>+IF(BDAlquilerDepartamentos[[#This Row],[Prec. Soles]]&gt;2500,"Caro","Economico")</f>
        <v>Caro</v>
      </c>
      <c r="P884" s="4" t="str">
        <f>+IF(AND(BDAlquilerDepartamentos[[#This Row],[N° de Dorm.]]&gt; 3,BDAlquilerDepartamentos[[#This Row],[Prec. Soles]]&lt;= 2500),"Buena Oferta", "Precio Estadar")</f>
        <v>Precio Estadar</v>
      </c>
      <c r="Q884" t="s">
        <v>1101</v>
      </c>
      <c r="R884" t="s">
        <v>1102</v>
      </c>
      <c r="S884" s="11">
        <v>45291</v>
      </c>
      <c r="T884" t="s">
        <v>2934</v>
      </c>
      <c r="U884" t="s">
        <v>2354</v>
      </c>
    </row>
    <row r="885" spans="2:21" x14ac:dyDescent="0.3">
      <c r="B885" t="s">
        <v>2355</v>
      </c>
      <c r="C885" t="s">
        <v>2782</v>
      </c>
      <c r="D885" t="s">
        <v>2580</v>
      </c>
      <c r="E885" t="s">
        <v>2580</v>
      </c>
      <c r="F885" t="s">
        <v>2580</v>
      </c>
      <c r="G885" s="8">
        <v>1200</v>
      </c>
      <c r="H885" s="8">
        <f>+IF(BDAlquilerDepartamentos[[#This Row],[Ciudad]]="Lima",BDAlquilerDepartamentos[[#This Row],[Prec. Soles]]*0.1,BDAlquilerDepartamentos[[#This Row],[Prec. Soles]]*0.05)</f>
        <v>120</v>
      </c>
      <c r="I885" s="4">
        <v>3</v>
      </c>
      <c r="J885" s="4">
        <v>2</v>
      </c>
      <c r="K885" s="4" t="s">
        <v>3095</v>
      </c>
      <c r="L885" s="4" t="s">
        <v>3095</v>
      </c>
      <c r="M885" s="4">
        <v>120</v>
      </c>
      <c r="N885" s="4">
        <v>2005</v>
      </c>
      <c r="O885" s="4" t="str">
        <f>+IF(BDAlquilerDepartamentos[[#This Row],[Prec. Soles]]&gt;2500,"Caro","Economico")</f>
        <v>Economico</v>
      </c>
      <c r="P885" s="4" t="str">
        <f>+IF(AND(BDAlquilerDepartamentos[[#This Row],[N° de Dorm.]]&gt; 3,BDAlquilerDepartamentos[[#This Row],[Prec. Soles]]&lt;= 2500),"Buena Oferta", "Precio Estadar")</f>
        <v>Precio Estadar</v>
      </c>
      <c r="Q885" t="s">
        <v>1101</v>
      </c>
      <c r="R885" t="s">
        <v>1102</v>
      </c>
      <c r="S885" s="11">
        <v>45584</v>
      </c>
      <c r="T885" t="s">
        <v>2819</v>
      </c>
      <c r="U885" t="s">
        <v>2356</v>
      </c>
    </row>
    <row r="886" spans="2:21" x14ac:dyDescent="0.3">
      <c r="B886" t="s">
        <v>1110</v>
      </c>
      <c r="C886" t="s">
        <v>2421</v>
      </c>
      <c r="D886" t="s">
        <v>2444</v>
      </c>
      <c r="E886" t="s">
        <v>2580</v>
      </c>
      <c r="F886" t="s">
        <v>2580</v>
      </c>
      <c r="G886" s="8">
        <v>10360</v>
      </c>
      <c r="H886" s="8">
        <f>+IF(BDAlquilerDepartamentos[[#This Row],[Ciudad]]="Lima",BDAlquilerDepartamentos[[#This Row],[Prec. Soles]]*0.1,BDAlquilerDepartamentos[[#This Row],[Prec. Soles]]*0.05)</f>
        <v>1036</v>
      </c>
      <c r="I886" s="4">
        <v>3</v>
      </c>
      <c r="J886" s="4">
        <v>4</v>
      </c>
      <c r="K886" s="4" t="s">
        <v>3096</v>
      </c>
      <c r="L886" s="4" t="s">
        <v>3096</v>
      </c>
      <c r="M886" s="4">
        <v>383</v>
      </c>
      <c r="N886" s="4">
        <v>2010</v>
      </c>
      <c r="O886" s="4" t="str">
        <f>+IF(BDAlquilerDepartamentos[[#This Row],[Prec. Soles]]&gt;2500,"Caro","Economico")</f>
        <v>Caro</v>
      </c>
      <c r="P886" s="4" t="str">
        <f>+IF(AND(BDAlquilerDepartamentos[[#This Row],[N° de Dorm.]]&gt; 3,BDAlquilerDepartamentos[[#This Row],[Prec. Soles]]&lt;= 2500),"Buena Oferta", "Precio Estadar")</f>
        <v>Precio Estadar</v>
      </c>
      <c r="Q886" t="s">
        <v>1101</v>
      </c>
      <c r="R886" t="s">
        <v>1102</v>
      </c>
      <c r="S886" s="11">
        <v>45276</v>
      </c>
      <c r="T886" t="s">
        <v>2982</v>
      </c>
      <c r="U886" t="s">
        <v>2357</v>
      </c>
    </row>
    <row r="887" spans="2:21" x14ac:dyDescent="0.3">
      <c r="B887" t="s">
        <v>1839</v>
      </c>
      <c r="C887" t="s">
        <v>2665</v>
      </c>
      <c r="D887" t="s">
        <v>3121</v>
      </c>
      <c r="E887" t="s">
        <v>2580</v>
      </c>
      <c r="F887" t="s">
        <v>2580</v>
      </c>
      <c r="G887" s="8">
        <v>4810</v>
      </c>
      <c r="H887" s="8">
        <f>+IF(BDAlquilerDepartamentos[[#This Row],[Ciudad]]="Lima",BDAlquilerDepartamentos[[#This Row],[Prec. Soles]]*0.1,BDAlquilerDepartamentos[[#This Row],[Prec. Soles]]*0.05)</f>
        <v>481</v>
      </c>
      <c r="I887" s="4">
        <v>3</v>
      </c>
      <c r="J887" s="4">
        <v>3</v>
      </c>
      <c r="K887" s="4" t="s">
        <v>3096</v>
      </c>
      <c r="L887" s="4" t="s">
        <v>3095</v>
      </c>
      <c r="M887" s="4">
        <v>157</v>
      </c>
      <c r="N887" s="4">
        <v>2012</v>
      </c>
      <c r="O887" s="4" t="str">
        <f>+IF(BDAlquilerDepartamentos[[#This Row],[Prec. Soles]]&gt;2500,"Caro","Economico")</f>
        <v>Caro</v>
      </c>
      <c r="P887" s="4" t="str">
        <f>+IF(AND(BDAlquilerDepartamentos[[#This Row],[N° de Dorm.]]&gt; 3,BDAlquilerDepartamentos[[#This Row],[Prec. Soles]]&lt;= 2500),"Buena Oferta", "Precio Estadar")</f>
        <v>Precio Estadar</v>
      </c>
      <c r="Q887" t="s">
        <v>1101</v>
      </c>
      <c r="R887" t="s">
        <v>1102</v>
      </c>
      <c r="S887" s="11">
        <v>45346</v>
      </c>
      <c r="T887" t="s">
        <v>3073</v>
      </c>
      <c r="U887" t="s">
        <v>2358</v>
      </c>
    </row>
    <row r="888" spans="2:21" x14ac:dyDescent="0.3">
      <c r="B888" t="s">
        <v>1100</v>
      </c>
      <c r="C888" t="s">
        <v>2415</v>
      </c>
      <c r="D888" t="s">
        <v>2436</v>
      </c>
      <c r="E888" t="s">
        <v>2580</v>
      </c>
      <c r="F888" t="s">
        <v>2580</v>
      </c>
      <c r="G888" s="8">
        <v>5920</v>
      </c>
      <c r="H888" s="8">
        <f>+IF(BDAlquilerDepartamentos[[#This Row],[Ciudad]]="Lima",BDAlquilerDepartamentos[[#This Row],[Prec. Soles]]*0.1,BDAlquilerDepartamentos[[#This Row],[Prec. Soles]]*0.05)</f>
        <v>592</v>
      </c>
      <c r="I888" s="4">
        <v>3</v>
      </c>
      <c r="J888" s="4">
        <v>3</v>
      </c>
      <c r="K888" s="4" t="s">
        <v>3096</v>
      </c>
      <c r="L888" s="4" t="s">
        <v>3095</v>
      </c>
      <c r="M888" s="4">
        <v>130</v>
      </c>
      <c r="N888" s="4">
        <v>2005</v>
      </c>
      <c r="O888" s="4" t="str">
        <f>+IF(BDAlquilerDepartamentos[[#This Row],[Prec. Soles]]&gt;2500,"Caro","Economico")</f>
        <v>Caro</v>
      </c>
      <c r="P888" s="4" t="str">
        <f>+IF(AND(BDAlquilerDepartamentos[[#This Row],[N° de Dorm.]]&gt; 3,BDAlquilerDepartamentos[[#This Row],[Prec. Soles]]&lt;= 2500),"Buena Oferta", "Precio Estadar")</f>
        <v>Precio Estadar</v>
      </c>
      <c r="Q888" t="s">
        <v>1101</v>
      </c>
      <c r="R888" t="s">
        <v>1102</v>
      </c>
      <c r="S888" s="11">
        <v>45218</v>
      </c>
      <c r="T888" t="s">
        <v>2843</v>
      </c>
      <c r="U888" t="s">
        <v>2359</v>
      </c>
    </row>
    <row r="889" spans="2:21" x14ac:dyDescent="0.3">
      <c r="B889" t="s">
        <v>2360</v>
      </c>
      <c r="C889" t="s">
        <v>2783</v>
      </c>
      <c r="D889" t="s">
        <v>2580</v>
      </c>
      <c r="E889" t="s">
        <v>2580</v>
      </c>
      <c r="F889" t="s">
        <v>2580</v>
      </c>
      <c r="G889" s="8">
        <v>3500</v>
      </c>
      <c r="H889" s="8">
        <f>+IF(BDAlquilerDepartamentos[[#This Row],[Ciudad]]="Lima",BDAlquilerDepartamentos[[#This Row],[Prec. Soles]]*0.1,BDAlquilerDepartamentos[[#This Row],[Prec. Soles]]*0.05)</f>
        <v>350</v>
      </c>
      <c r="I889" s="4">
        <v>5</v>
      </c>
      <c r="J889" s="4">
        <v>3</v>
      </c>
      <c r="K889" s="4" t="s">
        <v>3096</v>
      </c>
      <c r="L889" s="4" t="s">
        <v>3096</v>
      </c>
      <c r="M889" s="4">
        <v>190</v>
      </c>
      <c r="N889" s="4">
        <v>2004</v>
      </c>
      <c r="O889" s="4" t="str">
        <f>+IF(BDAlquilerDepartamentos[[#This Row],[Prec. Soles]]&gt;2500,"Caro","Economico")</f>
        <v>Caro</v>
      </c>
      <c r="P889" s="4" t="str">
        <f>+IF(AND(BDAlquilerDepartamentos[[#This Row],[N° de Dorm.]]&gt; 3,BDAlquilerDepartamentos[[#This Row],[Prec. Soles]]&lt;= 2500),"Buena Oferta", "Precio Estadar")</f>
        <v>Precio Estadar</v>
      </c>
      <c r="Q889" t="s">
        <v>1101</v>
      </c>
      <c r="R889" t="s">
        <v>1102</v>
      </c>
      <c r="S889" s="11">
        <v>45271</v>
      </c>
      <c r="T889" t="s">
        <v>3010</v>
      </c>
      <c r="U889" t="s">
        <v>2361</v>
      </c>
    </row>
    <row r="890" spans="2:21" x14ac:dyDescent="0.3">
      <c r="B890" t="s">
        <v>1262</v>
      </c>
      <c r="C890" t="s">
        <v>2494</v>
      </c>
      <c r="D890" t="s">
        <v>2444</v>
      </c>
      <c r="E890" t="s">
        <v>2580</v>
      </c>
      <c r="F890" t="s">
        <v>2580</v>
      </c>
      <c r="G890" s="8">
        <v>2960</v>
      </c>
      <c r="H890" s="8">
        <f>+IF(BDAlquilerDepartamentos[[#This Row],[Ciudad]]="Lima",BDAlquilerDepartamentos[[#This Row],[Prec. Soles]]*0.1,BDAlquilerDepartamentos[[#This Row],[Prec. Soles]]*0.05)</f>
        <v>296</v>
      </c>
      <c r="I890" s="4">
        <v>2</v>
      </c>
      <c r="J890" s="4">
        <v>2</v>
      </c>
      <c r="K890" s="4" t="s">
        <v>3096</v>
      </c>
      <c r="L890" s="4" t="s">
        <v>3096</v>
      </c>
      <c r="M890" s="4">
        <v>90</v>
      </c>
      <c r="N890" s="4">
        <v>2003</v>
      </c>
      <c r="O890" s="4" t="str">
        <f>+IF(BDAlquilerDepartamentos[[#This Row],[Prec. Soles]]&gt;2500,"Caro","Economico")</f>
        <v>Caro</v>
      </c>
      <c r="P890" s="4" t="str">
        <f>+IF(AND(BDAlquilerDepartamentos[[#This Row],[N° de Dorm.]]&gt; 3,BDAlquilerDepartamentos[[#This Row],[Prec. Soles]]&lt;= 2500),"Buena Oferta", "Precio Estadar")</f>
        <v>Precio Estadar</v>
      </c>
      <c r="Q890" t="s">
        <v>1101</v>
      </c>
      <c r="R890" t="s">
        <v>1102</v>
      </c>
      <c r="S890" s="11">
        <v>45332</v>
      </c>
      <c r="T890" t="s">
        <v>3074</v>
      </c>
      <c r="U890" t="s">
        <v>2362</v>
      </c>
    </row>
    <row r="891" spans="2:21" x14ac:dyDescent="0.3">
      <c r="B891" t="s">
        <v>2021</v>
      </c>
      <c r="C891" t="s">
        <v>2710</v>
      </c>
      <c r="D891" t="s">
        <v>2478</v>
      </c>
      <c r="E891" t="s">
        <v>2580</v>
      </c>
      <c r="F891" t="s">
        <v>2580</v>
      </c>
      <c r="G891" s="8">
        <v>1600</v>
      </c>
      <c r="H891" s="8">
        <f>+IF(BDAlquilerDepartamentos[[#This Row],[Ciudad]]="Lima",BDAlquilerDepartamentos[[#This Row],[Prec. Soles]]*0.1,BDAlquilerDepartamentos[[#This Row],[Prec. Soles]]*0.05)</f>
        <v>160</v>
      </c>
      <c r="I891" s="4">
        <v>2</v>
      </c>
      <c r="J891" s="4">
        <v>1</v>
      </c>
      <c r="K891" s="4" t="s">
        <v>3095</v>
      </c>
      <c r="L891" s="4" t="s">
        <v>3096</v>
      </c>
      <c r="M891" s="4">
        <v>54</v>
      </c>
      <c r="N891" s="4">
        <v>2014</v>
      </c>
      <c r="O891" s="4" t="str">
        <f>+IF(BDAlquilerDepartamentos[[#This Row],[Prec. Soles]]&gt;2500,"Caro","Economico")</f>
        <v>Economico</v>
      </c>
      <c r="P891" s="4" t="str">
        <f>+IF(AND(BDAlquilerDepartamentos[[#This Row],[N° de Dorm.]]&gt; 3,BDAlquilerDepartamentos[[#This Row],[Prec. Soles]]&lt;= 2500),"Buena Oferta", "Precio Estadar")</f>
        <v>Precio Estadar</v>
      </c>
      <c r="Q891" t="s">
        <v>1101</v>
      </c>
      <c r="R891" t="s">
        <v>1102</v>
      </c>
      <c r="S891" s="11">
        <v>45288</v>
      </c>
      <c r="T891" t="s">
        <v>2851</v>
      </c>
      <c r="U891" t="s">
        <v>2363</v>
      </c>
    </row>
    <row r="892" spans="2:21" x14ac:dyDescent="0.3">
      <c r="B892" t="s">
        <v>2364</v>
      </c>
      <c r="C892" t="s">
        <v>2784</v>
      </c>
      <c r="D892" t="s">
        <v>2580</v>
      </c>
      <c r="E892" t="s">
        <v>2580</v>
      </c>
      <c r="F892" t="s">
        <v>2580</v>
      </c>
      <c r="G892" s="8">
        <v>7400</v>
      </c>
      <c r="H892" s="8">
        <f>+IF(BDAlquilerDepartamentos[[#This Row],[Ciudad]]="Lima",BDAlquilerDepartamentos[[#This Row],[Prec. Soles]]*0.1,BDAlquilerDepartamentos[[#This Row],[Prec. Soles]]*0.05)</f>
        <v>740</v>
      </c>
      <c r="I892" s="4">
        <v>3</v>
      </c>
      <c r="J892" s="4">
        <v>2</v>
      </c>
      <c r="K892" s="4" t="s">
        <v>3096</v>
      </c>
      <c r="L892" s="4" t="s">
        <v>3096</v>
      </c>
      <c r="M892" s="4">
        <v>306</v>
      </c>
      <c r="N892" s="4">
        <v>2010</v>
      </c>
      <c r="O892" s="4" t="str">
        <f>+IF(BDAlquilerDepartamentos[[#This Row],[Prec. Soles]]&gt;2500,"Caro","Economico")</f>
        <v>Caro</v>
      </c>
      <c r="P892" s="4" t="str">
        <f>+IF(AND(BDAlquilerDepartamentos[[#This Row],[N° de Dorm.]]&gt; 3,BDAlquilerDepartamentos[[#This Row],[Prec. Soles]]&lt;= 2500),"Buena Oferta", "Precio Estadar")</f>
        <v>Precio Estadar</v>
      </c>
      <c r="Q892" t="s">
        <v>1113</v>
      </c>
      <c r="R892" t="s">
        <v>1102</v>
      </c>
      <c r="S892" s="11">
        <v>45513</v>
      </c>
      <c r="T892" t="s">
        <v>2904</v>
      </c>
      <c r="U892" t="s">
        <v>2365</v>
      </c>
    </row>
    <row r="893" spans="2:21" x14ac:dyDescent="0.3">
      <c r="B893" t="s">
        <v>1210</v>
      </c>
      <c r="C893" t="s">
        <v>2476</v>
      </c>
      <c r="D893" t="s">
        <v>2436</v>
      </c>
      <c r="E893" t="s">
        <v>2580</v>
      </c>
      <c r="F893" t="s">
        <v>2580</v>
      </c>
      <c r="G893" s="8">
        <v>7396.3</v>
      </c>
      <c r="H893" s="8">
        <f>+IF(BDAlquilerDepartamentos[[#This Row],[Ciudad]]="Lima",BDAlquilerDepartamentos[[#This Row],[Prec. Soles]]*0.1,BDAlquilerDepartamentos[[#This Row],[Prec. Soles]]*0.05)</f>
        <v>739.63000000000011</v>
      </c>
      <c r="I893" s="4">
        <v>4</v>
      </c>
      <c r="J893" s="4">
        <v>3</v>
      </c>
      <c r="K893" s="4" t="s">
        <v>3095</v>
      </c>
      <c r="L893" s="4" t="s">
        <v>3096</v>
      </c>
      <c r="M893" s="4">
        <v>230</v>
      </c>
      <c r="N893" s="4">
        <v>2004</v>
      </c>
      <c r="O893" s="4" t="str">
        <f>+IF(BDAlquilerDepartamentos[[#This Row],[Prec. Soles]]&gt;2500,"Caro","Economico")</f>
        <v>Caro</v>
      </c>
      <c r="P893" s="4" t="str">
        <f>+IF(AND(BDAlquilerDepartamentos[[#This Row],[N° de Dorm.]]&gt; 3,BDAlquilerDepartamentos[[#This Row],[Prec. Soles]]&lt;= 2500),"Buena Oferta", "Precio Estadar")</f>
        <v>Precio Estadar</v>
      </c>
      <c r="Q893" t="s">
        <v>1101</v>
      </c>
      <c r="R893" t="s">
        <v>1102</v>
      </c>
      <c r="S893" s="11">
        <v>45596</v>
      </c>
      <c r="T893" t="s">
        <v>3075</v>
      </c>
      <c r="U893" t="s">
        <v>2366</v>
      </c>
    </row>
    <row r="894" spans="2:21" x14ac:dyDescent="0.3">
      <c r="B894" t="s">
        <v>2367</v>
      </c>
      <c r="C894" t="s">
        <v>2785</v>
      </c>
      <c r="D894" t="s">
        <v>2580</v>
      </c>
      <c r="E894" t="s">
        <v>2580</v>
      </c>
      <c r="F894" t="s">
        <v>2580</v>
      </c>
      <c r="G894" s="8">
        <v>6660</v>
      </c>
      <c r="H894" s="8">
        <f>+IF(BDAlquilerDepartamentos[[#This Row],[Ciudad]]="Lima",BDAlquilerDepartamentos[[#This Row],[Prec. Soles]]*0.1,BDAlquilerDepartamentos[[#This Row],[Prec. Soles]]*0.05)</f>
        <v>666</v>
      </c>
      <c r="I894" s="4">
        <v>3</v>
      </c>
      <c r="J894" s="4">
        <v>4</v>
      </c>
      <c r="K894" s="4" t="s">
        <v>3095</v>
      </c>
      <c r="L894" s="4" t="s">
        <v>3096</v>
      </c>
      <c r="M894" s="4">
        <v>215</v>
      </c>
      <c r="N894" s="4">
        <v>2014</v>
      </c>
      <c r="O894" s="4" t="str">
        <f>+IF(BDAlquilerDepartamentos[[#This Row],[Prec. Soles]]&gt;2500,"Caro","Economico")</f>
        <v>Caro</v>
      </c>
      <c r="P894" s="4" t="str">
        <f>+IF(AND(BDAlquilerDepartamentos[[#This Row],[N° de Dorm.]]&gt; 3,BDAlquilerDepartamentos[[#This Row],[Prec. Soles]]&lt;= 2500),"Buena Oferta", "Precio Estadar")</f>
        <v>Precio Estadar</v>
      </c>
      <c r="Q894" t="s">
        <v>1101</v>
      </c>
      <c r="R894" t="s">
        <v>1102</v>
      </c>
      <c r="S894" s="11">
        <v>45628</v>
      </c>
      <c r="T894" t="s">
        <v>2959</v>
      </c>
      <c r="U894" t="s">
        <v>2368</v>
      </c>
    </row>
    <row r="895" spans="2:21" x14ac:dyDescent="0.3">
      <c r="B895" t="s">
        <v>3113</v>
      </c>
      <c r="C895" t="s">
        <v>3114</v>
      </c>
      <c r="D895" t="s">
        <v>2436</v>
      </c>
      <c r="E895" t="s">
        <v>2580</v>
      </c>
      <c r="F895" t="s">
        <v>2580</v>
      </c>
      <c r="G895" s="8">
        <v>18496.3</v>
      </c>
      <c r="H895" s="8">
        <f>+IF(BDAlquilerDepartamentos[[#This Row],[Ciudad]]="Lima",BDAlquilerDepartamentos[[#This Row],[Prec. Soles]]*0.1,BDAlquilerDepartamentos[[#This Row],[Prec. Soles]]*0.05)</f>
        <v>1849.63</v>
      </c>
      <c r="I895" s="4">
        <v>3</v>
      </c>
      <c r="J895" s="4">
        <v>3</v>
      </c>
      <c r="K895" s="4" t="s">
        <v>3095</v>
      </c>
      <c r="L895" s="4" t="s">
        <v>3095</v>
      </c>
      <c r="M895" s="4">
        <v>170</v>
      </c>
      <c r="N895" s="4">
        <v>2017</v>
      </c>
      <c r="O895" s="4" t="str">
        <f>+IF(BDAlquilerDepartamentos[[#This Row],[Prec. Soles]]&gt;2500,"Caro","Economico")</f>
        <v>Caro</v>
      </c>
      <c r="P895" s="4" t="str">
        <f>+IF(AND(BDAlquilerDepartamentos[[#This Row],[N° de Dorm.]]&gt; 3,BDAlquilerDepartamentos[[#This Row],[Prec. Soles]]&lt;= 2500),"Buena Oferta", "Precio Estadar")</f>
        <v>Precio Estadar</v>
      </c>
      <c r="Q895" t="s">
        <v>1101</v>
      </c>
      <c r="R895" t="s">
        <v>1102</v>
      </c>
      <c r="S895" s="11">
        <v>45281</v>
      </c>
      <c r="T895" t="s">
        <v>3075</v>
      </c>
      <c r="U895" t="s">
        <v>2369</v>
      </c>
    </row>
    <row r="896" spans="2:21" x14ac:dyDescent="0.3">
      <c r="B896" t="s">
        <v>2370</v>
      </c>
      <c r="C896" t="s">
        <v>2786</v>
      </c>
      <c r="D896" t="s">
        <v>2428</v>
      </c>
      <c r="E896" t="s">
        <v>2580</v>
      </c>
      <c r="F896" t="s">
        <v>2580</v>
      </c>
      <c r="G896" s="8">
        <v>36996.300000000003</v>
      </c>
      <c r="H896" s="8">
        <f>+IF(BDAlquilerDepartamentos[[#This Row],[Ciudad]]="Lima",BDAlquilerDepartamentos[[#This Row],[Prec. Soles]]*0.1,BDAlquilerDepartamentos[[#This Row],[Prec. Soles]]*0.05)</f>
        <v>3699.6300000000006</v>
      </c>
      <c r="I896" s="4">
        <v>4</v>
      </c>
      <c r="J896" s="4">
        <v>4</v>
      </c>
      <c r="K896" s="4" t="s">
        <v>3095</v>
      </c>
      <c r="L896" s="4" t="s">
        <v>3095</v>
      </c>
      <c r="M896" s="4">
        <v>650</v>
      </c>
      <c r="N896" s="4">
        <v>2010</v>
      </c>
      <c r="O896" s="4" t="str">
        <f>+IF(BDAlquilerDepartamentos[[#This Row],[Prec. Soles]]&gt;2500,"Caro","Economico")</f>
        <v>Caro</v>
      </c>
      <c r="P896" s="4" t="str">
        <f>+IF(AND(BDAlquilerDepartamentos[[#This Row],[N° de Dorm.]]&gt; 3,BDAlquilerDepartamentos[[#This Row],[Prec. Soles]]&lt;= 2500),"Buena Oferta", "Precio Estadar")</f>
        <v>Precio Estadar</v>
      </c>
      <c r="Q896" t="s">
        <v>1101</v>
      </c>
      <c r="R896" t="s">
        <v>1102</v>
      </c>
      <c r="S896" s="11">
        <v>45397</v>
      </c>
      <c r="T896" t="s">
        <v>3075</v>
      </c>
      <c r="U896" t="s">
        <v>2371</v>
      </c>
    </row>
    <row r="897" spans="2:21" x14ac:dyDescent="0.3">
      <c r="B897" t="s">
        <v>1100</v>
      </c>
      <c r="C897" t="s">
        <v>2415</v>
      </c>
      <c r="D897" t="s">
        <v>2436</v>
      </c>
      <c r="E897" t="s">
        <v>2580</v>
      </c>
      <c r="F897" t="s">
        <v>2580</v>
      </c>
      <c r="G897" s="8">
        <v>24050</v>
      </c>
      <c r="H897" s="8">
        <f>+IF(BDAlquilerDepartamentos[[#This Row],[Ciudad]]="Lima",BDAlquilerDepartamentos[[#This Row],[Prec. Soles]]*0.1,BDAlquilerDepartamentos[[#This Row],[Prec. Soles]]*0.05)</f>
        <v>2405</v>
      </c>
      <c r="I897" s="4">
        <v>5</v>
      </c>
      <c r="J897" s="4">
        <v>5</v>
      </c>
      <c r="K897" s="4" t="s">
        <v>3096</v>
      </c>
      <c r="L897" s="4" t="s">
        <v>3096</v>
      </c>
      <c r="M897" s="4">
        <v>500</v>
      </c>
      <c r="N897" s="4">
        <v>2011</v>
      </c>
      <c r="O897" s="4" t="str">
        <f>+IF(BDAlquilerDepartamentos[[#This Row],[Prec. Soles]]&gt;2500,"Caro","Economico")</f>
        <v>Caro</v>
      </c>
      <c r="P897" s="4" t="str">
        <f>+IF(AND(BDAlquilerDepartamentos[[#This Row],[N° de Dorm.]]&gt; 3,BDAlquilerDepartamentos[[#This Row],[Prec. Soles]]&lt;= 2500),"Buena Oferta", "Precio Estadar")</f>
        <v>Precio Estadar</v>
      </c>
      <c r="Q897" t="s">
        <v>1101</v>
      </c>
      <c r="R897" t="s">
        <v>1102</v>
      </c>
      <c r="S897" s="11">
        <v>45507</v>
      </c>
      <c r="T897" t="s">
        <v>3075</v>
      </c>
      <c r="U897" t="s">
        <v>2372</v>
      </c>
    </row>
    <row r="898" spans="2:21" x14ac:dyDescent="0.3">
      <c r="B898" t="s">
        <v>1637</v>
      </c>
      <c r="C898" t="s">
        <v>2609</v>
      </c>
      <c r="D898" t="s">
        <v>2428</v>
      </c>
      <c r="E898" t="s">
        <v>2580</v>
      </c>
      <c r="F898" t="s">
        <v>2580</v>
      </c>
      <c r="G898" s="8">
        <v>2000</v>
      </c>
      <c r="H898" s="8">
        <f>+IF(BDAlquilerDepartamentos[[#This Row],[Ciudad]]="Lima",BDAlquilerDepartamentos[[#This Row],[Prec. Soles]]*0.1,BDAlquilerDepartamentos[[#This Row],[Prec. Soles]]*0.05)</f>
        <v>200</v>
      </c>
      <c r="I898" s="4">
        <v>1</v>
      </c>
      <c r="J898" s="4">
        <v>1</v>
      </c>
      <c r="K898" s="4" t="s">
        <v>3096</v>
      </c>
      <c r="L898" s="4" t="s">
        <v>3096</v>
      </c>
      <c r="M898" s="4">
        <v>65</v>
      </c>
      <c r="N898" s="4">
        <v>2014</v>
      </c>
      <c r="O898" s="4" t="str">
        <f>+IF(BDAlquilerDepartamentos[[#This Row],[Prec. Soles]]&gt;2500,"Caro","Economico")</f>
        <v>Economico</v>
      </c>
      <c r="P898" s="4" t="str">
        <f>+IF(AND(BDAlquilerDepartamentos[[#This Row],[N° de Dorm.]]&gt; 3,BDAlquilerDepartamentos[[#This Row],[Prec. Soles]]&lt;= 2500),"Buena Oferta", "Precio Estadar")</f>
        <v>Precio Estadar</v>
      </c>
      <c r="Q898" t="s">
        <v>1101</v>
      </c>
      <c r="R898" t="s">
        <v>1102</v>
      </c>
      <c r="S898" s="11">
        <v>45151</v>
      </c>
      <c r="T898" t="s">
        <v>2819</v>
      </c>
      <c r="U898" t="s">
        <v>2373</v>
      </c>
    </row>
    <row r="899" spans="2:21" x14ac:dyDescent="0.3">
      <c r="B899" t="s">
        <v>1169</v>
      </c>
      <c r="C899" t="s">
        <v>2455</v>
      </c>
      <c r="D899" t="s">
        <v>2436</v>
      </c>
      <c r="E899" t="s">
        <v>2580</v>
      </c>
      <c r="F899" t="s">
        <v>2580</v>
      </c>
      <c r="G899" s="8">
        <v>2775</v>
      </c>
      <c r="H899" s="8">
        <f>+IF(BDAlquilerDepartamentos[[#This Row],[Ciudad]]="Lima",BDAlquilerDepartamentos[[#This Row],[Prec. Soles]]*0.1,BDAlquilerDepartamentos[[#This Row],[Prec. Soles]]*0.05)</f>
        <v>277.5</v>
      </c>
      <c r="I899" s="4">
        <v>1</v>
      </c>
      <c r="J899" s="4">
        <v>1</v>
      </c>
      <c r="K899" s="4" t="s">
        <v>3095</v>
      </c>
      <c r="L899" s="4" t="s">
        <v>3095</v>
      </c>
      <c r="M899" s="4">
        <v>48</v>
      </c>
      <c r="N899" s="4">
        <v>2011</v>
      </c>
      <c r="O899" s="4" t="str">
        <f>+IF(BDAlquilerDepartamentos[[#This Row],[Prec. Soles]]&gt;2500,"Caro","Economico")</f>
        <v>Caro</v>
      </c>
      <c r="P899" s="4" t="str">
        <f>+IF(AND(BDAlquilerDepartamentos[[#This Row],[N° de Dorm.]]&gt; 3,BDAlquilerDepartamentos[[#This Row],[Prec. Soles]]&lt;= 2500),"Buena Oferta", "Precio Estadar")</f>
        <v>Precio Estadar</v>
      </c>
      <c r="Q899" t="s">
        <v>1101</v>
      </c>
      <c r="R899" t="s">
        <v>1102</v>
      </c>
      <c r="S899" s="11">
        <v>45531</v>
      </c>
      <c r="T899" t="s">
        <v>3075</v>
      </c>
      <c r="U899" t="s">
        <v>2374</v>
      </c>
    </row>
    <row r="900" spans="2:21" x14ac:dyDescent="0.3">
      <c r="B900" t="s">
        <v>1191</v>
      </c>
      <c r="C900" t="s">
        <v>2466</v>
      </c>
      <c r="D900" t="s">
        <v>2428</v>
      </c>
      <c r="E900" t="s">
        <v>2580</v>
      </c>
      <c r="F900" t="s">
        <v>2580</v>
      </c>
      <c r="G900" s="8">
        <v>2109</v>
      </c>
      <c r="H900" s="8">
        <f>+IF(BDAlquilerDepartamentos[[#This Row],[Ciudad]]="Lima",BDAlquilerDepartamentos[[#This Row],[Prec. Soles]]*0.1,BDAlquilerDepartamentos[[#This Row],[Prec. Soles]]*0.05)</f>
        <v>210.9</v>
      </c>
      <c r="I900" s="4">
        <v>1</v>
      </c>
      <c r="J900" s="4">
        <v>1</v>
      </c>
      <c r="K900" s="4" t="s">
        <v>3096</v>
      </c>
      <c r="L900" s="4" t="s">
        <v>3096</v>
      </c>
      <c r="M900" s="4">
        <v>60</v>
      </c>
      <c r="N900" s="4">
        <v>2007</v>
      </c>
      <c r="O900" s="4" t="str">
        <f>+IF(BDAlquilerDepartamentos[[#This Row],[Prec. Soles]]&gt;2500,"Caro","Economico")</f>
        <v>Economico</v>
      </c>
      <c r="P900" s="4" t="str">
        <f>+IF(AND(BDAlquilerDepartamentos[[#This Row],[N° de Dorm.]]&gt; 3,BDAlquilerDepartamentos[[#This Row],[Prec. Soles]]&lt;= 2500),"Buena Oferta", "Precio Estadar")</f>
        <v>Precio Estadar</v>
      </c>
      <c r="Q900" t="s">
        <v>1101</v>
      </c>
      <c r="R900" t="s">
        <v>1102</v>
      </c>
      <c r="S900" s="11">
        <v>45026</v>
      </c>
      <c r="T900" t="s">
        <v>3076</v>
      </c>
      <c r="U900" t="s">
        <v>2375</v>
      </c>
    </row>
    <row r="901" spans="2:21" x14ac:dyDescent="0.3">
      <c r="B901" t="s">
        <v>1476</v>
      </c>
      <c r="C901" t="s">
        <v>2570</v>
      </c>
      <c r="D901" t="s">
        <v>2444</v>
      </c>
      <c r="E901" t="s">
        <v>2580</v>
      </c>
      <c r="F901" t="s">
        <v>2580</v>
      </c>
      <c r="G901" s="8">
        <v>3663</v>
      </c>
      <c r="H901" s="8">
        <f>+IF(BDAlquilerDepartamentos[[#This Row],[Ciudad]]="Lima",BDAlquilerDepartamentos[[#This Row],[Prec. Soles]]*0.1,BDAlquilerDepartamentos[[#This Row],[Prec. Soles]]*0.05)</f>
        <v>366.3</v>
      </c>
      <c r="I901" s="4">
        <v>3</v>
      </c>
      <c r="J901" s="4">
        <v>4</v>
      </c>
      <c r="K901" s="4" t="s">
        <v>3096</v>
      </c>
      <c r="L901" s="4" t="s">
        <v>3095</v>
      </c>
      <c r="M901" s="4">
        <v>220</v>
      </c>
      <c r="N901" s="4">
        <v>2015</v>
      </c>
      <c r="O901" s="4" t="str">
        <f>+IF(BDAlquilerDepartamentos[[#This Row],[Prec. Soles]]&gt;2500,"Caro","Economico")</f>
        <v>Caro</v>
      </c>
      <c r="P901" s="4" t="str">
        <f>+IF(AND(BDAlquilerDepartamentos[[#This Row],[N° de Dorm.]]&gt; 3,BDAlquilerDepartamentos[[#This Row],[Prec. Soles]]&lt;= 2500),"Buena Oferta", "Precio Estadar")</f>
        <v>Precio Estadar</v>
      </c>
      <c r="Q901" t="s">
        <v>1101</v>
      </c>
      <c r="R901" t="s">
        <v>1102</v>
      </c>
      <c r="S901" s="11">
        <v>45220</v>
      </c>
      <c r="T901" t="s">
        <v>2897</v>
      </c>
      <c r="U901" t="s">
        <v>2376</v>
      </c>
    </row>
    <row r="902" spans="2:21" x14ac:dyDescent="0.3">
      <c r="B902" t="s">
        <v>3102</v>
      </c>
      <c r="C902" t="s">
        <v>2580</v>
      </c>
      <c r="D902" t="s">
        <v>2580</v>
      </c>
      <c r="E902" t="s">
        <v>2580</v>
      </c>
      <c r="F902" t="s">
        <v>2580</v>
      </c>
      <c r="G902" s="8">
        <v>2775</v>
      </c>
      <c r="H902" s="8">
        <f>+IF(BDAlquilerDepartamentos[[#This Row],[Ciudad]]="Lima",BDAlquilerDepartamentos[[#This Row],[Prec. Soles]]*0.1,BDAlquilerDepartamentos[[#This Row],[Prec. Soles]]*0.05)</f>
        <v>277.5</v>
      </c>
      <c r="I902" s="4">
        <v>2</v>
      </c>
      <c r="J902" s="4">
        <v>1</v>
      </c>
      <c r="K902" s="4" t="s">
        <v>3096</v>
      </c>
      <c r="L902" s="4" t="s">
        <v>3096</v>
      </c>
      <c r="M902" s="4">
        <v>110</v>
      </c>
      <c r="N902" s="4">
        <v>2007</v>
      </c>
      <c r="O902" s="4" t="str">
        <f>+IF(BDAlquilerDepartamentos[[#This Row],[Prec. Soles]]&gt;2500,"Caro","Economico")</f>
        <v>Caro</v>
      </c>
      <c r="P902" s="4" t="str">
        <f>+IF(AND(BDAlquilerDepartamentos[[#This Row],[N° de Dorm.]]&gt; 3,BDAlquilerDepartamentos[[#This Row],[Prec. Soles]]&lt;= 2500),"Buena Oferta", "Precio Estadar")</f>
        <v>Precio Estadar</v>
      </c>
      <c r="Q902" t="s">
        <v>1101</v>
      </c>
      <c r="R902" t="s">
        <v>1102</v>
      </c>
      <c r="S902" s="11">
        <v>45109</v>
      </c>
      <c r="T902" t="s">
        <v>2843</v>
      </c>
      <c r="U902" t="s">
        <v>2377</v>
      </c>
    </row>
    <row r="903" spans="2:21" x14ac:dyDescent="0.3">
      <c r="B903" t="s">
        <v>2378</v>
      </c>
      <c r="C903" t="s">
        <v>2787</v>
      </c>
      <c r="D903" t="s">
        <v>2499</v>
      </c>
      <c r="E903" t="s">
        <v>2580</v>
      </c>
      <c r="F903" t="s">
        <v>2580</v>
      </c>
      <c r="G903" s="8">
        <v>37000</v>
      </c>
      <c r="H903" s="8">
        <f>+IF(BDAlquilerDepartamentos[[#This Row],[Ciudad]]="Lima",BDAlquilerDepartamentos[[#This Row],[Prec. Soles]]*0.1,BDAlquilerDepartamentos[[#This Row],[Prec. Soles]]*0.05)</f>
        <v>3700</v>
      </c>
      <c r="I903" s="4">
        <v>5</v>
      </c>
      <c r="J903" s="4">
        <v>5</v>
      </c>
      <c r="K903" s="4" t="s">
        <v>3095</v>
      </c>
      <c r="L903" s="4" t="s">
        <v>3096</v>
      </c>
      <c r="M903" s="4">
        <v>350</v>
      </c>
      <c r="N903" s="4">
        <v>2005</v>
      </c>
      <c r="O903" s="4" t="str">
        <f>+IF(BDAlquilerDepartamentos[[#This Row],[Prec. Soles]]&gt;2500,"Caro","Economico")</f>
        <v>Caro</v>
      </c>
      <c r="P903" s="4" t="str">
        <f>+IF(AND(BDAlquilerDepartamentos[[#This Row],[N° de Dorm.]]&gt; 3,BDAlquilerDepartamentos[[#This Row],[Prec. Soles]]&lt;= 2500),"Buena Oferta", "Precio Estadar")</f>
        <v>Precio Estadar</v>
      </c>
      <c r="Q903" t="s">
        <v>1101</v>
      </c>
      <c r="R903" t="s">
        <v>1102</v>
      </c>
      <c r="S903" s="11">
        <v>45293</v>
      </c>
      <c r="T903" t="s">
        <v>3075</v>
      </c>
      <c r="U903" t="s">
        <v>2379</v>
      </c>
    </row>
    <row r="904" spans="2:21" x14ac:dyDescent="0.3">
      <c r="B904" t="s">
        <v>2380</v>
      </c>
      <c r="C904" t="s">
        <v>2588</v>
      </c>
      <c r="D904" t="s">
        <v>2580</v>
      </c>
      <c r="E904" t="s">
        <v>2580</v>
      </c>
      <c r="F904" t="s">
        <v>2580</v>
      </c>
      <c r="G904" s="8">
        <v>6660</v>
      </c>
      <c r="H904" s="8">
        <f>+IF(BDAlquilerDepartamentos[[#This Row],[Ciudad]]="Lima",BDAlquilerDepartamentos[[#This Row],[Prec. Soles]]*0.1,BDAlquilerDepartamentos[[#This Row],[Prec. Soles]]*0.05)</f>
        <v>666</v>
      </c>
      <c r="I904" s="4">
        <v>3</v>
      </c>
      <c r="J904" s="4">
        <v>3</v>
      </c>
      <c r="K904" s="4" t="s">
        <v>3095</v>
      </c>
      <c r="L904" s="4" t="s">
        <v>3096</v>
      </c>
      <c r="M904" s="4">
        <v>88</v>
      </c>
      <c r="N904" s="4">
        <v>2006</v>
      </c>
      <c r="O904" s="4" t="str">
        <f>+IF(BDAlquilerDepartamentos[[#This Row],[Prec. Soles]]&gt;2500,"Caro","Economico")</f>
        <v>Caro</v>
      </c>
      <c r="P904" s="4" t="str">
        <f>+IF(AND(BDAlquilerDepartamentos[[#This Row],[N° de Dorm.]]&gt; 3,BDAlquilerDepartamentos[[#This Row],[Prec. Soles]]&lt;= 2500),"Buena Oferta", "Precio Estadar")</f>
        <v>Precio Estadar</v>
      </c>
      <c r="Q904" t="s">
        <v>1101</v>
      </c>
      <c r="R904" t="s">
        <v>1102</v>
      </c>
      <c r="S904" s="11">
        <v>44942</v>
      </c>
      <c r="T904" t="s">
        <v>3077</v>
      </c>
      <c r="U904" t="s">
        <v>2381</v>
      </c>
    </row>
    <row r="905" spans="2:21" x14ac:dyDescent="0.3">
      <c r="B905" t="s">
        <v>1100</v>
      </c>
      <c r="C905" t="s">
        <v>2415</v>
      </c>
      <c r="D905" t="s">
        <v>2436</v>
      </c>
      <c r="E905" t="s">
        <v>2580</v>
      </c>
      <c r="F905" t="s">
        <v>2580</v>
      </c>
      <c r="G905" s="8">
        <v>6290</v>
      </c>
      <c r="H905" s="8">
        <f>+IF(BDAlquilerDepartamentos[[#This Row],[Ciudad]]="Lima",BDAlquilerDepartamentos[[#This Row],[Prec. Soles]]*0.1,BDAlquilerDepartamentos[[#This Row],[Prec. Soles]]*0.05)</f>
        <v>629</v>
      </c>
      <c r="I905" s="4">
        <v>2</v>
      </c>
      <c r="J905" s="4">
        <v>2</v>
      </c>
      <c r="K905" s="4" t="s">
        <v>3096</v>
      </c>
      <c r="L905" s="4" t="s">
        <v>3095</v>
      </c>
      <c r="M905" s="4">
        <v>172</v>
      </c>
      <c r="N905" s="4">
        <v>2012</v>
      </c>
      <c r="O905" s="4" t="str">
        <f>+IF(BDAlquilerDepartamentos[[#This Row],[Prec. Soles]]&gt;2500,"Caro","Economico")</f>
        <v>Caro</v>
      </c>
      <c r="P905" s="4" t="str">
        <f>+IF(AND(BDAlquilerDepartamentos[[#This Row],[N° de Dorm.]]&gt; 3,BDAlquilerDepartamentos[[#This Row],[Prec. Soles]]&lt;= 2500),"Buena Oferta", "Precio Estadar")</f>
        <v>Precio Estadar</v>
      </c>
      <c r="Q905" t="s">
        <v>1101</v>
      </c>
      <c r="R905" t="s">
        <v>1102</v>
      </c>
      <c r="S905" s="11">
        <v>45368</v>
      </c>
      <c r="T905" t="s">
        <v>3078</v>
      </c>
      <c r="U905" t="s">
        <v>2382</v>
      </c>
    </row>
    <row r="906" spans="2:21" x14ac:dyDescent="0.3">
      <c r="B906" t="s">
        <v>2383</v>
      </c>
      <c r="C906" t="s">
        <v>2787</v>
      </c>
      <c r="D906" t="s">
        <v>2499</v>
      </c>
      <c r="E906" t="s">
        <v>2580</v>
      </c>
      <c r="F906" t="s">
        <v>2580</v>
      </c>
      <c r="G906" s="8">
        <v>25900</v>
      </c>
      <c r="H906" s="8">
        <f>+IF(BDAlquilerDepartamentos[[#This Row],[Ciudad]]="Lima",BDAlquilerDepartamentos[[#This Row],[Prec. Soles]]*0.1,BDAlquilerDepartamentos[[#This Row],[Prec. Soles]]*0.05)</f>
        <v>2590</v>
      </c>
      <c r="I906" s="4">
        <v>4</v>
      </c>
      <c r="J906" s="4">
        <v>4</v>
      </c>
      <c r="K906" s="4" t="s">
        <v>3095</v>
      </c>
      <c r="L906" s="4" t="s">
        <v>3095</v>
      </c>
      <c r="M906" s="4">
        <v>263</v>
      </c>
      <c r="N906" s="4">
        <v>2013</v>
      </c>
      <c r="O906" s="4" t="str">
        <f>+IF(BDAlquilerDepartamentos[[#This Row],[Prec. Soles]]&gt;2500,"Caro","Economico")</f>
        <v>Caro</v>
      </c>
      <c r="P906" s="4" t="str">
        <f>+IF(AND(BDAlquilerDepartamentos[[#This Row],[N° de Dorm.]]&gt; 3,BDAlquilerDepartamentos[[#This Row],[Prec. Soles]]&lt;= 2500),"Buena Oferta", "Precio Estadar")</f>
        <v>Precio Estadar</v>
      </c>
      <c r="Q906" t="s">
        <v>1113</v>
      </c>
      <c r="R906" t="s">
        <v>1102</v>
      </c>
      <c r="S906" s="11">
        <v>45169</v>
      </c>
      <c r="T906" t="s">
        <v>2877</v>
      </c>
      <c r="U906" t="s">
        <v>2384</v>
      </c>
    </row>
    <row r="907" spans="2:21" x14ac:dyDescent="0.3">
      <c r="B907" t="s">
        <v>1210</v>
      </c>
      <c r="C907" t="s">
        <v>2476</v>
      </c>
      <c r="D907" t="s">
        <v>2436</v>
      </c>
      <c r="E907" t="s">
        <v>2580</v>
      </c>
      <c r="F907" t="s">
        <v>2580</v>
      </c>
      <c r="G907" s="8">
        <v>3885</v>
      </c>
      <c r="H907" s="8">
        <f>+IF(BDAlquilerDepartamentos[[#This Row],[Ciudad]]="Lima",BDAlquilerDepartamentos[[#This Row],[Prec. Soles]]*0.1,BDAlquilerDepartamentos[[#This Row],[Prec. Soles]]*0.05)</f>
        <v>388.5</v>
      </c>
      <c r="I907" s="4">
        <v>1</v>
      </c>
      <c r="J907" s="4">
        <v>15</v>
      </c>
      <c r="K907" s="4" t="s">
        <v>3096</v>
      </c>
      <c r="L907" s="4" t="s">
        <v>3096</v>
      </c>
      <c r="M907" s="4">
        <v>90</v>
      </c>
      <c r="N907" s="4">
        <v>2005</v>
      </c>
      <c r="O907" s="4" t="str">
        <f>+IF(BDAlquilerDepartamentos[[#This Row],[Prec. Soles]]&gt;2500,"Caro","Economico")</f>
        <v>Caro</v>
      </c>
      <c r="P907" s="4" t="str">
        <f>+IF(AND(BDAlquilerDepartamentos[[#This Row],[N° de Dorm.]]&gt; 3,BDAlquilerDepartamentos[[#This Row],[Prec. Soles]]&lt;= 2500),"Buena Oferta", "Precio Estadar")</f>
        <v>Precio Estadar</v>
      </c>
      <c r="Q907" t="s">
        <v>1101</v>
      </c>
      <c r="R907" t="s">
        <v>1102</v>
      </c>
      <c r="S907" s="11">
        <v>45001</v>
      </c>
      <c r="T907" t="s">
        <v>3078</v>
      </c>
      <c r="U907" t="s">
        <v>2385</v>
      </c>
    </row>
    <row r="908" spans="2:21" x14ac:dyDescent="0.3">
      <c r="B908" t="s">
        <v>1903</v>
      </c>
      <c r="C908" t="s">
        <v>2684</v>
      </c>
      <c r="D908" t="s">
        <v>2580</v>
      </c>
      <c r="E908" t="s">
        <v>2580</v>
      </c>
      <c r="F908" t="s">
        <v>2580</v>
      </c>
      <c r="G908" s="8">
        <v>9560.8000000000011</v>
      </c>
      <c r="H908" s="8">
        <f>+IF(BDAlquilerDepartamentos[[#This Row],[Ciudad]]="Lima",BDAlquilerDepartamentos[[#This Row],[Prec. Soles]]*0.1,BDAlquilerDepartamentos[[#This Row],[Prec. Soles]]*0.05)</f>
        <v>956.08000000000015</v>
      </c>
      <c r="I908" s="4">
        <v>4</v>
      </c>
      <c r="J908" s="4">
        <v>4</v>
      </c>
      <c r="K908" s="4" t="s">
        <v>3096</v>
      </c>
      <c r="L908" s="4" t="s">
        <v>3096</v>
      </c>
      <c r="M908" s="4">
        <v>428</v>
      </c>
      <c r="N908" s="4">
        <v>2012</v>
      </c>
      <c r="O908" s="4" t="str">
        <f>+IF(BDAlquilerDepartamentos[[#This Row],[Prec. Soles]]&gt;2500,"Caro","Economico")</f>
        <v>Caro</v>
      </c>
      <c r="P908" s="4" t="str">
        <f>+IF(AND(BDAlquilerDepartamentos[[#This Row],[N° de Dorm.]]&gt; 3,BDAlquilerDepartamentos[[#This Row],[Prec. Soles]]&lt;= 2500),"Buena Oferta", "Precio Estadar")</f>
        <v>Precio Estadar</v>
      </c>
      <c r="Q908" t="s">
        <v>1101</v>
      </c>
      <c r="R908" t="s">
        <v>1102</v>
      </c>
      <c r="S908" s="11">
        <v>45326</v>
      </c>
      <c r="T908" t="s">
        <v>3115</v>
      </c>
      <c r="U908" t="s">
        <v>2386</v>
      </c>
    </row>
    <row r="909" spans="2:21" x14ac:dyDescent="0.3">
      <c r="B909" t="s">
        <v>1100</v>
      </c>
      <c r="C909" t="s">
        <v>2415</v>
      </c>
      <c r="D909" t="s">
        <v>2436</v>
      </c>
      <c r="E909" t="s">
        <v>2580</v>
      </c>
      <c r="F909" t="s">
        <v>2580</v>
      </c>
      <c r="G909" s="8">
        <v>4995</v>
      </c>
      <c r="H909" s="8">
        <f>+IF(BDAlquilerDepartamentos[[#This Row],[Ciudad]]="Lima",BDAlquilerDepartamentos[[#This Row],[Prec. Soles]]*0.1,BDAlquilerDepartamentos[[#This Row],[Prec. Soles]]*0.05)</f>
        <v>499.5</v>
      </c>
      <c r="I909" s="4">
        <v>2</v>
      </c>
      <c r="J909" s="4">
        <v>2</v>
      </c>
      <c r="K909" s="4" t="s">
        <v>3095</v>
      </c>
      <c r="L909" s="4" t="s">
        <v>3096</v>
      </c>
      <c r="M909" s="4">
        <v>105</v>
      </c>
      <c r="N909" s="4">
        <v>2010</v>
      </c>
      <c r="O909" s="4" t="str">
        <f>+IF(BDAlquilerDepartamentos[[#This Row],[Prec. Soles]]&gt;2500,"Caro","Economico")</f>
        <v>Caro</v>
      </c>
      <c r="P909" s="4" t="str">
        <f>+IF(AND(BDAlquilerDepartamentos[[#This Row],[N° de Dorm.]]&gt; 3,BDAlquilerDepartamentos[[#This Row],[Prec. Soles]]&lt;= 2500),"Buena Oferta", "Precio Estadar")</f>
        <v>Precio Estadar</v>
      </c>
      <c r="Q909" t="s">
        <v>1101</v>
      </c>
      <c r="R909" t="s">
        <v>1102</v>
      </c>
      <c r="S909" s="11">
        <v>45400</v>
      </c>
      <c r="T909" t="s">
        <v>2982</v>
      </c>
      <c r="U909" t="s">
        <v>2387</v>
      </c>
    </row>
    <row r="910" spans="2:21" x14ac:dyDescent="0.3">
      <c r="B910" t="s">
        <v>3124</v>
      </c>
      <c r="C910" t="s">
        <v>3125</v>
      </c>
      <c r="D910" t="s">
        <v>3121</v>
      </c>
      <c r="E910" t="s">
        <v>2580</v>
      </c>
      <c r="F910" t="s">
        <v>2580</v>
      </c>
      <c r="G910" s="8">
        <v>2886</v>
      </c>
      <c r="H910" s="8">
        <f>+IF(BDAlquilerDepartamentos[[#This Row],[Ciudad]]="Lima",BDAlquilerDepartamentos[[#This Row],[Prec. Soles]]*0.1,BDAlquilerDepartamentos[[#This Row],[Prec. Soles]]*0.05)</f>
        <v>288.60000000000002</v>
      </c>
      <c r="I910" s="4">
        <v>2</v>
      </c>
      <c r="J910" s="4">
        <v>1</v>
      </c>
      <c r="K910" s="4" t="s">
        <v>3096</v>
      </c>
      <c r="L910" s="4" t="s">
        <v>3095</v>
      </c>
      <c r="M910" s="4">
        <v>86</v>
      </c>
      <c r="N910" s="4">
        <v>2003</v>
      </c>
      <c r="O910" s="4" t="str">
        <f>+IF(BDAlquilerDepartamentos[[#This Row],[Prec. Soles]]&gt;2500,"Caro","Economico")</f>
        <v>Caro</v>
      </c>
      <c r="P910" s="4" t="str">
        <f>+IF(AND(BDAlquilerDepartamentos[[#This Row],[N° de Dorm.]]&gt; 3,BDAlquilerDepartamentos[[#This Row],[Prec. Soles]]&lt;= 2500),"Buena Oferta", "Precio Estadar")</f>
        <v>Precio Estadar</v>
      </c>
      <c r="Q910" t="s">
        <v>1101</v>
      </c>
      <c r="R910" t="s">
        <v>1102</v>
      </c>
      <c r="S910" s="11">
        <v>45641</v>
      </c>
      <c r="T910" t="s">
        <v>3079</v>
      </c>
      <c r="U910" t="s">
        <v>2388</v>
      </c>
    </row>
    <row r="911" spans="2:21" x14ac:dyDescent="0.3">
      <c r="B911" t="s">
        <v>1210</v>
      </c>
      <c r="C911" t="s">
        <v>2476</v>
      </c>
      <c r="D911" t="s">
        <v>2436</v>
      </c>
      <c r="E911" t="s">
        <v>2580</v>
      </c>
      <c r="F911" t="s">
        <v>2580</v>
      </c>
      <c r="G911" s="8">
        <v>3515</v>
      </c>
      <c r="H911" s="8">
        <f>+IF(BDAlquilerDepartamentos[[#This Row],[Ciudad]]="Lima",BDAlquilerDepartamentos[[#This Row],[Prec. Soles]]*0.1,BDAlquilerDepartamentos[[#This Row],[Prec. Soles]]*0.05)</f>
        <v>351.5</v>
      </c>
      <c r="I911" s="4">
        <v>2</v>
      </c>
      <c r="J911" s="4">
        <v>3</v>
      </c>
      <c r="K911" s="4" t="s">
        <v>3095</v>
      </c>
      <c r="L911" s="4" t="s">
        <v>3096</v>
      </c>
      <c r="M911" s="4">
        <v>100</v>
      </c>
      <c r="N911" s="4">
        <v>2013</v>
      </c>
      <c r="O911" s="4" t="str">
        <f>+IF(BDAlquilerDepartamentos[[#This Row],[Prec. Soles]]&gt;2500,"Caro","Economico")</f>
        <v>Caro</v>
      </c>
      <c r="P911" s="4" t="str">
        <f>+IF(AND(BDAlquilerDepartamentos[[#This Row],[N° de Dorm.]]&gt; 3,BDAlquilerDepartamentos[[#This Row],[Prec. Soles]]&lt;= 2500),"Buena Oferta", "Precio Estadar")</f>
        <v>Precio Estadar</v>
      </c>
      <c r="Q911" t="s">
        <v>1101</v>
      </c>
      <c r="R911" t="s">
        <v>1102</v>
      </c>
      <c r="S911" s="11">
        <v>45358</v>
      </c>
      <c r="T911" t="s">
        <v>3080</v>
      </c>
      <c r="U911" t="s">
        <v>2389</v>
      </c>
    </row>
    <row r="912" spans="2:21" x14ac:dyDescent="0.3">
      <c r="B912" t="s">
        <v>1255</v>
      </c>
      <c r="C912" t="s">
        <v>2492</v>
      </c>
      <c r="D912" t="s">
        <v>2422</v>
      </c>
      <c r="E912" t="s">
        <v>2580</v>
      </c>
      <c r="F912" t="s">
        <v>2580</v>
      </c>
      <c r="G912" s="8">
        <v>3515</v>
      </c>
      <c r="H912" s="8">
        <f>+IF(BDAlquilerDepartamentos[[#This Row],[Ciudad]]="Lima",BDAlquilerDepartamentos[[#This Row],[Prec. Soles]]*0.1,BDAlquilerDepartamentos[[#This Row],[Prec. Soles]]*0.05)</f>
        <v>351.5</v>
      </c>
      <c r="I912" s="4">
        <v>1</v>
      </c>
      <c r="J912" s="4">
        <v>1</v>
      </c>
      <c r="K912" s="4" t="s">
        <v>3095</v>
      </c>
      <c r="L912" s="4" t="s">
        <v>3095</v>
      </c>
      <c r="M912" s="4">
        <v>67</v>
      </c>
      <c r="N912" s="4">
        <v>2010</v>
      </c>
      <c r="O912" s="4" t="str">
        <f>+IF(BDAlquilerDepartamentos[[#This Row],[Prec. Soles]]&gt;2500,"Caro","Economico")</f>
        <v>Caro</v>
      </c>
      <c r="P912" s="4" t="str">
        <f>+IF(AND(BDAlquilerDepartamentos[[#This Row],[N° de Dorm.]]&gt; 3,BDAlquilerDepartamentos[[#This Row],[Prec. Soles]]&lt;= 2500),"Buena Oferta", "Precio Estadar")</f>
        <v>Precio Estadar</v>
      </c>
      <c r="Q912" t="s">
        <v>1101</v>
      </c>
      <c r="R912" t="s">
        <v>1102</v>
      </c>
      <c r="S912" s="11">
        <v>45380</v>
      </c>
      <c r="T912" t="s">
        <v>3043</v>
      </c>
      <c r="U912" t="s">
        <v>2390</v>
      </c>
    </row>
    <row r="913" spans="2:21" x14ac:dyDescent="0.3">
      <c r="B913" t="s">
        <v>2391</v>
      </c>
      <c r="C913" t="s">
        <v>2788</v>
      </c>
      <c r="D913" t="s">
        <v>2580</v>
      </c>
      <c r="E913" t="s">
        <v>2580</v>
      </c>
      <c r="F913" t="s">
        <v>2580</v>
      </c>
      <c r="G913" s="8">
        <v>14800</v>
      </c>
      <c r="H913" s="8">
        <f>+IF(BDAlquilerDepartamentos[[#This Row],[Ciudad]]="Lima",BDAlquilerDepartamentos[[#This Row],[Prec. Soles]]*0.1,BDAlquilerDepartamentos[[#This Row],[Prec. Soles]]*0.05)</f>
        <v>1480</v>
      </c>
      <c r="I913" s="4">
        <v>5</v>
      </c>
      <c r="J913" s="4">
        <v>5</v>
      </c>
      <c r="K913" s="4" t="s">
        <v>3095</v>
      </c>
      <c r="L913" s="4" t="s">
        <v>3095</v>
      </c>
      <c r="M913" s="17">
        <v>1500</v>
      </c>
      <c r="N913" s="4">
        <v>2006</v>
      </c>
      <c r="O913" s="4" t="str">
        <f>+IF(BDAlquilerDepartamentos[[#This Row],[Prec. Soles]]&gt;2500,"Caro","Economico")</f>
        <v>Caro</v>
      </c>
      <c r="P913" s="4" t="str">
        <f>+IF(AND(BDAlquilerDepartamentos[[#This Row],[N° de Dorm.]]&gt; 3,BDAlquilerDepartamentos[[#This Row],[Prec. Soles]]&lt;= 2500),"Buena Oferta", "Precio Estadar")</f>
        <v>Precio Estadar</v>
      </c>
      <c r="Q913" t="s">
        <v>1113</v>
      </c>
      <c r="R913" t="s">
        <v>1102</v>
      </c>
      <c r="S913" s="11">
        <v>45505</v>
      </c>
      <c r="T913" t="s">
        <v>3006</v>
      </c>
      <c r="U913" t="s">
        <v>2392</v>
      </c>
    </row>
    <row r="914" spans="2:21" x14ac:dyDescent="0.3">
      <c r="B914" t="s">
        <v>1189</v>
      </c>
      <c r="C914" t="s">
        <v>2465</v>
      </c>
      <c r="D914" t="s">
        <v>2418</v>
      </c>
      <c r="E914" t="s">
        <v>2580</v>
      </c>
      <c r="F914" t="s">
        <v>2580</v>
      </c>
      <c r="G914" s="8">
        <v>2590</v>
      </c>
      <c r="H914" s="8">
        <f>+IF(BDAlquilerDepartamentos[[#This Row],[Ciudad]]="Lima",BDAlquilerDepartamentos[[#This Row],[Prec. Soles]]*0.1,BDAlquilerDepartamentos[[#This Row],[Prec. Soles]]*0.05)</f>
        <v>259</v>
      </c>
      <c r="I914" s="4">
        <v>1</v>
      </c>
      <c r="J914" s="4">
        <v>1</v>
      </c>
      <c r="K914" s="4" t="s">
        <v>3095</v>
      </c>
      <c r="L914" s="4" t="s">
        <v>3095</v>
      </c>
      <c r="M914" s="4">
        <v>50</v>
      </c>
      <c r="N914" s="4">
        <v>2009</v>
      </c>
      <c r="O914" s="4" t="str">
        <f>+IF(BDAlquilerDepartamentos[[#This Row],[Prec. Soles]]&gt;2500,"Caro","Economico")</f>
        <v>Caro</v>
      </c>
      <c r="P914" s="4" t="str">
        <f>+IF(AND(BDAlquilerDepartamentos[[#This Row],[N° de Dorm.]]&gt; 3,BDAlquilerDepartamentos[[#This Row],[Prec. Soles]]&lt;= 2500),"Buena Oferta", "Precio Estadar")</f>
        <v>Precio Estadar</v>
      </c>
      <c r="Q914" t="s">
        <v>1101</v>
      </c>
      <c r="R914" t="s">
        <v>1102</v>
      </c>
      <c r="S914" s="11">
        <v>45264</v>
      </c>
      <c r="T914" t="s">
        <v>2835</v>
      </c>
      <c r="U914" t="s">
        <v>2393</v>
      </c>
    </row>
    <row r="915" spans="2:21" x14ac:dyDescent="0.3">
      <c r="B915" t="s">
        <v>1100</v>
      </c>
      <c r="C915" t="s">
        <v>2415</v>
      </c>
      <c r="D915" t="s">
        <v>2436</v>
      </c>
      <c r="E915" t="s">
        <v>2580</v>
      </c>
      <c r="F915" t="s">
        <v>2580</v>
      </c>
      <c r="G915" s="8">
        <v>3441</v>
      </c>
      <c r="H915" s="8">
        <f>+IF(BDAlquilerDepartamentos[[#This Row],[Ciudad]]="Lima",BDAlquilerDepartamentos[[#This Row],[Prec. Soles]]*0.1,BDAlquilerDepartamentos[[#This Row],[Prec. Soles]]*0.05)</f>
        <v>344.1</v>
      </c>
      <c r="I915" s="4">
        <v>2</v>
      </c>
      <c r="J915" s="4">
        <v>2</v>
      </c>
      <c r="K915" s="4" t="s">
        <v>3096</v>
      </c>
      <c r="L915" s="4" t="s">
        <v>3095</v>
      </c>
      <c r="M915" s="4">
        <v>77</v>
      </c>
      <c r="N915" s="4">
        <v>2013</v>
      </c>
      <c r="O915" s="4" t="str">
        <f>+IF(BDAlquilerDepartamentos[[#This Row],[Prec. Soles]]&gt;2500,"Caro","Economico")</f>
        <v>Caro</v>
      </c>
      <c r="P915" s="4" t="str">
        <f>+IF(AND(BDAlquilerDepartamentos[[#This Row],[N° de Dorm.]]&gt; 3,BDAlquilerDepartamentos[[#This Row],[Prec. Soles]]&lt;= 2500),"Buena Oferta", "Precio Estadar")</f>
        <v>Precio Estadar</v>
      </c>
      <c r="Q915" t="s">
        <v>1101</v>
      </c>
      <c r="R915" t="s">
        <v>1102</v>
      </c>
      <c r="S915" s="11">
        <v>45115</v>
      </c>
      <c r="T915" t="s">
        <v>2903</v>
      </c>
      <c r="U915" t="s">
        <v>2394</v>
      </c>
    </row>
    <row r="916" spans="2:21" x14ac:dyDescent="0.3">
      <c r="B916" t="s">
        <v>2395</v>
      </c>
      <c r="C916" t="s">
        <v>2789</v>
      </c>
      <c r="D916" t="s">
        <v>2689</v>
      </c>
      <c r="E916" t="s">
        <v>2689</v>
      </c>
      <c r="F916" t="s">
        <v>2689</v>
      </c>
      <c r="G916" s="8">
        <v>8000</v>
      </c>
      <c r="H916" s="8">
        <f>+IF(BDAlquilerDepartamentos[[#This Row],[Ciudad]]="Lima",BDAlquilerDepartamentos[[#This Row],[Prec. Soles]]*0.1,BDAlquilerDepartamentos[[#This Row],[Prec. Soles]]*0.05)</f>
        <v>400</v>
      </c>
      <c r="I916" s="4">
        <v>5</v>
      </c>
      <c r="J916" s="4">
        <v>4</v>
      </c>
      <c r="K916" s="4" t="s">
        <v>3095</v>
      </c>
      <c r="L916" s="4" t="s">
        <v>3095</v>
      </c>
      <c r="M916" s="4">
        <v>320</v>
      </c>
      <c r="N916" s="4">
        <v>2011</v>
      </c>
      <c r="O916" s="4" t="str">
        <f>+IF(BDAlquilerDepartamentos[[#This Row],[Prec. Soles]]&gt;2500,"Caro","Economico")</f>
        <v>Caro</v>
      </c>
      <c r="P916" s="4" t="str">
        <f>+IF(AND(BDAlquilerDepartamentos[[#This Row],[N° de Dorm.]]&gt; 3,BDAlquilerDepartamentos[[#This Row],[Prec. Soles]]&lt;= 2500),"Buena Oferta", "Precio Estadar")</f>
        <v>Precio Estadar</v>
      </c>
      <c r="Q916" t="s">
        <v>1113</v>
      </c>
      <c r="R916" t="s">
        <v>1102</v>
      </c>
      <c r="S916" s="11">
        <v>45053</v>
      </c>
      <c r="T916" t="s">
        <v>3081</v>
      </c>
      <c r="U916" t="s">
        <v>2396</v>
      </c>
    </row>
    <row r="917" spans="2:21" x14ac:dyDescent="0.3">
      <c r="B917" t="s">
        <v>2397</v>
      </c>
      <c r="C917" t="s">
        <v>2790</v>
      </c>
      <c r="D917" t="s">
        <v>2799</v>
      </c>
      <c r="E917" t="s">
        <v>2580</v>
      </c>
      <c r="F917" t="s">
        <v>2580</v>
      </c>
      <c r="G917" s="8">
        <v>1000</v>
      </c>
      <c r="H917" s="8">
        <f>+IF(BDAlquilerDepartamentos[[#This Row],[Ciudad]]="Lima",BDAlquilerDepartamentos[[#This Row],[Prec. Soles]]*0.1,BDAlquilerDepartamentos[[#This Row],[Prec. Soles]]*0.05)</f>
        <v>100</v>
      </c>
      <c r="I917" s="4">
        <v>3</v>
      </c>
      <c r="J917" s="4">
        <v>1</v>
      </c>
      <c r="K917" s="4" t="s">
        <v>3096</v>
      </c>
      <c r="L917" s="4" t="s">
        <v>3095</v>
      </c>
      <c r="M917" s="4">
        <v>97</v>
      </c>
      <c r="N917" s="4">
        <v>2013</v>
      </c>
      <c r="O917" s="4" t="str">
        <f>+IF(BDAlquilerDepartamentos[[#This Row],[Prec. Soles]]&gt;2500,"Caro","Economico")</f>
        <v>Economico</v>
      </c>
      <c r="P917" s="4" t="str">
        <f>+IF(AND(BDAlquilerDepartamentos[[#This Row],[N° de Dorm.]]&gt; 3,BDAlquilerDepartamentos[[#This Row],[Prec. Soles]]&lt;= 2500),"Buena Oferta", "Precio Estadar")</f>
        <v>Precio Estadar</v>
      </c>
      <c r="Q917" t="s">
        <v>1101</v>
      </c>
      <c r="R917" t="s">
        <v>1102</v>
      </c>
      <c r="S917" s="11">
        <v>45632</v>
      </c>
      <c r="T917" t="s">
        <v>2816</v>
      </c>
      <c r="U917" t="s">
        <v>2398</v>
      </c>
    </row>
    <row r="918" spans="2:21" x14ac:dyDescent="0.3">
      <c r="B918" t="s">
        <v>3113</v>
      </c>
      <c r="C918" t="s">
        <v>3114</v>
      </c>
      <c r="D918" t="s">
        <v>2436</v>
      </c>
      <c r="E918" t="s">
        <v>2580</v>
      </c>
      <c r="F918" t="s">
        <v>2580</v>
      </c>
      <c r="G918" s="8">
        <v>5920</v>
      </c>
      <c r="H918" s="8">
        <f>+IF(BDAlquilerDepartamentos[[#This Row],[Ciudad]]="Lima",BDAlquilerDepartamentos[[#This Row],[Prec. Soles]]*0.1,BDAlquilerDepartamentos[[#This Row],[Prec. Soles]]*0.05)</f>
        <v>592</v>
      </c>
      <c r="I918" s="4">
        <v>2</v>
      </c>
      <c r="J918" s="4">
        <v>2</v>
      </c>
      <c r="K918" s="4" t="s">
        <v>3095</v>
      </c>
      <c r="L918" s="4" t="s">
        <v>3095</v>
      </c>
      <c r="M918" s="4">
        <v>211</v>
      </c>
      <c r="N918" s="4">
        <v>2011</v>
      </c>
      <c r="O918" s="4" t="str">
        <f>+IF(BDAlquilerDepartamentos[[#This Row],[Prec. Soles]]&gt;2500,"Caro","Economico")</f>
        <v>Caro</v>
      </c>
      <c r="P918" s="4" t="str">
        <f>+IF(AND(BDAlquilerDepartamentos[[#This Row],[N° de Dorm.]]&gt; 3,BDAlquilerDepartamentos[[#This Row],[Prec. Soles]]&lt;= 2500),"Buena Oferta", "Precio Estadar")</f>
        <v>Precio Estadar</v>
      </c>
      <c r="Q918" t="s">
        <v>1101</v>
      </c>
      <c r="R918" t="s">
        <v>1102</v>
      </c>
      <c r="S918" s="11">
        <v>45629</v>
      </c>
      <c r="T918" t="s">
        <v>3078</v>
      </c>
      <c r="U918" t="s">
        <v>2399</v>
      </c>
    </row>
    <row r="919" spans="2:21" x14ac:dyDescent="0.3">
      <c r="B919" t="s">
        <v>1191</v>
      </c>
      <c r="C919" t="s">
        <v>2466</v>
      </c>
      <c r="D919" t="s">
        <v>2436</v>
      </c>
      <c r="E919" t="s">
        <v>2580</v>
      </c>
      <c r="F919" t="s">
        <v>2580</v>
      </c>
      <c r="G919" s="8">
        <v>2220</v>
      </c>
      <c r="H919" s="8">
        <f>+IF(BDAlquilerDepartamentos[[#This Row],[Ciudad]]="Lima",BDAlquilerDepartamentos[[#This Row],[Prec. Soles]]*0.1,BDAlquilerDepartamentos[[#This Row],[Prec. Soles]]*0.05)</f>
        <v>222</v>
      </c>
      <c r="I919" s="4">
        <v>1</v>
      </c>
      <c r="J919" s="4">
        <v>2</v>
      </c>
      <c r="K919" s="4" t="s">
        <v>3096</v>
      </c>
      <c r="L919" s="4" t="s">
        <v>3096</v>
      </c>
      <c r="M919" s="4">
        <v>64</v>
      </c>
      <c r="N919" s="4">
        <v>2005</v>
      </c>
      <c r="O919" s="4" t="str">
        <f>+IF(BDAlquilerDepartamentos[[#This Row],[Prec. Soles]]&gt;2500,"Caro","Economico")</f>
        <v>Economico</v>
      </c>
      <c r="P919" s="4" t="str">
        <f>+IF(AND(BDAlquilerDepartamentos[[#This Row],[N° de Dorm.]]&gt; 3,BDAlquilerDepartamentos[[#This Row],[Prec. Soles]]&lt;= 2500),"Buena Oferta", "Precio Estadar")</f>
        <v>Precio Estadar</v>
      </c>
      <c r="Q919" t="s">
        <v>1101</v>
      </c>
      <c r="R919" t="s">
        <v>1102</v>
      </c>
      <c r="S919" s="11">
        <v>45570</v>
      </c>
      <c r="T919" t="s">
        <v>3082</v>
      </c>
      <c r="U919" t="s">
        <v>2400</v>
      </c>
    </row>
    <row r="920" spans="2:21" x14ac:dyDescent="0.3">
      <c r="B920" t="s">
        <v>2232</v>
      </c>
      <c r="C920" t="s">
        <v>2759</v>
      </c>
      <c r="D920" t="s">
        <v>2660</v>
      </c>
      <c r="E920" t="s">
        <v>2580</v>
      </c>
      <c r="F920" t="s">
        <v>2580</v>
      </c>
      <c r="G920" s="8">
        <v>4070</v>
      </c>
      <c r="H920" s="8">
        <f>+IF(BDAlquilerDepartamentos[[#This Row],[Ciudad]]="Lima",BDAlquilerDepartamentos[[#This Row],[Prec. Soles]]*0.1,BDAlquilerDepartamentos[[#This Row],[Prec. Soles]]*0.05)</f>
        <v>407</v>
      </c>
      <c r="I920" s="4">
        <v>3</v>
      </c>
      <c r="J920" s="4">
        <v>2</v>
      </c>
      <c r="K920" s="4" t="s">
        <v>3095</v>
      </c>
      <c r="L920" s="4" t="s">
        <v>3096</v>
      </c>
      <c r="M920" s="4">
        <v>125</v>
      </c>
      <c r="N920" s="4">
        <v>2011</v>
      </c>
      <c r="O920" s="4" t="str">
        <f>+IF(BDAlquilerDepartamentos[[#This Row],[Prec. Soles]]&gt;2500,"Caro","Economico")</f>
        <v>Caro</v>
      </c>
      <c r="P920" s="4" t="str">
        <f>+IF(AND(BDAlquilerDepartamentos[[#This Row],[N° de Dorm.]]&gt; 3,BDAlquilerDepartamentos[[#This Row],[Prec. Soles]]&lt;= 2500),"Buena Oferta", "Precio Estadar")</f>
        <v>Precio Estadar</v>
      </c>
      <c r="Q920" t="s">
        <v>1101</v>
      </c>
      <c r="R920" t="s">
        <v>1102</v>
      </c>
      <c r="S920" s="11">
        <v>45071</v>
      </c>
      <c r="T920" t="s">
        <v>3083</v>
      </c>
      <c r="U920" t="s">
        <v>2401</v>
      </c>
    </row>
    <row r="921" spans="2:21" x14ac:dyDescent="0.3">
      <c r="B921" t="s">
        <v>3108</v>
      </c>
      <c r="C921" t="s">
        <v>3109</v>
      </c>
      <c r="D921" t="s">
        <v>2580</v>
      </c>
      <c r="E921" t="s">
        <v>2580</v>
      </c>
      <c r="F921" t="s">
        <v>2580</v>
      </c>
      <c r="G921" s="8">
        <v>7400</v>
      </c>
      <c r="H921" s="8">
        <f>+IF(BDAlquilerDepartamentos[[#This Row],[Ciudad]]="Lima",BDAlquilerDepartamentos[[#This Row],[Prec. Soles]]*0.1,BDAlquilerDepartamentos[[#This Row],[Prec. Soles]]*0.05)</f>
        <v>740</v>
      </c>
      <c r="I921" s="4">
        <v>3</v>
      </c>
      <c r="J921" s="4">
        <v>3</v>
      </c>
      <c r="K921" s="4" t="s">
        <v>3096</v>
      </c>
      <c r="L921" s="4" t="s">
        <v>3095</v>
      </c>
      <c r="N921" s="4">
        <v>2007</v>
      </c>
      <c r="O921" s="4" t="str">
        <f>+IF(BDAlquilerDepartamentos[[#This Row],[Prec. Soles]]&gt;2500,"Caro","Economico")</f>
        <v>Caro</v>
      </c>
      <c r="P921" s="4" t="str">
        <f>+IF(AND(BDAlquilerDepartamentos[[#This Row],[N° de Dorm.]]&gt; 3,BDAlquilerDepartamentos[[#This Row],[Prec. Soles]]&lt;= 2500),"Buena Oferta", "Precio Estadar")</f>
        <v>Precio Estadar</v>
      </c>
      <c r="Q921" t="s">
        <v>1113</v>
      </c>
      <c r="R921" t="s">
        <v>1102</v>
      </c>
      <c r="S921" s="11">
        <v>45446</v>
      </c>
      <c r="T921" t="s">
        <v>3100</v>
      </c>
      <c r="U921" t="s">
        <v>2402</v>
      </c>
    </row>
    <row r="922" spans="2:21" x14ac:dyDescent="0.3">
      <c r="B922" t="s">
        <v>2403</v>
      </c>
      <c r="C922" t="s">
        <v>2791</v>
      </c>
      <c r="D922" t="s">
        <v>2580</v>
      </c>
      <c r="E922" t="s">
        <v>2580</v>
      </c>
      <c r="F922" t="s">
        <v>2580</v>
      </c>
      <c r="G922" s="8">
        <v>2035</v>
      </c>
      <c r="H922" s="8">
        <f>+IF(BDAlquilerDepartamentos[[#This Row],[Ciudad]]="Lima",BDAlquilerDepartamentos[[#This Row],[Prec. Soles]]*0.1,BDAlquilerDepartamentos[[#This Row],[Prec. Soles]]*0.05)</f>
        <v>203.5</v>
      </c>
      <c r="I922" s="4">
        <v>1</v>
      </c>
      <c r="J922" s="4">
        <v>1</v>
      </c>
      <c r="K922" s="4" t="s">
        <v>3095</v>
      </c>
      <c r="L922" s="4" t="s">
        <v>3095</v>
      </c>
      <c r="N922" s="4">
        <v>2014</v>
      </c>
      <c r="O922" s="4" t="str">
        <f>+IF(BDAlquilerDepartamentos[[#This Row],[Prec. Soles]]&gt;2500,"Caro","Economico")</f>
        <v>Economico</v>
      </c>
      <c r="P922" s="4" t="str">
        <f>+IF(AND(BDAlquilerDepartamentos[[#This Row],[N° de Dorm.]]&gt; 3,BDAlquilerDepartamentos[[#This Row],[Prec. Soles]]&lt;= 2500),"Buena Oferta", "Precio Estadar")</f>
        <v>Precio Estadar</v>
      </c>
      <c r="Q922" t="s">
        <v>1101</v>
      </c>
      <c r="R922" t="s">
        <v>1102</v>
      </c>
      <c r="S922" s="11">
        <v>44950</v>
      </c>
      <c r="T922" t="s">
        <v>3100</v>
      </c>
      <c r="U922" t="s">
        <v>2404</v>
      </c>
    </row>
    <row r="923" spans="2:21" x14ac:dyDescent="0.3">
      <c r="B923" t="s">
        <v>2405</v>
      </c>
      <c r="C923" t="s">
        <v>2792</v>
      </c>
      <c r="D923" t="s">
        <v>2793</v>
      </c>
      <c r="E923" t="s">
        <v>2580</v>
      </c>
      <c r="F923" t="s">
        <v>2580</v>
      </c>
      <c r="G923" s="8">
        <v>5365</v>
      </c>
      <c r="H923" s="8">
        <f>+IF(BDAlquilerDepartamentos[[#This Row],[Ciudad]]="Lima",BDAlquilerDepartamentos[[#This Row],[Prec. Soles]]*0.1,BDAlquilerDepartamentos[[#This Row],[Prec. Soles]]*0.05)</f>
        <v>536.5</v>
      </c>
      <c r="I923" s="4">
        <v>3</v>
      </c>
      <c r="J923" s="4">
        <v>3</v>
      </c>
      <c r="K923" s="4" t="s">
        <v>3095</v>
      </c>
      <c r="L923" s="4" t="s">
        <v>3096</v>
      </c>
      <c r="M923" s="4">
        <v>300</v>
      </c>
      <c r="N923" s="4">
        <v>2016</v>
      </c>
      <c r="O923" s="4" t="str">
        <f>+IF(BDAlquilerDepartamentos[[#This Row],[Prec. Soles]]&gt;2500,"Caro","Economico")</f>
        <v>Caro</v>
      </c>
      <c r="P923" s="4" t="str">
        <f>+IF(AND(BDAlquilerDepartamentos[[#This Row],[N° de Dorm.]]&gt; 3,BDAlquilerDepartamentos[[#This Row],[Prec. Soles]]&lt;= 2500),"Buena Oferta", "Precio Estadar")</f>
        <v>Precio Estadar</v>
      </c>
      <c r="Q923" t="s">
        <v>1113</v>
      </c>
      <c r="R923" t="s">
        <v>1102</v>
      </c>
      <c r="S923" s="11">
        <v>45049</v>
      </c>
      <c r="T923" t="s">
        <v>3084</v>
      </c>
      <c r="U923" t="s">
        <v>2406</v>
      </c>
    </row>
    <row r="924" spans="2:21" x14ac:dyDescent="0.3">
      <c r="B924" t="s">
        <v>2281</v>
      </c>
      <c r="C924" t="s">
        <v>2704</v>
      </c>
      <c r="D924" t="s">
        <v>2805</v>
      </c>
      <c r="E924" t="s">
        <v>2580</v>
      </c>
      <c r="F924" t="s">
        <v>2580</v>
      </c>
      <c r="G924" s="8">
        <v>4000</v>
      </c>
      <c r="H924" s="8">
        <f>+IF(BDAlquilerDepartamentos[[#This Row],[Ciudad]]="Lima",BDAlquilerDepartamentos[[#This Row],[Prec. Soles]]*0.1,BDAlquilerDepartamentos[[#This Row],[Prec. Soles]]*0.05)</f>
        <v>400</v>
      </c>
      <c r="I924" s="4">
        <v>2</v>
      </c>
      <c r="J924" s="4">
        <v>2</v>
      </c>
      <c r="K924" s="4" t="s">
        <v>3095</v>
      </c>
      <c r="L924" s="4" t="s">
        <v>3095</v>
      </c>
      <c r="M924" s="4">
        <v>75</v>
      </c>
      <c r="N924" s="4">
        <v>2016</v>
      </c>
      <c r="O924" s="4" t="str">
        <f>+IF(BDAlquilerDepartamentos[[#This Row],[Prec. Soles]]&gt;2500,"Caro","Economico")</f>
        <v>Caro</v>
      </c>
      <c r="P924" s="4" t="str">
        <f>+IF(AND(BDAlquilerDepartamentos[[#This Row],[N° de Dorm.]]&gt; 3,BDAlquilerDepartamentos[[#This Row],[Prec. Soles]]&lt;= 2500),"Buena Oferta", "Precio Estadar")</f>
        <v>Precio Estadar</v>
      </c>
      <c r="Q924" t="s">
        <v>1399</v>
      </c>
      <c r="R924" t="s">
        <v>1102</v>
      </c>
      <c r="S924" s="11">
        <v>44946</v>
      </c>
      <c r="T924" t="s">
        <v>2847</v>
      </c>
      <c r="U924" t="s">
        <v>2407</v>
      </c>
    </row>
    <row r="925" spans="2:21" x14ac:dyDescent="0.3">
      <c r="B925" t="s">
        <v>2405</v>
      </c>
      <c r="C925" t="s">
        <v>2792</v>
      </c>
      <c r="D925" t="s">
        <v>2485</v>
      </c>
      <c r="E925" t="s">
        <v>2580</v>
      </c>
      <c r="F925" t="s">
        <v>2580</v>
      </c>
      <c r="G925" s="8">
        <v>5365</v>
      </c>
      <c r="H925" s="8">
        <f>+IF(BDAlquilerDepartamentos[[#This Row],[Ciudad]]="Lima",BDAlquilerDepartamentos[[#This Row],[Prec. Soles]]*0.1,BDAlquilerDepartamentos[[#This Row],[Prec. Soles]]*0.05)</f>
        <v>536.5</v>
      </c>
      <c r="I925" s="4">
        <v>3</v>
      </c>
      <c r="J925" s="4">
        <v>3</v>
      </c>
      <c r="K925" s="4" t="s">
        <v>3095</v>
      </c>
      <c r="L925" s="4" t="s">
        <v>3096</v>
      </c>
      <c r="M925" s="4">
        <v>300</v>
      </c>
      <c r="N925" s="4">
        <v>2009</v>
      </c>
      <c r="O925" s="4" t="str">
        <f>+IF(BDAlquilerDepartamentos[[#This Row],[Prec. Soles]]&gt;2500,"Caro","Economico")</f>
        <v>Caro</v>
      </c>
      <c r="P925" s="4" t="str">
        <f>+IF(AND(BDAlquilerDepartamentos[[#This Row],[N° de Dorm.]]&gt; 3,BDAlquilerDepartamentos[[#This Row],[Prec. Soles]]&lt;= 2500),"Buena Oferta", "Precio Estadar")</f>
        <v>Precio Estadar</v>
      </c>
      <c r="Q925" t="s">
        <v>1113</v>
      </c>
      <c r="R925" t="s">
        <v>1102</v>
      </c>
      <c r="S925" s="11">
        <v>45173</v>
      </c>
      <c r="T925" t="s">
        <v>3084</v>
      </c>
      <c r="U925" t="s">
        <v>2408</v>
      </c>
    </row>
    <row r="926" spans="2:21" x14ac:dyDescent="0.3">
      <c r="B926" t="s">
        <v>2405</v>
      </c>
      <c r="C926" t="s">
        <v>2792</v>
      </c>
      <c r="D926" t="s">
        <v>2485</v>
      </c>
      <c r="E926" t="s">
        <v>2580</v>
      </c>
      <c r="F926" t="s">
        <v>2580</v>
      </c>
      <c r="G926" s="8">
        <v>5365</v>
      </c>
      <c r="H926" s="8">
        <f>+IF(BDAlquilerDepartamentos[[#This Row],[Ciudad]]="Lima",BDAlquilerDepartamentos[[#This Row],[Prec. Soles]]*0.1,BDAlquilerDepartamentos[[#This Row],[Prec. Soles]]*0.05)</f>
        <v>536.5</v>
      </c>
      <c r="I926" s="4">
        <v>3</v>
      </c>
      <c r="J926" s="4">
        <v>3</v>
      </c>
      <c r="K926" s="4" t="s">
        <v>3095</v>
      </c>
      <c r="L926" s="4" t="s">
        <v>3095</v>
      </c>
      <c r="M926" s="4">
        <v>300</v>
      </c>
      <c r="N926" s="4">
        <v>2011</v>
      </c>
      <c r="O926" s="4" t="str">
        <f>+IF(BDAlquilerDepartamentos[[#This Row],[Prec. Soles]]&gt;2500,"Caro","Economico")</f>
        <v>Caro</v>
      </c>
      <c r="P926" s="4" t="str">
        <f>+IF(AND(BDAlquilerDepartamentos[[#This Row],[N° de Dorm.]]&gt; 3,BDAlquilerDepartamentos[[#This Row],[Prec. Soles]]&lt;= 2500),"Buena Oferta", "Precio Estadar")</f>
        <v>Precio Estadar</v>
      </c>
      <c r="Q926" t="s">
        <v>1113</v>
      </c>
      <c r="R926" t="s">
        <v>1102</v>
      </c>
      <c r="S926" s="11">
        <v>45212</v>
      </c>
      <c r="T926" t="s">
        <v>3084</v>
      </c>
      <c r="U926" t="s">
        <v>2409</v>
      </c>
    </row>
    <row r="927" spans="2:21" x14ac:dyDescent="0.3">
      <c r="S927" s="11"/>
    </row>
    <row r="928" spans="2:21" x14ac:dyDescent="0.3">
      <c r="S928" s="11"/>
    </row>
    <row r="929" spans="19:19" x14ac:dyDescent="0.3">
      <c r="S929" s="11"/>
    </row>
    <row r="930" spans="19:19" x14ac:dyDescent="0.3">
      <c r="S930" s="11"/>
    </row>
    <row r="931" spans="19:19" x14ac:dyDescent="0.3">
      <c r="S931" s="11"/>
    </row>
    <row r="932" spans="19:19" x14ac:dyDescent="0.3">
      <c r="S932" s="11"/>
    </row>
    <row r="933" spans="19:19" x14ac:dyDescent="0.3">
      <c r="S933" s="11"/>
    </row>
    <row r="934" spans="19:19" x14ac:dyDescent="0.3">
      <c r="S934" s="11"/>
    </row>
    <row r="935" spans="19:19" x14ac:dyDescent="0.3">
      <c r="S935" s="11"/>
    </row>
    <row r="936" spans="19:19" x14ac:dyDescent="0.3">
      <c r="S936" s="11"/>
    </row>
    <row r="937" spans="19:19" x14ac:dyDescent="0.3">
      <c r="S937" s="11"/>
    </row>
    <row r="938" spans="19:19" x14ac:dyDescent="0.3">
      <c r="S938" s="11"/>
    </row>
    <row r="939" spans="19:19" x14ac:dyDescent="0.3">
      <c r="S939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99CC"/>
  </sheetPr>
  <dimension ref="A1:T107"/>
  <sheetViews>
    <sheetView showGridLines="0" zoomScaleNormal="100" workbookViewId="0">
      <selection activeCell="D6" sqref="D6"/>
    </sheetView>
  </sheetViews>
  <sheetFormatPr baseColWidth="10" defaultRowHeight="14.4" x14ac:dyDescent="0.3"/>
  <cols>
    <col min="1" max="1" width="4.109375" customWidth="1"/>
    <col min="2" max="2" width="5.6640625" customWidth="1"/>
    <col min="3" max="3" width="14.21875" bestFit="1" customWidth="1"/>
    <col min="4" max="4" width="16.33203125" customWidth="1"/>
    <col min="5" max="5" width="4" bestFit="1" customWidth="1"/>
    <col min="6" max="6" width="11.88671875" bestFit="1" customWidth="1"/>
    <col min="7" max="7" width="10.6640625" bestFit="1" customWidth="1"/>
    <col min="8" max="8" width="6.44140625" bestFit="1" customWidth="1"/>
    <col min="9" max="9" width="24.6640625" customWidth="1"/>
    <col min="10" max="10" width="4.21875" customWidth="1"/>
    <col min="11" max="11" width="23" bestFit="1" customWidth="1"/>
    <col min="12" max="12" width="21.44140625" bestFit="1" customWidth="1"/>
    <col min="13" max="16" width="6.44140625" bestFit="1" customWidth="1"/>
    <col min="17" max="23" width="7.44140625" bestFit="1" customWidth="1"/>
    <col min="24" max="26" width="8.44140625" bestFit="1" customWidth="1"/>
    <col min="27" max="182" width="10" bestFit="1" customWidth="1"/>
    <col min="183" max="206" width="11" bestFit="1" customWidth="1"/>
    <col min="207" max="207" width="12" bestFit="1" customWidth="1"/>
    <col min="208" max="208" width="13.5546875" bestFit="1" customWidth="1"/>
    <col min="209" max="209" width="11.88671875" bestFit="1" customWidth="1"/>
  </cols>
  <sheetData>
    <row r="1" spans="1:20" s="1" customFormat="1" x14ac:dyDescent="0.3">
      <c r="A1" s="1" t="s">
        <v>1083</v>
      </c>
    </row>
    <row r="2" spans="1:20" s="1" customFormat="1" x14ac:dyDescent="0.3">
      <c r="A2" s="1" t="s">
        <v>1084</v>
      </c>
    </row>
    <row r="4" spans="1:20" x14ac:dyDescent="0.3">
      <c r="B4" s="3">
        <v>1</v>
      </c>
      <c r="C4" s="7" t="s">
        <v>3112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6" spans="1:20" x14ac:dyDescent="0.3">
      <c r="C6" s="7" t="s">
        <v>3110</v>
      </c>
      <c r="D6" s="18">
        <f>+COUNTIF(BDAlquilerDepartamentos[Distrito],"Miraflores")</f>
        <v>191</v>
      </c>
    </row>
    <row r="8" spans="1:20" x14ac:dyDescent="0.3">
      <c r="C8" t="s">
        <v>3127</v>
      </c>
    </row>
    <row r="10" spans="1:20" x14ac:dyDescent="0.3">
      <c r="B10" s="3">
        <v>2</v>
      </c>
      <c r="C10" s="7" t="s">
        <v>3126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1:20" x14ac:dyDescent="0.3">
      <c r="C12" s="7" t="s">
        <v>3110</v>
      </c>
      <c r="D12" s="23">
        <f>+SUMIF(BDAlquilerDepartamentos[Distrito],DataBaseA!D14,BDAlquilerDepartamentos[Mantenimiento])</f>
        <v>50284.229999999996</v>
      </c>
    </row>
    <row r="14" spans="1:20" x14ac:dyDescent="0.3">
      <c r="C14" t="s">
        <v>3128</v>
      </c>
    </row>
    <row r="16" spans="1:20" x14ac:dyDescent="0.3">
      <c r="B16" s="3">
        <v>3</v>
      </c>
      <c r="C16" s="7" t="s">
        <v>3133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8" spans="2:20" x14ac:dyDescent="0.3">
      <c r="C18" s="7" t="s">
        <v>3110</v>
      </c>
      <c r="D18" s="23">
        <f>+SUMIFS(BDAlquilerDepartamentos[Prec. Soles],BDAlquilerDepartamentos[Distrito],DataBaseA!D6,BDAlquilerDepartamentos[N° de Dorm.],DataBaseA!I7)</f>
        <v>408552.3</v>
      </c>
    </row>
    <row r="20" spans="2:20" x14ac:dyDescent="0.3">
      <c r="C20" t="s">
        <v>3134</v>
      </c>
    </row>
    <row r="22" spans="2:20" x14ac:dyDescent="0.3">
      <c r="B22" s="3">
        <v>4</v>
      </c>
      <c r="C22" s="7" t="s">
        <v>3135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4" spans="2:20" x14ac:dyDescent="0.3">
      <c r="C24" s="7" t="s">
        <v>3110</v>
      </c>
      <c r="D24" s="18">
        <f>+COUNTIFS(BDAlquilerDepartamentos[Ascensor],DataBaseA!K7,BDAlquilerDepartamentos[Estacionamiento],DataBaseA!L11)</f>
        <v>233</v>
      </c>
    </row>
    <row r="26" spans="2:20" x14ac:dyDescent="0.3">
      <c r="C26" t="s">
        <v>3136</v>
      </c>
    </row>
    <row r="28" spans="2:20" x14ac:dyDescent="0.3">
      <c r="B28" s="3">
        <v>5</v>
      </c>
      <c r="C28" s="7" t="s">
        <v>3137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30" spans="2:20" x14ac:dyDescent="0.3">
      <c r="C30" s="7" t="s">
        <v>3110</v>
      </c>
      <c r="D30" s="23">
        <f>+AVERAGEIFS(BDAlquilerDepartamentos[Prec. Soles],BDAlquilerDepartamentos[Distrito],DataBaseA!D8,BDAlquilerDepartamentos[N° de Dorm.],"&gt;2")</f>
        <v>5964.4</v>
      </c>
    </row>
    <row r="32" spans="2:20" x14ac:dyDescent="0.3">
      <c r="C32" t="s">
        <v>3138</v>
      </c>
    </row>
    <row r="34" spans="2:20" x14ac:dyDescent="0.3">
      <c r="B34" s="3">
        <v>6</v>
      </c>
      <c r="C34" s="7" t="s">
        <v>3139</v>
      </c>
      <c r="D34" s="5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6" spans="2:20" x14ac:dyDescent="0.3">
      <c r="C36" s="24" t="s">
        <v>3092</v>
      </c>
      <c r="D36" s="25">
        <v>6</v>
      </c>
    </row>
    <row r="38" spans="2:20" x14ac:dyDescent="0.3">
      <c r="C38" s="24" t="s">
        <v>2794</v>
      </c>
      <c r="D38" t="s">
        <v>3147</v>
      </c>
    </row>
    <row r="39" spans="2:20" x14ac:dyDescent="0.3">
      <c r="C39" s="25" t="s">
        <v>2436</v>
      </c>
      <c r="D39" s="28">
        <v>3700</v>
      </c>
    </row>
    <row r="40" spans="2:20" x14ac:dyDescent="0.3">
      <c r="C40" s="25" t="s">
        <v>3141</v>
      </c>
      <c r="D40" s="28">
        <v>3700</v>
      </c>
    </row>
    <row r="42" spans="2:20" x14ac:dyDescent="0.3">
      <c r="C42" t="s">
        <v>3143</v>
      </c>
    </row>
    <row r="44" spans="2:20" x14ac:dyDescent="0.3">
      <c r="B44" s="3"/>
      <c r="C44" s="7"/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6" spans="2:20" x14ac:dyDescent="0.3">
      <c r="C46" s="9" t="s">
        <v>3145</v>
      </c>
      <c r="G46" s="9" t="s">
        <v>3150</v>
      </c>
      <c r="K46" s="9" t="s">
        <v>3151</v>
      </c>
    </row>
    <row r="48" spans="2:20" x14ac:dyDescent="0.3">
      <c r="C48" s="24" t="s">
        <v>2794</v>
      </c>
      <c r="D48" t="s">
        <v>2430</v>
      </c>
      <c r="G48" s="24" t="s">
        <v>2794</v>
      </c>
      <c r="H48" t="s">
        <v>2478</v>
      </c>
      <c r="K48" s="24" t="s">
        <v>3140</v>
      </c>
      <c r="L48" t="s">
        <v>3146</v>
      </c>
    </row>
    <row r="49" spans="3:12" x14ac:dyDescent="0.3">
      <c r="K49" s="30" t="s">
        <v>2444</v>
      </c>
      <c r="L49" s="31">
        <v>29552.766666666666</v>
      </c>
    </row>
    <row r="50" spans="3:12" x14ac:dyDescent="0.3">
      <c r="C50" s="27" t="s">
        <v>3148</v>
      </c>
      <c r="G50" t="s">
        <v>3149</v>
      </c>
      <c r="K50" s="25" t="s">
        <v>2747</v>
      </c>
      <c r="L50" s="8">
        <v>27750</v>
      </c>
    </row>
    <row r="51" spans="3:12" x14ac:dyDescent="0.3">
      <c r="C51" s="29">
        <v>3673.9166666666665</v>
      </c>
      <c r="G51" s="29">
        <v>19230</v>
      </c>
      <c r="K51" s="25" t="s">
        <v>2499</v>
      </c>
      <c r="L51" s="8">
        <v>18546.25</v>
      </c>
    </row>
    <row r="52" spans="3:12" x14ac:dyDescent="0.3">
      <c r="K52" s="25" t="s">
        <v>2660</v>
      </c>
      <c r="L52" s="8">
        <v>17482.5</v>
      </c>
    </row>
    <row r="53" spans="3:12" x14ac:dyDescent="0.3">
      <c r="K53" s="25" t="s">
        <v>2580</v>
      </c>
      <c r="L53" s="8">
        <v>11673.593513513513</v>
      </c>
    </row>
    <row r="54" spans="3:12" x14ac:dyDescent="0.3">
      <c r="K54" s="25" t="s">
        <v>2543</v>
      </c>
      <c r="L54" s="8">
        <v>9805</v>
      </c>
    </row>
    <row r="55" spans="3:12" x14ac:dyDescent="0.3">
      <c r="K55" s="25" t="s">
        <v>2793</v>
      </c>
      <c r="L55" s="8">
        <v>5365</v>
      </c>
    </row>
    <row r="56" spans="3:12" x14ac:dyDescent="0.3">
      <c r="K56" s="25" t="s">
        <v>2428</v>
      </c>
      <c r="L56" s="8">
        <v>5293.0768421052626</v>
      </c>
    </row>
    <row r="57" spans="3:12" x14ac:dyDescent="0.3">
      <c r="K57" s="25" t="s">
        <v>2447</v>
      </c>
      <c r="L57" s="8">
        <v>5241.666666666667</v>
      </c>
    </row>
    <row r="58" spans="3:12" x14ac:dyDescent="0.3">
      <c r="K58" s="25" t="s">
        <v>2436</v>
      </c>
      <c r="L58" s="8">
        <v>4704.2261780104718</v>
      </c>
    </row>
    <row r="59" spans="3:12" x14ac:dyDescent="0.3">
      <c r="K59" s="25" t="s">
        <v>2689</v>
      </c>
      <c r="L59" s="8">
        <v>4378.2243243243238</v>
      </c>
    </row>
    <row r="60" spans="3:12" x14ac:dyDescent="0.3">
      <c r="K60" s="25" t="s">
        <v>2422</v>
      </c>
      <c r="L60" s="8">
        <v>4298.1987179487178</v>
      </c>
    </row>
    <row r="61" spans="3:12" x14ac:dyDescent="0.3">
      <c r="K61" s="25" t="s">
        <v>2485</v>
      </c>
      <c r="L61" s="8">
        <v>4191.2607142857141</v>
      </c>
    </row>
    <row r="62" spans="3:12" x14ac:dyDescent="0.3">
      <c r="K62" s="25" t="s">
        <v>2553</v>
      </c>
      <c r="L62" s="8">
        <v>4080.6375000000003</v>
      </c>
    </row>
    <row r="63" spans="3:12" x14ac:dyDescent="0.3">
      <c r="K63" s="25" t="s">
        <v>2460</v>
      </c>
      <c r="L63" s="8">
        <v>4014.5</v>
      </c>
    </row>
    <row r="64" spans="3:12" x14ac:dyDescent="0.3">
      <c r="K64" s="25" t="s">
        <v>2532</v>
      </c>
      <c r="L64" s="8">
        <v>4000</v>
      </c>
    </row>
    <row r="65" spans="11:12" x14ac:dyDescent="0.3">
      <c r="K65" s="25" t="s">
        <v>3121</v>
      </c>
      <c r="L65" s="8">
        <v>3881.5642857142857</v>
      </c>
    </row>
    <row r="66" spans="11:12" x14ac:dyDescent="0.3">
      <c r="K66" s="25" t="s">
        <v>2778</v>
      </c>
      <c r="L66" s="8">
        <v>3700</v>
      </c>
    </row>
    <row r="67" spans="11:12" x14ac:dyDescent="0.3">
      <c r="K67" s="25" t="s">
        <v>3163</v>
      </c>
      <c r="L67" s="8">
        <v>3700</v>
      </c>
    </row>
    <row r="68" spans="11:12" x14ac:dyDescent="0.3">
      <c r="K68" s="25" t="s">
        <v>2430</v>
      </c>
      <c r="L68" s="8">
        <v>3673.9166666666665</v>
      </c>
    </row>
    <row r="69" spans="11:12" x14ac:dyDescent="0.3">
      <c r="K69" s="25" t="s">
        <v>2594</v>
      </c>
      <c r="L69" s="8">
        <v>3543.1</v>
      </c>
    </row>
    <row r="70" spans="11:12" x14ac:dyDescent="0.3">
      <c r="K70" s="25" t="s">
        <v>3117</v>
      </c>
      <c r="L70" s="8">
        <v>3380</v>
      </c>
    </row>
    <row r="71" spans="11:12" x14ac:dyDescent="0.3">
      <c r="K71" s="25" t="s">
        <v>2805</v>
      </c>
      <c r="L71" s="8">
        <v>3230</v>
      </c>
    </row>
    <row r="72" spans="11:12" x14ac:dyDescent="0.3">
      <c r="K72" s="25" t="s">
        <v>2418</v>
      </c>
      <c r="L72" s="8">
        <v>3120.6735294117643</v>
      </c>
    </row>
    <row r="73" spans="11:12" x14ac:dyDescent="0.3">
      <c r="K73" s="25" t="s">
        <v>2420</v>
      </c>
      <c r="L73" s="8">
        <v>3057</v>
      </c>
    </row>
    <row r="74" spans="11:12" x14ac:dyDescent="0.3">
      <c r="K74" s="25" t="s">
        <v>2501</v>
      </c>
      <c r="L74" s="8">
        <v>3049.5714285714284</v>
      </c>
    </row>
    <row r="75" spans="11:12" x14ac:dyDescent="0.3">
      <c r="K75" s="25" t="s">
        <v>2742</v>
      </c>
      <c r="L75" s="8">
        <v>2960</v>
      </c>
    </row>
    <row r="76" spans="11:12" x14ac:dyDescent="0.3">
      <c r="K76" s="25" t="s">
        <v>2548</v>
      </c>
      <c r="L76" s="8">
        <v>2850</v>
      </c>
    </row>
    <row r="77" spans="11:12" x14ac:dyDescent="0.3">
      <c r="K77" s="25" t="s">
        <v>2506</v>
      </c>
      <c r="L77" s="8">
        <v>2800</v>
      </c>
    </row>
    <row r="78" spans="11:12" x14ac:dyDescent="0.3">
      <c r="K78" s="25" t="s">
        <v>2452</v>
      </c>
      <c r="L78" s="8">
        <v>2729.71</v>
      </c>
    </row>
    <row r="79" spans="11:12" x14ac:dyDescent="0.3">
      <c r="K79" s="25" t="s">
        <v>2527</v>
      </c>
      <c r="L79" s="8">
        <v>2685.4444444444443</v>
      </c>
    </row>
    <row r="80" spans="11:12" x14ac:dyDescent="0.3">
      <c r="K80" s="25" t="s">
        <v>2514</v>
      </c>
      <c r="L80" s="8">
        <v>2550</v>
      </c>
    </row>
    <row r="81" spans="11:12" x14ac:dyDescent="0.3">
      <c r="K81" s="25" t="s">
        <v>2435</v>
      </c>
      <c r="L81" s="8">
        <v>2349.375</v>
      </c>
    </row>
    <row r="82" spans="11:12" x14ac:dyDescent="0.3">
      <c r="K82" s="25" t="s">
        <v>2804</v>
      </c>
      <c r="L82" s="8">
        <v>2302.2222222222222</v>
      </c>
    </row>
    <row r="83" spans="11:12" x14ac:dyDescent="0.3">
      <c r="K83" s="25" t="s">
        <v>3098</v>
      </c>
      <c r="L83" s="8">
        <v>2150</v>
      </c>
    </row>
    <row r="84" spans="11:12" x14ac:dyDescent="0.3">
      <c r="K84" s="25" t="s">
        <v>2425</v>
      </c>
      <c r="L84" s="8">
        <v>2047.5</v>
      </c>
    </row>
    <row r="85" spans="11:12" x14ac:dyDescent="0.3">
      <c r="K85" s="25" t="s">
        <v>2472</v>
      </c>
      <c r="L85" s="8">
        <v>2040</v>
      </c>
    </row>
    <row r="86" spans="11:12" x14ac:dyDescent="0.3">
      <c r="K86" s="25" t="s">
        <v>2566</v>
      </c>
      <c r="L86" s="8">
        <v>2040</v>
      </c>
    </row>
    <row r="87" spans="11:12" x14ac:dyDescent="0.3">
      <c r="K87" s="25" t="s">
        <v>2463</v>
      </c>
      <c r="L87" s="8">
        <v>1809.5483870967741</v>
      </c>
    </row>
    <row r="88" spans="11:12" x14ac:dyDescent="0.3">
      <c r="K88" s="25" t="s">
        <v>2478</v>
      </c>
      <c r="L88" s="8">
        <v>1748.1818181818182</v>
      </c>
    </row>
    <row r="89" spans="11:12" x14ac:dyDescent="0.3">
      <c r="K89" s="25" t="s">
        <v>2799</v>
      </c>
      <c r="L89" s="8">
        <v>1639</v>
      </c>
    </row>
    <row r="90" spans="11:12" x14ac:dyDescent="0.3">
      <c r="K90" s="25" t="s">
        <v>2473</v>
      </c>
      <c r="L90" s="8">
        <v>1515.090909090909</v>
      </c>
    </row>
    <row r="91" spans="11:12" x14ac:dyDescent="0.3">
      <c r="K91" s="25" t="s">
        <v>2432</v>
      </c>
      <c r="L91" s="8">
        <v>1386.8461538461538</v>
      </c>
    </row>
    <row r="92" spans="11:12" x14ac:dyDescent="0.3">
      <c r="K92" s="25" t="s">
        <v>3165</v>
      </c>
      <c r="L92" s="8">
        <v>1100</v>
      </c>
    </row>
    <row r="93" spans="11:12" x14ac:dyDescent="0.3">
      <c r="K93" s="25" t="s">
        <v>2497</v>
      </c>
      <c r="L93" s="8">
        <v>1050</v>
      </c>
    </row>
    <row r="94" spans="11:12" x14ac:dyDescent="0.3">
      <c r="K94" s="25" t="s">
        <v>2624</v>
      </c>
      <c r="L94" s="8">
        <v>1000</v>
      </c>
    </row>
    <row r="95" spans="11:12" x14ac:dyDescent="0.3">
      <c r="K95" s="25" t="s">
        <v>2480</v>
      </c>
      <c r="L95" s="8">
        <v>968.23333333333346</v>
      </c>
    </row>
    <row r="96" spans="11:12" x14ac:dyDescent="0.3">
      <c r="K96" s="25" t="s">
        <v>2647</v>
      </c>
      <c r="L96" s="8">
        <v>836</v>
      </c>
    </row>
    <row r="97" spans="3:12" x14ac:dyDescent="0.3">
      <c r="K97" s="32" t="s">
        <v>2572</v>
      </c>
      <c r="L97" s="33">
        <v>679.5</v>
      </c>
    </row>
    <row r="98" spans="3:12" x14ac:dyDescent="0.3">
      <c r="K98" s="25" t="s">
        <v>3141</v>
      </c>
      <c r="L98" s="8">
        <v>6459.367426710096</v>
      </c>
    </row>
    <row r="101" spans="3:12" x14ac:dyDescent="0.3">
      <c r="C101" s="9" t="s">
        <v>3152</v>
      </c>
    </row>
    <row r="102" spans="3:12" x14ac:dyDescent="0.3">
      <c r="C102" s="9"/>
    </row>
    <row r="103" spans="3:12" x14ac:dyDescent="0.3">
      <c r="C103" s="24" t="s">
        <v>3094</v>
      </c>
      <c r="D103" t="s">
        <v>3096</v>
      </c>
    </row>
    <row r="104" spans="3:12" x14ac:dyDescent="0.3">
      <c r="C104" s="24" t="s">
        <v>2794</v>
      </c>
      <c r="D104" t="s">
        <v>2478</v>
      </c>
    </row>
    <row r="106" spans="3:12" x14ac:dyDescent="0.3">
      <c r="C106" t="s">
        <v>3155</v>
      </c>
    </row>
    <row r="107" spans="3:12" x14ac:dyDescent="0.3">
      <c r="C107" s="3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99CC"/>
  </sheetPr>
  <dimension ref="B2:L328"/>
  <sheetViews>
    <sheetView showGridLines="0" topLeftCell="D43" workbookViewId="0">
      <selection activeCell="H63" sqref="H63"/>
    </sheetView>
  </sheetViews>
  <sheetFormatPr baseColWidth="10" defaultRowHeight="14.4" x14ac:dyDescent="0.3"/>
  <cols>
    <col min="1" max="1" width="4.109375" customWidth="1"/>
    <col min="2" max="2" width="17.6640625" bestFit="1" customWidth="1"/>
    <col min="3" max="3" width="18.77734375" bestFit="1" customWidth="1"/>
    <col min="4" max="4" width="3.77734375" customWidth="1"/>
    <col min="5" max="5" width="23" bestFit="1" customWidth="1"/>
    <col min="6" max="6" width="51.88671875" bestFit="1" customWidth="1"/>
    <col min="7" max="7" width="19.109375" bestFit="1" customWidth="1"/>
    <col min="8" max="8" width="11.88671875" bestFit="1" customWidth="1"/>
    <col min="9" max="9" width="17.33203125" bestFit="1" customWidth="1"/>
    <col min="10" max="10" width="7.109375" bestFit="1" customWidth="1"/>
    <col min="11" max="11" width="18.33203125" bestFit="1" customWidth="1"/>
    <col min="12" max="12" width="14" bestFit="1" customWidth="1"/>
  </cols>
  <sheetData>
    <row r="2" spans="2:12" ht="15.6" x14ac:dyDescent="0.3">
      <c r="B2" s="36" t="s">
        <v>3156</v>
      </c>
      <c r="C2" s="37"/>
      <c r="E2" s="36" t="s">
        <v>3164</v>
      </c>
      <c r="F2" s="37"/>
      <c r="H2" s="36" t="s">
        <v>3166</v>
      </c>
      <c r="I2" s="37"/>
      <c r="K2" s="36" t="s">
        <v>3167</v>
      </c>
    </row>
    <row r="3" spans="2:12" x14ac:dyDescent="0.3">
      <c r="B3" s="24" t="s">
        <v>2795</v>
      </c>
      <c r="C3" t="s">
        <v>2580</v>
      </c>
      <c r="E3" s="24" t="s">
        <v>2795</v>
      </c>
      <c r="F3" t="s">
        <v>2580</v>
      </c>
      <c r="H3" s="24" t="s">
        <v>2795</v>
      </c>
      <c r="I3" t="s">
        <v>2580</v>
      </c>
      <c r="K3" s="24" t="s">
        <v>2795</v>
      </c>
      <c r="L3" t="s">
        <v>2580</v>
      </c>
    </row>
    <row r="4" spans="2:12" x14ac:dyDescent="0.3">
      <c r="H4" s="24" t="s">
        <v>2794</v>
      </c>
      <c r="I4" t="s">
        <v>3176</v>
      </c>
    </row>
    <row r="5" spans="2:12" x14ac:dyDescent="0.3">
      <c r="B5" s="24" t="s">
        <v>3154</v>
      </c>
      <c r="C5" t="s">
        <v>3146</v>
      </c>
      <c r="E5" s="24" t="s">
        <v>3170</v>
      </c>
      <c r="F5" t="s">
        <v>3142</v>
      </c>
      <c r="K5" s="24" t="s">
        <v>3168</v>
      </c>
      <c r="L5" s="4" t="s">
        <v>3169</v>
      </c>
    </row>
    <row r="6" spans="2:12" x14ac:dyDescent="0.3">
      <c r="B6" s="25" t="s">
        <v>2444</v>
      </c>
      <c r="C6" s="8">
        <v>29552.766666666666</v>
      </c>
      <c r="E6" s="25" t="s">
        <v>2580</v>
      </c>
      <c r="F6" s="8">
        <v>2159614.7999999998</v>
      </c>
      <c r="H6" s="24" t="s">
        <v>2794</v>
      </c>
      <c r="I6" t="s">
        <v>3153</v>
      </c>
      <c r="K6" s="25">
        <v>1</v>
      </c>
      <c r="L6" s="26">
        <v>144</v>
      </c>
    </row>
    <row r="7" spans="2:12" x14ac:dyDescent="0.3">
      <c r="B7" s="25" t="s">
        <v>2747</v>
      </c>
      <c r="C7" s="8">
        <v>27750</v>
      </c>
      <c r="E7" s="25" t="s">
        <v>2436</v>
      </c>
      <c r="F7" s="8">
        <v>898507.20000000007</v>
      </c>
      <c r="H7" s="25" t="s">
        <v>3095</v>
      </c>
      <c r="I7" s="26">
        <v>437</v>
      </c>
      <c r="K7" s="25">
        <v>2</v>
      </c>
      <c r="L7" s="26">
        <v>247</v>
      </c>
    </row>
    <row r="8" spans="2:12" x14ac:dyDescent="0.3">
      <c r="B8" s="25" t="s">
        <v>2499</v>
      </c>
      <c r="C8" s="8">
        <v>18546.25</v>
      </c>
      <c r="E8" s="25" t="s">
        <v>2444</v>
      </c>
      <c r="F8" s="8">
        <v>886583</v>
      </c>
      <c r="H8" s="25" t="s">
        <v>3096</v>
      </c>
      <c r="I8" s="26">
        <v>427</v>
      </c>
      <c r="K8" s="25">
        <v>3</v>
      </c>
      <c r="L8" s="26">
        <v>356</v>
      </c>
    </row>
    <row r="9" spans="2:12" x14ac:dyDescent="0.3">
      <c r="B9" s="25" t="s">
        <v>2660</v>
      </c>
      <c r="C9" s="8">
        <v>17482.5</v>
      </c>
      <c r="E9" s="25" t="s">
        <v>2428</v>
      </c>
      <c r="F9" s="8">
        <v>502842.3</v>
      </c>
      <c r="H9" s="25" t="s">
        <v>3141</v>
      </c>
      <c r="I9" s="26">
        <v>864</v>
      </c>
      <c r="K9" s="25">
        <v>4</v>
      </c>
      <c r="L9" s="26">
        <v>70</v>
      </c>
    </row>
    <row r="10" spans="2:12" x14ac:dyDescent="0.3">
      <c r="B10" s="25" t="s">
        <v>2580</v>
      </c>
      <c r="C10" s="8">
        <v>11673.593513513513</v>
      </c>
      <c r="E10" s="25" t="s">
        <v>2422</v>
      </c>
      <c r="F10" s="8">
        <v>335259.5</v>
      </c>
      <c r="K10" s="25">
        <v>5</v>
      </c>
      <c r="L10" s="26">
        <v>25</v>
      </c>
    </row>
    <row r="11" spans="2:12" x14ac:dyDescent="0.3">
      <c r="B11" s="25" t="s">
        <v>2543</v>
      </c>
      <c r="C11" s="8">
        <v>9805</v>
      </c>
      <c r="E11" s="25" t="s">
        <v>2485</v>
      </c>
      <c r="F11" s="8">
        <v>117355.3</v>
      </c>
      <c r="K11" s="25">
        <v>6</v>
      </c>
      <c r="L11" s="26">
        <v>4</v>
      </c>
    </row>
    <row r="12" spans="2:12" x14ac:dyDescent="0.3">
      <c r="B12" s="25" t="s">
        <v>2793</v>
      </c>
      <c r="C12" s="8">
        <v>5365</v>
      </c>
      <c r="E12" s="25" t="s">
        <v>2418</v>
      </c>
      <c r="F12" s="8">
        <v>106102.9</v>
      </c>
      <c r="K12" s="25">
        <v>7</v>
      </c>
      <c r="L12" s="26">
        <v>5</v>
      </c>
    </row>
    <row r="13" spans="2:12" x14ac:dyDescent="0.3">
      <c r="B13" s="25" t="s">
        <v>2428</v>
      </c>
      <c r="C13" s="8">
        <v>5293.0768421052626</v>
      </c>
      <c r="E13" s="25" t="s">
        <v>2499</v>
      </c>
      <c r="F13" s="8">
        <v>74185</v>
      </c>
      <c r="K13" s="25">
        <v>8</v>
      </c>
      <c r="L13" s="26">
        <v>5</v>
      </c>
    </row>
    <row r="14" spans="2:12" x14ac:dyDescent="0.3">
      <c r="B14" s="25" t="s">
        <v>2447</v>
      </c>
      <c r="C14" s="8">
        <v>5241.666666666667</v>
      </c>
      <c r="E14" s="25" t="s">
        <v>2660</v>
      </c>
      <c r="F14" s="8">
        <v>69930</v>
      </c>
      <c r="K14" s="25">
        <v>9</v>
      </c>
      <c r="L14" s="26">
        <v>3</v>
      </c>
    </row>
    <row r="15" spans="2:12" x14ac:dyDescent="0.3">
      <c r="B15" s="25" t="s">
        <v>2436</v>
      </c>
      <c r="C15" s="8">
        <v>4704.2261780104718</v>
      </c>
      <c r="E15" s="25" t="s">
        <v>2463</v>
      </c>
      <c r="F15" s="8">
        <v>56096</v>
      </c>
      <c r="K15" s="25">
        <v>10</v>
      </c>
      <c r="L15" s="26">
        <v>2</v>
      </c>
    </row>
    <row r="16" spans="2:12" x14ac:dyDescent="0.3">
      <c r="B16" s="25" t="s">
        <v>2422</v>
      </c>
      <c r="C16" s="8">
        <v>4298.1987179487178</v>
      </c>
      <c r="E16" s="25" t="s">
        <v>3121</v>
      </c>
      <c r="F16" s="8">
        <v>54341.9</v>
      </c>
      <c r="K16" s="25">
        <v>12</v>
      </c>
      <c r="L16" s="26">
        <v>1</v>
      </c>
    </row>
    <row r="17" spans="2:12" x14ac:dyDescent="0.3">
      <c r="B17" s="25" t="s">
        <v>2485</v>
      </c>
      <c r="C17" s="8">
        <v>4191.2607142857141</v>
      </c>
      <c r="E17" s="25" t="s">
        <v>2420</v>
      </c>
      <c r="F17" s="8">
        <v>45855</v>
      </c>
      <c r="K17" s="25">
        <v>14</v>
      </c>
      <c r="L17" s="26">
        <v>1</v>
      </c>
    </row>
    <row r="18" spans="2:12" x14ac:dyDescent="0.3">
      <c r="B18" s="25" t="s">
        <v>2553</v>
      </c>
      <c r="C18" s="8">
        <v>4080.6375000000003</v>
      </c>
      <c r="E18" s="25" t="s">
        <v>2430</v>
      </c>
      <c r="F18" s="8">
        <v>44087</v>
      </c>
      <c r="K18" s="25">
        <v>15</v>
      </c>
      <c r="L18" s="26">
        <v>1</v>
      </c>
    </row>
    <row r="19" spans="2:12" x14ac:dyDescent="0.3">
      <c r="B19" s="25" t="s">
        <v>2460</v>
      </c>
      <c r="C19" s="8">
        <v>4014.5</v>
      </c>
      <c r="E19" s="25" t="s">
        <v>2435</v>
      </c>
      <c r="F19" s="8">
        <v>37590</v>
      </c>
      <c r="K19" s="25" t="s">
        <v>3141</v>
      </c>
      <c r="L19" s="26">
        <v>864</v>
      </c>
    </row>
    <row r="20" spans="2:12" x14ac:dyDescent="0.3">
      <c r="B20" s="25" t="s">
        <v>2532</v>
      </c>
      <c r="C20" s="8">
        <v>4000</v>
      </c>
      <c r="E20" s="25" t="s">
        <v>2553</v>
      </c>
      <c r="F20" s="8">
        <v>32645.100000000002</v>
      </c>
    </row>
    <row r="21" spans="2:12" x14ac:dyDescent="0.3">
      <c r="B21" s="25" t="s">
        <v>3121</v>
      </c>
      <c r="C21" s="8">
        <v>3881.5642857142857</v>
      </c>
      <c r="E21" s="25" t="s">
        <v>2543</v>
      </c>
      <c r="F21" s="8">
        <v>29415</v>
      </c>
    </row>
    <row r="22" spans="2:12" x14ac:dyDescent="0.3">
      <c r="B22" s="25" t="s">
        <v>2778</v>
      </c>
      <c r="C22" s="8">
        <v>3700</v>
      </c>
      <c r="E22" s="25" t="s">
        <v>2747</v>
      </c>
      <c r="F22" s="8">
        <v>27750</v>
      </c>
    </row>
    <row r="23" spans="2:12" x14ac:dyDescent="0.3">
      <c r="B23" s="25" t="s">
        <v>3163</v>
      </c>
      <c r="C23" s="8">
        <v>3700</v>
      </c>
      <c r="E23" s="25" t="s">
        <v>2452</v>
      </c>
      <c r="F23" s="8">
        <v>27297.1</v>
      </c>
    </row>
    <row r="24" spans="2:12" x14ac:dyDescent="0.3">
      <c r="B24" s="25" t="s">
        <v>2430</v>
      </c>
      <c r="C24" s="8">
        <v>3673.9166666666665</v>
      </c>
      <c r="E24" s="25" t="s">
        <v>2527</v>
      </c>
      <c r="F24" s="8">
        <v>24169</v>
      </c>
    </row>
    <row r="25" spans="2:12" x14ac:dyDescent="0.3">
      <c r="B25" s="25" t="s">
        <v>2594</v>
      </c>
      <c r="C25" s="8">
        <v>3543.1</v>
      </c>
      <c r="E25" s="25" t="s">
        <v>2501</v>
      </c>
      <c r="F25" s="8">
        <v>21347</v>
      </c>
    </row>
    <row r="26" spans="2:12" x14ac:dyDescent="0.3">
      <c r="B26" s="25" t="s">
        <v>3117</v>
      </c>
      <c r="C26" s="8">
        <v>3380</v>
      </c>
      <c r="E26" s="25" t="s">
        <v>2804</v>
      </c>
      <c r="F26" s="8">
        <v>20720</v>
      </c>
    </row>
    <row r="27" spans="2:12" x14ac:dyDescent="0.3">
      <c r="B27" s="25" t="s">
        <v>2805</v>
      </c>
      <c r="C27" s="8">
        <v>3230</v>
      </c>
      <c r="E27" s="25" t="s">
        <v>2478</v>
      </c>
      <c r="F27" s="8">
        <v>19230</v>
      </c>
    </row>
    <row r="28" spans="2:12" x14ac:dyDescent="0.3">
      <c r="B28" s="25" t="s">
        <v>2418</v>
      </c>
      <c r="C28" s="8">
        <v>3120.6735294117643</v>
      </c>
      <c r="E28" s="25" t="s">
        <v>2432</v>
      </c>
      <c r="F28" s="8">
        <v>18029</v>
      </c>
    </row>
    <row r="29" spans="2:12" x14ac:dyDescent="0.3">
      <c r="B29" s="25" t="s">
        <v>2420</v>
      </c>
      <c r="C29" s="8">
        <v>3057</v>
      </c>
      <c r="E29" s="25" t="s">
        <v>3117</v>
      </c>
      <c r="F29" s="8">
        <v>16900</v>
      </c>
    </row>
    <row r="30" spans="2:12" x14ac:dyDescent="0.3">
      <c r="B30" s="25" t="s">
        <v>2501</v>
      </c>
      <c r="C30" s="8">
        <v>3049.5714285714284</v>
      </c>
      <c r="E30" s="25" t="s">
        <v>2447</v>
      </c>
      <c r="F30" s="8">
        <v>15725</v>
      </c>
    </row>
    <row r="31" spans="2:12" x14ac:dyDescent="0.3">
      <c r="B31" s="25" t="s">
        <v>2742</v>
      </c>
      <c r="C31" s="8">
        <v>2960</v>
      </c>
      <c r="E31" s="25" t="s">
        <v>2805</v>
      </c>
      <c r="F31" s="8">
        <v>12920</v>
      </c>
    </row>
    <row r="32" spans="2:12" x14ac:dyDescent="0.3">
      <c r="B32" s="25" t="s">
        <v>2506</v>
      </c>
      <c r="C32" s="8">
        <v>2800</v>
      </c>
      <c r="E32" s="25" t="s">
        <v>2799</v>
      </c>
      <c r="F32" s="8">
        <v>11473</v>
      </c>
    </row>
    <row r="33" spans="2:6" x14ac:dyDescent="0.3">
      <c r="B33" s="25" t="s">
        <v>2452</v>
      </c>
      <c r="C33" s="8">
        <v>2729.71</v>
      </c>
      <c r="E33" s="25" t="s">
        <v>2506</v>
      </c>
      <c r="F33" s="8">
        <v>11200</v>
      </c>
    </row>
    <row r="34" spans="2:6" x14ac:dyDescent="0.3">
      <c r="B34" s="25" t="s">
        <v>2527</v>
      </c>
      <c r="C34" s="8">
        <v>2685.4444444444443</v>
      </c>
      <c r="E34" s="25" t="s">
        <v>2594</v>
      </c>
      <c r="F34" s="8">
        <v>10629.3</v>
      </c>
    </row>
    <row r="35" spans="2:6" x14ac:dyDescent="0.3">
      <c r="B35" s="25" t="s">
        <v>2514</v>
      </c>
      <c r="C35" s="8">
        <v>2550</v>
      </c>
      <c r="E35" s="25" t="s">
        <v>2425</v>
      </c>
      <c r="F35" s="8">
        <v>8190</v>
      </c>
    </row>
    <row r="36" spans="2:6" x14ac:dyDescent="0.3">
      <c r="B36" s="25" t="s">
        <v>2435</v>
      </c>
      <c r="C36" s="8">
        <v>2349.375</v>
      </c>
      <c r="E36" s="25" t="s">
        <v>2460</v>
      </c>
      <c r="F36" s="8">
        <v>8029</v>
      </c>
    </row>
    <row r="37" spans="2:6" x14ac:dyDescent="0.3">
      <c r="B37" s="25" t="s">
        <v>2804</v>
      </c>
      <c r="C37" s="8">
        <v>2302.2222222222222</v>
      </c>
      <c r="E37" s="25" t="s">
        <v>2793</v>
      </c>
      <c r="F37" s="8">
        <v>5365</v>
      </c>
    </row>
    <row r="38" spans="2:6" x14ac:dyDescent="0.3">
      <c r="B38" s="25" t="s">
        <v>3098</v>
      </c>
      <c r="C38" s="8">
        <v>2150</v>
      </c>
      <c r="E38" s="25" t="s">
        <v>2514</v>
      </c>
      <c r="F38" s="8">
        <v>5100</v>
      </c>
    </row>
    <row r="39" spans="2:6" x14ac:dyDescent="0.3">
      <c r="B39" s="25" t="s">
        <v>2425</v>
      </c>
      <c r="C39" s="8">
        <v>2047.5</v>
      </c>
      <c r="E39" s="25" t="s">
        <v>3098</v>
      </c>
      <c r="F39" s="8">
        <v>4300</v>
      </c>
    </row>
    <row r="40" spans="2:6" x14ac:dyDescent="0.3">
      <c r="B40" s="25" t="s">
        <v>2566</v>
      </c>
      <c r="C40" s="8">
        <v>2040</v>
      </c>
      <c r="E40" s="25" t="s">
        <v>2647</v>
      </c>
      <c r="F40" s="8">
        <v>4180</v>
      </c>
    </row>
    <row r="41" spans="2:6" x14ac:dyDescent="0.3">
      <c r="B41" s="25" t="s">
        <v>2463</v>
      </c>
      <c r="C41" s="8">
        <v>1809.5483870967741</v>
      </c>
      <c r="E41" s="25" t="s">
        <v>2566</v>
      </c>
      <c r="F41" s="8">
        <v>4080</v>
      </c>
    </row>
    <row r="42" spans="2:6" x14ac:dyDescent="0.3">
      <c r="B42" s="25" t="s">
        <v>2478</v>
      </c>
      <c r="C42" s="8">
        <v>1748.1818181818182</v>
      </c>
      <c r="E42" s="25" t="s">
        <v>2532</v>
      </c>
      <c r="F42" s="8">
        <v>4000</v>
      </c>
    </row>
    <row r="43" spans="2:6" x14ac:dyDescent="0.3">
      <c r="B43" s="25" t="s">
        <v>2799</v>
      </c>
      <c r="C43" s="8">
        <v>1639</v>
      </c>
      <c r="E43" s="25" t="s">
        <v>2778</v>
      </c>
      <c r="F43" s="8">
        <v>3700</v>
      </c>
    </row>
    <row r="44" spans="2:6" x14ac:dyDescent="0.3">
      <c r="B44" s="25" t="s">
        <v>2432</v>
      </c>
      <c r="C44" s="8">
        <v>1386.8461538461538</v>
      </c>
      <c r="E44" s="25" t="s">
        <v>3163</v>
      </c>
      <c r="F44" s="8">
        <v>3700</v>
      </c>
    </row>
    <row r="45" spans="2:6" x14ac:dyDescent="0.3">
      <c r="B45" s="25" t="s">
        <v>3165</v>
      </c>
      <c r="C45" s="8">
        <v>1100</v>
      </c>
      <c r="E45" s="25" t="s">
        <v>2742</v>
      </c>
      <c r="F45" s="8">
        <v>2960</v>
      </c>
    </row>
    <row r="46" spans="2:6" x14ac:dyDescent="0.3">
      <c r="B46" s="25" t="s">
        <v>2497</v>
      </c>
      <c r="C46" s="8">
        <v>1050</v>
      </c>
      <c r="E46" s="25" t="s">
        <v>2480</v>
      </c>
      <c r="F46" s="8">
        <v>2904.7000000000003</v>
      </c>
    </row>
    <row r="47" spans="2:6" x14ac:dyDescent="0.3">
      <c r="B47" s="25" t="s">
        <v>2624</v>
      </c>
      <c r="C47" s="8">
        <v>1000</v>
      </c>
      <c r="E47" s="25" t="s">
        <v>2572</v>
      </c>
      <c r="F47" s="8">
        <v>1359</v>
      </c>
    </row>
    <row r="48" spans="2:6" x14ac:dyDescent="0.3">
      <c r="B48" s="25" t="s">
        <v>2480</v>
      </c>
      <c r="C48" s="8">
        <v>968.23333333333346</v>
      </c>
      <c r="E48" s="25" t="s">
        <v>3165</v>
      </c>
      <c r="F48" s="8">
        <v>1100</v>
      </c>
    </row>
    <row r="49" spans="2:10" x14ac:dyDescent="0.3">
      <c r="B49" s="25" t="s">
        <v>2647</v>
      </c>
      <c r="C49" s="8">
        <v>836</v>
      </c>
      <c r="E49" s="25" t="s">
        <v>2497</v>
      </c>
      <c r="F49" s="8">
        <v>1050</v>
      </c>
    </row>
    <row r="50" spans="2:10" x14ac:dyDescent="0.3">
      <c r="B50" s="25" t="s">
        <v>2572</v>
      </c>
      <c r="C50" s="8">
        <v>679.5</v>
      </c>
      <c r="E50" s="25" t="s">
        <v>2624</v>
      </c>
      <c r="F50" s="8">
        <v>1000</v>
      </c>
    </row>
    <row r="51" spans="2:10" x14ac:dyDescent="0.3">
      <c r="B51" s="25" t="s">
        <v>3141</v>
      </c>
      <c r="C51" s="8">
        <v>6653.7234953703692</v>
      </c>
      <c r="E51" s="25" t="s">
        <v>3141</v>
      </c>
      <c r="F51" s="8">
        <v>5748817.0999999996</v>
      </c>
    </row>
    <row r="54" spans="2:10" ht="15.6" x14ac:dyDescent="0.3">
      <c r="B54" s="35" t="s">
        <v>3171</v>
      </c>
      <c r="F54" s="35" t="s">
        <v>3174</v>
      </c>
    </row>
    <row r="55" spans="2:10" x14ac:dyDescent="0.3">
      <c r="B55" s="24" t="s">
        <v>2795</v>
      </c>
      <c r="C55" t="s">
        <v>2580</v>
      </c>
      <c r="F55" s="24" t="s">
        <v>2795</v>
      </c>
      <c r="G55" t="s">
        <v>2580</v>
      </c>
    </row>
    <row r="56" spans="2:10" x14ac:dyDescent="0.3">
      <c r="I56" s="24" t="s">
        <v>2795</v>
      </c>
      <c r="J56" t="s">
        <v>2580</v>
      </c>
    </row>
    <row r="57" spans="2:10" x14ac:dyDescent="0.3">
      <c r="B57" s="24" t="s">
        <v>3172</v>
      </c>
      <c r="C57" t="s">
        <v>3173</v>
      </c>
      <c r="F57" s="24" t="s">
        <v>3140</v>
      </c>
      <c r="G57" t="s">
        <v>3175</v>
      </c>
    </row>
    <row r="58" spans="2:10" x14ac:dyDescent="0.3">
      <c r="B58" s="25">
        <v>1960</v>
      </c>
      <c r="C58" s="8">
        <v>2600</v>
      </c>
      <c r="F58" s="25" t="s">
        <v>2996</v>
      </c>
      <c r="G58" s="26">
        <v>8</v>
      </c>
      <c r="I58" t="s">
        <v>3177</v>
      </c>
    </row>
    <row r="59" spans="2:10" x14ac:dyDescent="0.3">
      <c r="B59" s="25">
        <v>1962</v>
      </c>
      <c r="C59" s="8">
        <v>8510</v>
      </c>
      <c r="F59" s="25" t="s">
        <v>3064</v>
      </c>
      <c r="G59" s="26">
        <v>1</v>
      </c>
      <c r="I59" s="26">
        <v>1295000</v>
      </c>
    </row>
    <row r="60" spans="2:10" x14ac:dyDescent="0.3">
      <c r="B60" s="25">
        <v>1963</v>
      </c>
      <c r="C60" s="8">
        <v>4440</v>
      </c>
      <c r="F60" s="25" t="s">
        <v>3036</v>
      </c>
      <c r="G60" s="26">
        <v>2</v>
      </c>
    </row>
    <row r="61" spans="2:10" x14ac:dyDescent="0.3">
      <c r="B61" s="25">
        <v>1965</v>
      </c>
      <c r="C61" s="8">
        <v>12950</v>
      </c>
      <c r="F61" s="25" t="s">
        <v>3053</v>
      </c>
      <c r="G61" s="26">
        <v>3</v>
      </c>
    </row>
    <row r="62" spans="2:10" x14ac:dyDescent="0.3">
      <c r="B62" s="25">
        <v>1971</v>
      </c>
      <c r="C62" s="8">
        <v>2000</v>
      </c>
      <c r="F62" s="25" t="s">
        <v>2994</v>
      </c>
      <c r="G62" s="26">
        <v>1</v>
      </c>
    </row>
    <row r="63" spans="2:10" x14ac:dyDescent="0.3">
      <c r="B63" s="25">
        <v>1972</v>
      </c>
      <c r="C63" s="8">
        <v>6660</v>
      </c>
      <c r="F63" s="25" t="s">
        <v>2881</v>
      </c>
      <c r="G63" s="26">
        <v>5</v>
      </c>
    </row>
    <row r="64" spans="2:10" x14ac:dyDescent="0.3">
      <c r="B64" s="25">
        <v>1983</v>
      </c>
      <c r="C64" s="8">
        <v>3515</v>
      </c>
      <c r="F64" s="25" t="s">
        <v>3026</v>
      </c>
      <c r="G64" s="26">
        <v>2</v>
      </c>
    </row>
    <row r="65" spans="2:7" x14ac:dyDescent="0.3">
      <c r="B65" s="25">
        <v>1988</v>
      </c>
      <c r="C65" s="8">
        <v>4680</v>
      </c>
      <c r="F65" s="25" t="s">
        <v>2857</v>
      </c>
      <c r="G65" s="26">
        <v>4</v>
      </c>
    </row>
    <row r="66" spans="2:7" x14ac:dyDescent="0.3">
      <c r="B66" s="25">
        <v>1990</v>
      </c>
      <c r="C66" s="8">
        <v>3213</v>
      </c>
      <c r="F66" s="25" t="s">
        <v>2938</v>
      </c>
      <c r="G66" s="26">
        <v>1</v>
      </c>
    </row>
    <row r="67" spans="2:7" x14ac:dyDescent="0.3">
      <c r="B67" s="25">
        <v>1991</v>
      </c>
      <c r="C67" s="8">
        <v>5735</v>
      </c>
      <c r="F67" s="25" t="s">
        <v>2941</v>
      </c>
      <c r="G67" s="26">
        <v>1</v>
      </c>
    </row>
    <row r="68" spans="2:7" x14ac:dyDescent="0.3">
      <c r="B68" s="25">
        <v>1992</v>
      </c>
      <c r="C68" s="8">
        <v>7030</v>
      </c>
      <c r="F68" s="25" t="s">
        <v>3062</v>
      </c>
      <c r="G68" s="26">
        <v>1</v>
      </c>
    </row>
    <row r="69" spans="2:7" x14ac:dyDescent="0.3">
      <c r="B69" s="25">
        <v>1993</v>
      </c>
      <c r="C69" s="8">
        <v>7030</v>
      </c>
      <c r="F69" s="25" t="s">
        <v>2985</v>
      </c>
      <c r="G69" s="26">
        <v>4</v>
      </c>
    </row>
    <row r="70" spans="2:7" x14ac:dyDescent="0.3">
      <c r="B70" s="25">
        <v>1997</v>
      </c>
      <c r="C70" s="8">
        <v>6314</v>
      </c>
      <c r="F70" s="25" t="s">
        <v>3059</v>
      </c>
      <c r="G70" s="26">
        <v>2</v>
      </c>
    </row>
    <row r="71" spans="2:7" x14ac:dyDescent="0.3">
      <c r="B71" s="25">
        <v>1998</v>
      </c>
      <c r="C71" s="8">
        <v>5251.666666666667</v>
      </c>
      <c r="F71" s="25" t="s">
        <v>2823</v>
      </c>
      <c r="G71" s="26">
        <v>6</v>
      </c>
    </row>
    <row r="72" spans="2:7" x14ac:dyDescent="0.3">
      <c r="B72" s="25">
        <v>1999</v>
      </c>
      <c r="C72" s="8">
        <v>3550</v>
      </c>
      <c r="F72" s="25" t="s">
        <v>2995</v>
      </c>
      <c r="G72" s="26">
        <v>1</v>
      </c>
    </row>
    <row r="73" spans="2:7" x14ac:dyDescent="0.3">
      <c r="B73" s="25">
        <v>2000</v>
      </c>
      <c r="C73" s="8">
        <v>5165.181818181818</v>
      </c>
      <c r="F73" s="25" t="s">
        <v>3073</v>
      </c>
      <c r="G73" s="26">
        <v>1</v>
      </c>
    </row>
    <row r="74" spans="2:7" x14ac:dyDescent="0.3">
      <c r="B74" s="25">
        <v>2001</v>
      </c>
      <c r="C74" s="8">
        <v>4427.666666666667</v>
      </c>
      <c r="F74" s="25" t="s">
        <v>3043</v>
      </c>
      <c r="G74" s="26">
        <v>3</v>
      </c>
    </row>
    <row r="75" spans="2:7" x14ac:dyDescent="0.3">
      <c r="B75" s="25">
        <v>2002</v>
      </c>
      <c r="C75" s="8">
        <v>3246.6666666666665</v>
      </c>
      <c r="F75" s="25" t="s">
        <v>2834</v>
      </c>
      <c r="G75" s="26">
        <v>2</v>
      </c>
    </row>
    <row r="76" spans="2:7" x14ac:dyDescent="0.3">
      <c r="B76" s="25">
        <v>2003</v>
      </c>
      <c r="C76" s="8">
        <v>4322.6039215686269</v>
      </c>
      <c r="F76" s="25" t="s">
        <v>2851</v>
      </c>
      <c r="G76" s="26">
        <v>7</v>
      </c>
    </row>
    <row r="77" spans="2:7" x14ac:dyDescent="0.3">
      <c r="B77" s="25">
        <v>2004</v>
      </c>
      <c r="C77" s="8">
        <v>5906.1358974358973</v>
      </c>
      <c r="F77" s="25" t="s">
        <v>3074</v>
      </c>
      <c r="G77" s="26">
        <v>1</v>
      </c>
    </row>
    <row r="78" spans="2:7" x14ac:dyDescent="0.3">
      <c r="B78" s="25">
        <v>2005</v>
      </c>
      <c r="C78" s="8">
        <v>5357.4888888888891</v>
      </c>
      <c r="F78" s="25" t="s">
        <v>2870</v>
      </c>
      <c r="G78" s="26">
        <v>2</v>
      </c>
    </row>
    <row r="79" spans="2:7" x14ac:dyDescent="0.3">
      <c r="B79" s="25">
        <v>2006</v>
      </c>
      <c r="C79" s="8">
        <v>5425.6894736842105</v>
      </c>
      <c r="F79" s="25" t="s">
        <v>2866</v>
      </c>
      <c r="G79" s="26">
        <v>4</v>
      </c>
    </row>
    <row r="80" spans="2:7" x14ac:dyDescent="0.3">
      <c r="B80" s="25">
        <v>2007</v>
      </c>
      <c r="C80" s="8">
        <v>3333.4760869565216</v>
      </c>
      <c r="F80" s="25" t="s">
        <v>2844</v>
      </c>
      <c r="G80" s="26">
        <v>13</v>
      </c>
    </row>
    <row r="81" spans="2:7" x14ac:dyDescent="0.3">
      <c r="B81" s="25">
        <v>2008</v>
      </c>
      <c r="C81" s="8">
        <v>4276.4142857142851</v>
      </c>
      <c r="F81" s="25" t="s">
        <v>2979</v>
      </c>
      <c r="G81" s="26">
        <v>2</v>
      </c>
    </row>
    <row r="82" spans="2:7" x14ac:dyDescent="0.3">
      <c r="B82" s="25">
        <v>2009</v>
      </c>
      <c r="C82" s="8">
        <v>4164.3857142857141</v>
      </c>
      <c r="F82" s="25" t="s">
        <v>3091</v>
      </c>
      <c r="G82" s="26">
        <v>4</v>
      </c>
    </row>
    <row r="83" spans="2:7" x14ac:dyDescent="0.3">
      <c r="B83" s="25">
        <v>2010</v>
      </c>
      <c r="C83" s="8">
        <v>5515.9313725490192</v>
      </c>
      <c r="F83" s="25" t="s">
        <v>3006</v>
      </c>
      <c r="G83" s="26">
        <v>3</v>
      </c>
    </row>
    <row r="84" spans="2:7" x14ac:dyDescent="0.3">
      <c r="B84" s="25">
        <v>2011</v>
      </c>
      <c r="C84" s="8">
        <v>4359.304347826087</v>
      </c>
      <c r="F84" s="25" t="s">
        <v>2828</v>
      </c>
      <c r="G84" s="26">
        <v>2</v>
      </c>
    </row>
    <row r="85" spans="2:7" x14ac:dyDescent="0.3">
      <c r="B85" s="25">
        <v>2012</v>
      </c>
      <c r="C85" s="8">
        <v>4166.9160000000002</v>
      </c>
      <c r="F85" s="25" t="s">
        <v>3054</v>
      </c>
      <c r="G85" s="26">
        <v>1</v>
      </c>
    </row>
    <row r="86" spans="2:7" x14ac:dyDescent="0.3">
      <c r="B86" s="25">
        <v>2013</v>
      </c>
      <c r="C86" s="8">
        <v>19188.372549019608</v>
      </c>
      <c r="F86" s="25" t="s">
        <v>2980</v>
      </c>
      <c r="G86" s="26">
        <v>1</v>
      </c>
    </row>
    <row r="87" spans="2:7" x14ac:dyDescent="0.3">
      <c r="B87" s="25">
        <v>2014</v>
      </c>
      <c r="C87" s="8">
        <v>3884.3836065573769</v>
      </c>
      <c r="F87" s="25" t="s">
        <v>2827</v>
      </c>
      <c r="G87" s="26">
        <v>9</v>
      </c>
    </row>
    <row r="88" spans="2:7" x14ac:dyDescent="0.3">
      <c r="B88" s="25">
        <v>2015</v>
      </c>
      <c r="C88" s="8">
        <v>4552.2</v>
      </c>
      <c r="F88" s="25" t="s">
        <v>3033</v>
      </c>
      <c r="G88" s="26">
        <v>1</v>
      </c>
    </row>
    <row r="89" spans="2:7" x14ac:dyDescent="0.3">
      <c r="B89" s="25">
        <v>2016</v>
      </c>
      <c r="C89" s="8">
        <v>4034.4749999999999</v>
      </c>
      <c r="F89" s="25" t="s">
        <v>3061</v>
      </c>
      <c r="G89" s="26">
        <v>1</v>
      </c>
    </row>
    <row r="90" spans="2:7" x14ac:dyDescent="0.3">
      <c r="B90" s="25">
        <v>2017</v>
      </c>
      <c r="C90" s="8">
        <v>4395.3975609756098</v>
      </c>
      <c r="F90" s="25" t="s">
        <v>2913</v>
      </c>
      <c r="G90" s="26">
        <v>1</v>
      </c>
    </row>
    <row r="91" spans="2:7" x14ac:dyDescent="0.3">
      <c r="B91" s="25">
        <v>2018</v>
      </c>
      <c r="C91" s="8">
        <v>3428.1683333333335</v>
      </c>
      <c r="F91" s="25" t="s">
        <v>2988</v>
      </c>
      <c r="G91" s="26">
        <v>1</v>
      </c>
    </row>
    <row r="92" spans="2:7" x14ac:dyDescent="0.3">
      <c r="B92" s="25">
        <v>2019</v>
      </c>
      <c r="C92" s="8">
        <v>2921.2727272727275</v>
      </c>
      <c r="F92" s="25" t="s">
        <v>2817</v>
      </c>
      <c r="G92" s="26">
        <v>1</v>
      </c>
    </row>
    <row r="93" spans="2:7" x14ac:dyDescent="0.3">
      <c r="B93" s="25">
        <v>2020</v>
      </c>
      <c r="C93" s="8">
        <v>95421.857142857145</v>
      </c>
      <c r="F93" s="25" t="s">
        <v>2922</v>
      </c>
      <c r="G93" s="26">
        <v>1</v>
      </c>
    </row>
    <row r="94" spans="2:7" x14ac:dyDescent="0.3">
      <c r="B94" s="25">
        <v>2021</v>
      </c>
      <c r="C94" s="8">
        <v>2113.1666666666665</v>
      </c>
      <c r="F94" s="25" t="s">
        <v>3071</v>
      </c>
      <c r="G94" s="26">
        <v>1</v>
      </c>
    </row>
    <row r="95" spans="2:7" x14ac:dyDescent="0.3">
      <c r="B95" s="25">
        <v>2022</v>
      </c>
      <c r="C95" s="8">
        <v>1837.8125</v>
      </c>
      <c r="F95" s="25" t="s">
        <v>2917</v>
      </c>
      <c r="G95" s="26">
        <v>2</v>
      </c>
    </row>
    <row r="96" spans="2:7" x14ac:dyDescent="0.3">
      <c r="B96" s="25">
        <v>2023</v>
      </c>
      <c r="C96" s="8">
        <v>1829.1818181818182</v>
      </c>
      <c r="F96" s="25" t="s">
        <v>3051</v>
      </c>
      <c r="G96" s="26">
        <v>1</v>
      </c>
    </row>
    <row r="97" spans="2:7" x14ac:dyDescent="0.3">
      <c r="B97" s="25" t="s">
        <v>3141</v>
      </c>
      <c r="C97" s="8">
        <v>6653.7234953703701</v>
      </c>
      <c r="F97" s="25" t="s">
        <v>2888</v>
      </c>
      <c r="G97" s="26">
        <v>2</v>
      </c>
    </row>
    <row r="98" spans="2:7" x14ac:dyDescent="0.3">
      <c r="F98" s="25" t="s">
        <v>2877</v>
      </c>
      <c r="G98" s="26">
        <v>5</v>
      </c>
    </row>
    <row r="99" spans="2:7" x14ac:dyDescent="0.3">
      <c r="F99" s="25" t="s">
        <v>2871</v>
      </c>
      <c r="G99" s="26">
        <v>3</v>
      </c>
    </row>
    <row r="100" spans="2:7" x14ac:dyDescent="0.3">
      <c r="F100" s="25" t="s">
        <v>3040</v>
      </c>
      <c r="G100" s="26">
        <v>2</v>
      </c>
    </row>
    <row r="101" spans="2:7" x14ac:dyDescent="0.3">
      <c r="F101" s="25" t="s">
        <v>3060</v>
      </c>
      <c r="G101" s="26">
        <v>1</v>
      </c>
    </row>
    <row r="102" spans="2:7" x14ac:dyDescent="0.3">
      <c r="F102" s="25" t="s">
        <v>3001</v>
      </c>
      <c r="G102" s="26">
        <v>3</v>
      </c>
    </row>
    <row r="103" spans="2:7" x14ac:dyDescent="0.3">
      <c r="F103" s="25" t="s">
        <v>3032</v>
      </c>
      <c r="G103" s="26">
        <v>1</v>
      </c>
    </row>
    <row r="104" spans="2:7" x14ac:dyDescent="0.3">
      <c r="F104" s="25" t="s">
        <v>2818</v>
      </c>
      <c r="G104" s="26">
        <v>5</v>
      </c>
    </row>
    <row r="105" spans="2:7" x14ac:dyDescent="0.3">
      <c r="F105" s="25" t="s">
        <v>2983</v>
      </c>
      <c r="G105" s="26">
        <v>1</v>
      </c>
    </row>
    <row r="106" spans="2:7" x14ac:dyDescent="0.3">
      <c r="F106" s="25" t="s">
        <v>3035</v>
      </c>
      <c r="G106" s="26">
        <v>1</v>
      </c>
    </row>
    <row r="107" spans="2:7" x14ac:dyDescent="0.3">
      <c r="F107" s="25" t="s">
        <v>2916</v>
      </c>
      <c r="G107" s="26">
        <v>1</v>
      </c>
    </row>
    <row r="108" spans="2:7" x14ac:dyDescent="0.3">
      <c r="F108" s="25" t="s">
        <v>3002</v>
      </c>
      <c r="G108" s="26">
        <v>6</v>
      </c>
    </row>
    <row r="109" spans="2:7" x14ac:dyDescent="0.3">
      <c r="F109" s="25" t="s">
        <v>3038</v>
      </c>
      <c r="G109" s="26">
        <v>1</v>
      </c>
    </row>
    <row r="110" spans="2:7" x14ac:dyDescent="0.3">
      <c r="F110" s="25" t="s">
        <v>2898</v>
      </c>
      <c r="G110" s="26">
        <v>4</v>
      </c>
    </row>
    <row r="111" spans="2:7" x14ac:dyDescent="0.3">
      <c r="F111" s="25" t="s">
        <v>2989</v>
      </c>
      <c r="G111" s="26">
        <v>1</v>
      </c>
    </row>
    <row r="112" spans="2:7" x14ac:dyDescent="0.3">
      <c r="F112" s="25" t="s">
        <v>2838</v>
      </c>
      <c r="G112" s="26">
        <v>1</v>
      </c>
    </row>
    <row r="113" spans="6:7" x14ac:dyDescent="0.3">
      <c r="F113" s="25" t="s">
        <v>3067</v>
      </c>
      <c r="G113" s="26">
        <v>1</v>
      </c>
    </row>
    <row r="114" spans="6:7" x14ac:dyDescent="0.3">
      <c r="F114" s="25" t="s">
        <v>3039</v>
      </c>
      <c r="G114" s="26">
        <v>1</v>
      </c>
    </row>
    <row r="115" spans="6:7" x14ac:dyDescent="0.3">
      <c r="F115" s="25" t="s">
        <v>2923</v>
      </c>
      <c r="G115" s="26">
        <v>1</v>
      </c>
    </row>
    <row r="116" spans="6:7" x14ac:dyDescent="0.3">
      <c r="F116" s="25" t="s">
        <v>2875</v>
      </c>
      <c r="G116" s="26">
        <v>8</v>
      </c>
    </row>
    <row r="117" spans="6:7" x14ac:dyDescent="0.3">
      <c r="F117" s="25" t="s">
        <v>2896</v>
      </c>
      <c r="G117" s="26">
        <v>17</v>
      </c>
    </row>
    <row r="118" spans="6:7" x14ac:dyDescent="0.3">
      <c r="F118" s="25" t="s">
        <v>2900</v>
      </c>
      <c r="G118" s="26">
        <v>1</v>
      </c>
    </row>
    <row r="119" spans="6:7" x14ac:dyDescent="0.3">
      <c r="F119" s="25" t="s">
        <v>2880</v>
      </c>
      <c r="G119" s="26">
        <v>2</v>
      </c>
    </row>
    <row r="120" spans="6:7" x14ac:dyDescent="0.3">
      <c r="F120" s="25" t="s">
        <v>2964</v>
      </c>
      <c r="G120" s="26">
        <v>1</v>
      </c>
    </row>
    <row r="121" spans="6:7" x14ac:dyDescent="0.3">
      <c r="F121" s="25" t="s">
        <v>2897</v>
      </c>
      <c r="G121" s="26">
        <v>3</v>
      </c>
    </row>
    <row r="122" spans="6:7" x14ac:dyDescent="0.3">
      <c r="F122" s="25" t="s">
        <v>2893</v>
      </c>
      <c r="G122" s="26">
        <v>6</v>
      </c>
    </row>
    <row r="123" spans="6:7" x14ac:dyDescent="0.3">
      <c r="F123" s="25" t="s">
        <v>2946</v>
      </c>
      <c r="G123" s="26">
        <v>2</v>
      </c>
    </row>
    <row r="124" spans="6:7" x14ac:dyDescent="0.3">
      <c r="F124" s="25" t="s">
        <v>2955</v>
      </c>
      <c r="G124" s="26">
        <v>1</v>
      </c>
    </row>
    <row r="125" spans="6:7" x14ac:dyDescent="0.3">
      <c r="F125" s="25" t="s">
        <v>2950</v>
      </c>
      <c r="G125" s="26">
        <v>2</v>
      </c>
    </row>
    <row r="126" spans="6:7" x14ac:dyDescent="0.3">
      <c r="F126" s="25" t="s">
        <v>2993</v>
      </c>
      <c r="G126" s="26">
        <v>1</v>
      </c>
    </row>
    <row r="127" spans="6:7" x14ac:dyDescent="0.3">
      <c r="F127" s="25" t="s">
        <v>3030</v>
      </c>
      <c r="G127" s="26">
        <v>1</v>
      </c>
    </row>
    <row r="128" spans="6:7" x14ac:dyDescent="0.3">
      <c r="F128" s="25" t="s">
        <v>3079</v>
      </c>
      <c r="G128" s="26">
        <v>1</v>
      </c>
    </row>
    <row r="129" spans="6:7" x14ac:dyDescent="0.3">
      <c r="F129" s="25" t="s">
        <v>3068</v>
      </c>
      <c r="G129" s="26">
        <v>1</v>
      </c>
    </row>
    <row r="130" spans="6:7" x14ac:dyDescent="0.3">
      <c r="F130" s="25" t="s">
        <v>2848</v>
      </c>
      <c r="G130" s="26">
        <v>5</v>
      </c>
    </row>
    <row r="131" spans="6:7" x14ac:dyDescent="0.3">
      <c r="F131" s="25" t="s">
        <v>3028</v>
      </c>
      <c r="G131" s="26">
        <v>2</v>
      </c>
    </row>
    <row r="132" spans="6:7" x14ac:dyDescent="0.3">
      <c r="F132" s="25" t="s">
        <v>2934</v>
      </c>
      <c r="G132" s="26">
        <v>2</v>
      </c>
    </row>
    <row r="133" spans="6:7" x14ac:dyDescent="0.3">
      <c r="F133" s="25" t="s">
        <v>2942</v>
      </c>
      <c r="G133" s="26">
        <v>2</v>
      </c>
    </row>
    <row r="134" spans="6:7" x14ac:dyDescent="0.3">
      <c r="F134" s="25" t="s">
        <v>2865</v>
      </c>
      <c r="G134" s="26">
        <v>4</v>
      </c>
    </row>
    <row r="135" spans="6:7" x14ac:dyDescent="0.3">
      <c r="F135" s="25" t="s">
        <v>2825</v>
      </c>
      <c r="G135" s="26">
        <v>1</v>
      </c>
    </row>
    <row r="136" spans="6:7" x14ac:dyDescent="0.3">
      <c r="F136" s="25" t="s">
        <v>2862</v>
      </c>
      <c r="G136" s="26">
        <v>15</v>
      </c>
    </row>
    <row r="137" spans="6:7" x14ac:dyDescent="0.3">
      <c r="F137" s="25" t="s">
        <v>3009</v>
      </c>
      <c r="G137" s="26">
        <v>1</v>
      </c>
    </row>
    <row r="138" spans="6:7" x14ac:dyDescent="0.3">
      <c r="F138" s="25" t="s">
        <v>3041</v>
      </c>
      <c r="G138" s="26">
        <v>1</v>
      </c>
    </row>
    <row r="139" spans="6:7" x14ac:dyDescent="0.3">
      <c r="F139" s="25" t="s">
        <v>3010</v>
      </c>
      <c r="G139" s="26">
        <v>2</v>
      </c>
    </row>
    <row r="140" spans="6:7" x14ac:dyDescent="0.3">
      <c r="F140" s="25" t="s">
        <v>2970</v>
      </c>
      <c r="G140" s="26">
        <v>1</v>
      </c>
    </row>
    <row r="141" spans="6:7" x14ac:dyDescent="0.3">
      <c r="F141" s="25" t="s">
        <v>2814</v>
      </c>
      <c r="G141" s="26">
        <v>4</v>
      </c>
    </row>
    <row r="142" spans="6:7" x14ac:dyDescent="0.3">
      <c r="F142" s="25" t="s">
        <v>3012</v>
      </c>
      <c r="G142" s="26">
        <v>1</v>
      </c>
    </row>
    <row r="143" spans="6:7" x14ac:dyDescent="0.3">
      <c r="F143" s="25" t="s">
        <v>2894</v>
      </c>
      <c r="G143" s="26">
        <v>2</v>
      </c>
    </row>
    <row r="144" spans="6:7" x14ac:dyDescent="0.3">
      <c r="F144" s="25" t="s">
        <v>2907</v>
      </c>
      <c r="G144" s="26">
        <v>2</v>
      </c>
    </row>
    <row r="145" spans="6:7" x14ac:dyDescent="0.3">
      <c r="F145" s="25" t="s">
        <v>2864</v>
      </c>
      <c r="G145" s="26">
        <v>1</v>
      </c>
    </row>
    <row r="146" spans="6:7" x14ac:dyDescent="0.3">
      <c r="F146" s="25" t="s">
        <v>2953</v>
      </c>
      <c r="G146" s="26">
        <v>1</v>
      </c>
    </row>
    <row r="147" spans="6:7" x14ac:dyDescent="0.3">
      <c r="F147" s="25" t="s">
        <v>3058</v>
      </c>
      <c r="G147" s="26">
        <v>1</v>
      </c>
    </row>
    <row r="148" spans="6:7" x14ac:dyDescent="0.3">
      <c r="F148" s="25" t="s">
        <v>3065</v>
      </c>
      <c r="G148" s="26">
        <v>1</v>
      </c>
    </row>
    <row r="149" spans="6:7" x14ac:dyDescent="0.3">
      <c r="F149" s="25" t="s">
        <v>2874</v>
      </c>
      <c r="G149" s="26">
        <v>1</v>
      </c>
    </row>
    <row r="150" spans="6:7" x14ac:dyDescent="0.3">
      <c r="F150" s="25" t="s">
        <v>3015</v>
      </c>
      <c r="G150" s="26">
        <v>1</v>
      </c>
    </row>
    <row r="151" spans="6:7" x14ac:dyDescent="0.3">
      <c r="F151" s="25" t="s">
        <v>2859</v>
      </c>
      <c r="G151" s="26">
        <v>2</v>
      </c>
    </row>
    <row r="152" spans="6:7" x14ac:dyDescent="0.3">
      <c r="F152" s="25" t="s">
        <v>2829</v>
      </c>
      <c r="G152" s="26">
        <v>5</v>
      </c>
    </row>
    <row r="153" spans="6:7" x14ac:dyDescent="0.3">
      <c r="F153" s="25" t="s">
        <v>3044</v>
      </c>
      <c r="G153" s="26">
        <v>2</v>
      </c>
    </row>
    <row r="154" spans="6:7" x14ac:dyDescent="0.3">
      <c r="F154" s="25" t="s">
        <v>3082</v>
      </c>
      <c r="G154" s="26">
        <v>1</v>
      </c>
    </row>
    <row r="155" spans="6:7" x14ac:dyDescent="0.3">
      <c r="F155" s="25" t="s">
        <v>2912</v>
      </c>
      <c r="G155" s="26">
        <v>2</v>
      </c>
    </row>
    <row r="156" spans="6:7" x14ac:dyDescent="0.3">
      <c r="F156" s="25" t="s">
        <v>2855</v>
      </c>
      <c r="G156" s="26">
        <v>2</v>
      </c>
    </row>
    <row r="157" spans="6:7" x14ac:dyDescent="0.3">
      <c r="F157" s="25" t="s">
        <v>2901</v>
      </c>
      <c r="G157" s="26">
        <v>4</v>
      </c>
    </row>
    <row r="158" spans="6:7" x14ac:dyDescent="0.3">
      <c r="F158" s="25" t="s">
        <v>3123</v>
      </c>
      <c r="G158" s="26">
        <v>8</v>
      </c>
    </row>
    <row r="159" spans="6:7" x14ac:dyDescent="0.3">
      <c r="F159" s="25" t="s">
        <v>2831</v>
      </c>
      <c r="G159" s="26">
        <v>11</v>
      </c>
    </row>
    <row r="160" spans="6:7" x14ac:dyDescent="0.3">
      <c r="F160" s="25" t="s">
        <v>2826</v>
      </c>
      <c r="G160" s="26">
        <v>15</v>
      </c>
    </row>
    <row r="161" spans="6:7" x14ac:dyDescent="0.3">
      <c r="F161" s="25" t="s">
        <v>2884</v>
      </c>
      <c r="G161" s="26">
        <v>4</v>
      </c>
    </row>
    <row r="162" spans="6:7" x14ac:dyDescent="0.3">
      <c r="F162" s="25" t="s">
        <v>2932</v>
      </c>
      <c r="G162" s="26">
        <v>5</v>
      </c>
    </row>
    <row r="163" spans="6:7" x14ac:dyDescent="0.3">
      <c r="F163" s="25" t="s">
        <v>2920</v>
      </c>
      <c r="G163" s="26">
        <v>5</v>
      </c>
    </row>
    <row r="164" spans="6:7" x14ac:dyDescent="0.3">
      <c r="F164" s="25" t="s">
        <v>3000</v>
      </c>
      <c r="G164" s="26">
        <v>1</v>
      </c>
    </row>
    <row r="165" spans="6:7" x14ac:dyDescent="0.3">
      <c r="F165" s="25" t="s">
        <v>3024</v>
      </c>
      <c r="G165" s="26">
        <v>1</v>
      </c>
    </row>
    <row r="166" spans="6:7" x14ac:dyDescent="0.3">
      <c r="F166" s="25" t="s">
        <v>2936</v>
      </c>
      <c r="G166" s="26">
        <v>2</v>
      </c>
    </row>
    <row r="167" spans="6:7" x14ac:dyDescent="0.3">
      <c r="F167" s="25" t="s">
        <v>2836</v>
      </c>
      <c r="G167" s="26">
        <v>1</v>
      </c>
    </row>
    <row r="168" spans="6:7" x14ac:dyDescent="0.3">
      <c r="F168" s="25" t="s">
        <v>2868</v>
      </c>
      <c r="G168" s="26">
        <v>4</v>
      </c>
    </row>
    <row r="169" spans="6:7" x14ac:dyDescent="0.3">
      <c r="F169" s="25" t="s">
        <v>2992</v>
      </c>
      <c r="G169" s="26">
        <v>1</v>
      </c>
    </row>
    <row r="170" spans="6:7" x14ac:dyDescent="0.3">
      <c r="F170" s="25" t="s">
        <v>3157</v>
      </c>
      <c r="G170" s="26">
        <v>18</v>
      </c>
    </row>
    <row r="171" spans="6:7" x14ac:dyDescent="0.3">
      <c r="F171" s="25" t="s">
        <v>3025</v>
      </c>
      <c r="G171" s="26">
        <v>1</v>
      </c>
    </row>
    <row r="172" spans="6:7" x14ac:dyDescent="0.3">
      <c r="F172" s="25" t="s">
        <v>3089</v>
      </c>
      <c r="G172" s="26">
        <v>1</v>
      </c>
    </row>
    <row r="173" spans="6:7" x14ac:dyDescent="0.3">
      <c r="F173" s="25" t="s">
        <v>2918</v>
      </c>
      <c r="G173" s="26">
        <v>3</v>
      </c>
    </row>
    <row r="174" spans="6:7" x14ac:dyDescent="0.3">
      <c r="F174" s="25" t="s">
        <v>2839</v>
      </c>
      <c r="G174" s="26">
        <v>3</v>
      </c>
    </row>
    <row r="175" spans="6:7" x14ac:dyDescent="0.3">
      <c r="F175" s="25" t="s">
        <v>2908</v>
      </c>
      <c r="G175" s="26">
        <v>2</v>
      </c>
    </row>
    <row r="176" spans="6:7" x14ac:dyDescent="0.3">
      <c r="F176" s="25" t="s">
        <v>2976</v>
      </c>
      <c r="G176" s="26">
        <v>1</v>
      </c>
    </row>
    <row r="177" spans="6:7" x14ac:dyDescent="0.3">
      <c r="F177" s="25" t="s">
        <v>2971</v>
      </c>
      <c r="G177" s="26">
        <v>1</v>
      </c>
    </row>
    <row r="178" spans="6:7" x14ac:dyDescent="0.3">
      <c r="F178" s="25" t="s">
        <v>2931</v>
      </c>
      <c r="G178" s="26">
        <v>1</v>
      </c>
    </row>
    <row r="179" spans="6:7" x14ac:dyDescent="0.3">
      <c r="F179" s="25" t="s">
        <v>2816</v>
      </c>
      <c r="G179" s="26">
        <v>4</v>
      </c>
    </row>
    <row r="180" spans="6:7" x14ac:dyDescent="0.3">
      <c r="F180" s="25" t="s">
        <v>2987</v>
      </c>
      <c r="G180" s="26">
        <v>1</v>
      </c>
    </row>
    <row r="181" spans="6:7" x14ac:dyDescent="0.3">
      <c r="F181" s="25" t="s">
        <v>2990</v>
      </c>
      <c r="G181" s="26">
        <v>1</v>
      </c>
    </row>
    <row r="182" spans="6:7" x14ac:dyDescent="0.3">
      <c r="F182" s="25" t="s">
        <v>2947</v>
      </c>
      <c r="G182" s="26">
        <v>4</v>
      </c>
    </row>
    <row r="183" spans="6:7" x14ac:dyDescent="0.3">
      <c r="F183" s="25" t="s">
        <v>2965</v>
      </c>
      <c r="G183" s="26">
        <v>1</v>
      </c>
    </row>
    <row r="184" spans="6:7" x14ac:dyDescent="0.3">
      <c r="F184" s="25" t="s">
        <v>2958</v>
      </c>
      <c r="G184" s="26">
        <v>7</v>
      </c>
    </row>
    <row r="185" spans="6:7" x14ac:dyDescent="0.3">
      <c r="F185" s="25" t="s">
        <v>2892</v>
      </c>
      <c r="G185" s="26">
        <v>1</v>
      </c>
    </row>
    <row r="186" spans="6:7" x14ac:dyDescent="0.3">
      <c r="F186" s="25" t="s">
        <v>3016</v>
      </c>
      <c r="G186" s="26">
        <v>1</v>
      </c>
    </row>
    <row r="187" spans="6:7" x14ac:dyDescent="0.3">
      <c r="F187" s="25" t="s">
        <v>2948</v>
      </c>
      <c r="G187" s="26">
        <v>2</v>
      </c>
    </row>
    <row r="188" spans="6:7" x14ac:dyDescent="0.3">
      <c r="F188" s="25" t="s">
        <v>3047</v>
      </c>
      <c r="G188" s="26">
        <v>1</v>
      </c>
    </row>
    <row r="189" spans="6:7" x14ac:dyDescent="0.3">
      <c r="F189" s="25" t="s">
        <v>2956</v>
      </c>
      <c r="G189" s="26">
        <v>2</v>
      </c>
    </row>
    <row r="190" spans="6:7" x14ac:dyDescent="0.3">
      <c r="F190" s="25" t="s">
        <v>2984</v>
      </c>
      <c r="G190" s="26">
        <v>1</v>
      </c>
    </row>
    <row r="191" spans="6:7" x14ac:dyDescent="0.3">
      <c r="F191" s="25" t="s">
        <v>3056</v>
      </c>
      <c r="G191" s="26">
        <v>1</v>
      </c>
    </row>
    <row r="192" spans="6:7" x14ac:dyDescent="0.3">
      <c r="F192" s="25" t="s">
        <v>3085</v>
      </c>
      <c r="G192" s="26">
        <v>5</v>
      </c>
    </row>
    <row r="193" spans="6:7" x14ac:dyDescent="0.3">
      <c r="F193" s="25" t="s">
        <v>2998</v>
      </c>
      <c r="G193" s="26">
        <v>1</v>
      </c>
    </row>
    <row r="194" spans="6:7" x14ac:dyDescent="0.3">
      <c r="F194" s="25" t="s">
        <v>3022</v>
      </c>
      <c r="G194" s="26">
        <v>1</v>
      </c>
    </row>
    <row r="195" spans="6:7" x14ac:dyDescent="0.3">
      <c r="F195" s="25" t="s">
        <v>3070</v>
      </c>
      <c r="G195" s="26">
        <v>1</v>
      </c>
    </row>
    <row r="196" spans="6:7" x14ac:dyDescent="0.3">
      <c r="F196" s="25" t="s">
        <v>2911</v>
      </c>
      <c r="G196" s="26">
        <v>1</v>
      </c>
    </row>
    <row r="197" spans="6:7" x14ac:dyDescent="0.3">
      <c r="F197" s="25" t="s">
        <v>2903</v>
      </c>
      <c r="G197" s="26">
        <v>6</v>
      </c>
    </row>
    <row r="198" spans="6:7" x14ac:dyDescent="0.3">
      <c r="F198" s="25" t="s">
        <v>3158</v>
      </c>
      <c r="G198" s="26">
        <v>5</v>
      </c>
    </row>
    <row r="199" spans="6:7" x14ac:dyDescent="0.3">
      <c r="F199" s="25" t="s">
        <v>2977</v>
      </c>
      <c r="G199" s="26">
        <v>3</v>
      </c>
    </row>
    <row r="200" spans="6:7" x14ac:dyDescent="0.3">
      <c r="F200" s="25" t="s">
        <v>2842</v>
      </c>
      <c r="G200" s="26">
        <v>1</v>
      </c>
    </row>
    <row r="201" spans="6:7" x14ac:dyDescent="0.3">
      <c r="F201" s="25" t="s">
        <v>2904</v>
      </c>
      <c r="G201" s="26">
        <v>7</v>
      </c>
    </row>
    <row r="202" spans="6:7" x14ac:dyDescent="0.3">
      <c r="F202" s="25" t="s">
        <v>2997</v>
      </c>
      <c r="G202" s="26">
        <v>1</v>
      </c>
    </row>
    <row r="203" spans="6:7" x14ac:dyDescent="0.3">
      <c r="F203" s="25" t="s">
        <v>2959</v>
      </c>
      <c r="G203" s="26">
        <v>4</v>
      </c>
    </row>
    <row r="204" spans="6:7" x14ac:dyDescent="0.3">
      <c r="F204" s="25" t="s">
        <v>2940</v>
      </c>
      <c r="G204" s="26">
        <v>2</v>
      </c>
    </row>
    <row r="205" spans="6:7" x14ac:dyDescent="0.3">
      <c r="F205" s="25" t="s">
        <v>3011</v>
      </c>
      <c r="G205" s="26">
        <v>3</v>
      </c>
    </row>
    <row r="206" spans="6:7" x14ac:dyDescent="0.3">
      <c r="F206" s="25" t="s">
        <v>2944</v>
      </c>
      <c r="G206" s="26">
        <v>2</v>
      </c>
    </row>
    <row r="207" spans="6:7" x14ac:dyDescent="0.3">
      <c r="F207" s="25" t="s">
        <v>3049</v>
      </c>
      <c r="G207" s="26">
        <v>1</v>
      </c>
    </row>
    <row r="208" spans="6:7" x14ac:dyDescent="0.3">
      <c r="F208" s="25" t="s">
        <v>2926</v>
      </c>
      <c r="G208" s="26">
        <v>1</v>
      </c>
    </row>
    <row r="209" spans="6:7" x14ac:dyDescent="0.3">
      <c r="F209" s="25" t="s">
        <v>2968</v>
      </c>
      <c r="G209" s="26">
        <v>1</v>
      </c>
    </row>
    <row r="210" spans="6:7" x14ac:dyDescent="0.3">
      <c r="F210" s="25" t="s">
        <v>2943</v>
      </c>
      <c r="G210" s="26">
        <v>4</v>
      </c>
    </row>
    <row r="211" spans="6:7" x14ac:dyDescent="0.3">
      <c r="F211" s="25" t="s">
        <v>3027</v>
      </c>
      <c r="G211" s="26">
        <v>2</v>
      </c>
    </row>
    <row r="212" spans="6:7" x14ac:dyDescent="0.3">
      <c r="F212" s="25" t="s">
        <v>2905</v>
      </c>
      <c r="G212" s="26">
        <v>4</v>
      </c>
    </row>
    <row r="213" spans="6:7" x14ac:dyDescent="0.3">
      <c r="F213" s="25" t="s">
        <v>3099</v>
      </c>
      <c r="G213" s="26">
        <v>2</v>
      </c>
    </row>
    <row r="214" spans="6:7" x14ac:dyDescent="0.3">
      <c r="F214" s="25" t="s">
        <v>3084</v>
      </c>
      <c r="G214" s="26">
        <v>3</v>
      </c>
    </row>
    <row r="215" spans="6:7" x14ac:dyDescent="0.3">
      <c r="F215" s="25" t="s">
        <v>2837</v>
      </c>
      <c r="G215" s="26">
        <v>1</v>
      </c>
    </row>
    <row r="216" spans="6:7" x14ac:dyDescent="0.3">
      <c r="F216" s="25" t="s">
        <v>2914</v>
      </c>
      <c r="G216" s="26">
        <v>2</v>
      </c>
    </row>
    <row r="217" spans="6:7" x14ac:dyDescent="0.3">
      <c r="F217" s="25" t="s">
        <v>3021</v>
      </c>
      <c r="G217" s="26">
        <v>1</v>
      </c>
    </row>
    <row r="218" spans="6:7" x14ac:dyDescent="0.3">
      <c r="F218" s="25" t="s">
        <v>2891</v>
      </c>
      <c r="G218" s="26">
        <v>5</v>
      </c>
    </row>
    <row r="219" spans="6:7" x14ac:dyDescent="0.3">
      <c r="F219" s="25" t="s">
        <v>2928</v>
      </c>
      <c r="G219" s="26">
        <v>2</v>
      </c>
    </row>
    <row r="220" spans="6:7" x14ac:dyDescent="0.3">
      <c r="F220" s="25" t="s">
        <v>3100</v>
      </c>
      <c r="G220" s="26">
        <v>2</v>
      </c>
    </row>
    <row r="221" spans="6:7" x14ac:dyDescent="0.3">
      <c r="F221" s="25" t="s">
        <v>2872</v>
      </c>
      <c r="G221" s="26">
        <v>2</v>
      </c>
    </row>
    <row r="222" spans="6:7" x14ac:dyDescent="0.3">
      <c r="F222" s="25" t="s">
        <v>3007</v>
      </c>
      <c r="G222" s="26">
        <v>1</v>
      </c>
    </row>
    <row r="223" spans="6:7" x14ac:dyDescent="0.3">
      <c r="F223" s="25" t="s">
        <v>3042</v>
      </c>
      <c r="G223" s="26">
        <v>1</v>
      </c>
    </row>
    <row r="224" spans="6:7" x14ac:dyDescent="0.3">
      <c r="F224" s="25" t="s">
        <v>2966</v>
      </c>
      <c r="G224" s="26">
        <v>2</v>
      </c>
    </row>
    <row r="225" spans="6:7" x14ac:dyDescent="0.3">
      <c r="F225" s="25" t="s">
        <v>3017</v>
      </c>
      <c r="G225" s="26">
        <v>1</v>
      </c>
    </row>
    <row r="226" spans="6:7" x14ac:dyDescent="0.3">
      <c r="F226" s="25" t="s">
        <v>3057</v>
      </c>
      <c r="G226" s="26">
        <v>1</v>
      </c>
    </row>
    <row r="227" spans="6:7" x14ac:dyDescent="0.3">
      <c r="F227" s="25" t="s">
        <v>2906</v>
      </c>
      <c r="G227" s="26">
        <v>2</v>
      </c>
    </row>
    <row r="228" spans="6:7" x14ac:dyDescent="0.3">
      <c r="F228" s="25" t="s">
        <v>2863</v>
      </c>
      <c r="G228" s="26">
        <v>15</v>
      </c>
    </row>
    <row r="229" spans="6:7" x14ac:dyDescent="0.3">
      <c r="F229" s="25" t="s">
        <v>2963</v>
      </c>
      <c r="G229" s="26">
        <v>1</v>
      </c>
    </row>
    <row r="230" spans="6:7" x14ac:dyDescent="0.3">
      <c r="F230" s="25" t="s">
        <v>3004</v>
      </c>
      <c r="G230" s="26">
        <v>1</v>
      </c>
    </row>
    <row r="231" spans="6:7" x14ac:dyDescent="0.3">
      <c r="F231" s="25" t="s">
        <v>3083</v>
      </c>
      <c r="G231" s="26">
        <v>1</v>
      </c>
    </row>
    <row r="232" spans="6:7" x14ac:dyDescent="0.3">
      <c r="F232" s="25" t="s">
        <v>3088</v>
      </c>
      <c r="G232" s="26">
        <v>1</v>
      </c>
    </row>
    <row r="233" spans="6:7" x14ac:dyDescent="0.3">
      <c r="F233" s="25" t="s">
        <v>2883</v>
      </c>
      <c r="G233" s="26">
        <v>1</v>
      </c>
    </row>
    <row r="234" spans="6:7" x14ac:dyDescent="0.3">
      <c r="F234" s="25" t="s">
        <v>2967</v>
      </c>
      <c r="G234" s="26">
        <v>2</v>
      </c>
    </row>
    <row r="235" spans="6:7" x14ac:dyDescent="0.3">
      <c r="F235" s="25" t="s">
        <v>2982</v>
      </c>
      <c r="G235" s="26">
        <v>5</v>
      </c>
    </row>
    <row r="236" spans="6:7" x14ac:dyDescent="0.3">
      <c r="F236" s="25" t="s">
        <v>2867</v>
      </c>
      <c r="G236" s="26">
        <v>1</v>
      </c>
    </row>
    <row r="237" spans="6:7" x14ac:dyDescent="0.3">
      <c r="F237" s="25" t="s">
        <v>2841</v>
      </c>
      <c r="G237" s="26">
        <v>6</v>
      </c>
    </row>
    <row r="238" spans="6:7" x14ac:dyDescent="0.3">
      <c r="F238" s="25" t="s">
        <v>2899</v>
      </c>
      <c r="G238" s="26">
        <v>1</v>
      </c>
    </row>
    <row r="239" spans="6:7" x14ac:dyDescent="0.3">
      <c r="F239" s="25" t="s">
        <v>3072</v>
      </c>
      <c r="G239" s="26">
        <v>1</v>
      </c>
    </row>
    <row r="240" spans="6:7" x14ac:dyDescent="0.3">
      <c r="F240" s="25" t="s">
        <v>3029</v>
      </c>
      <c r="G240" s="26">
        <v>1</v>
      </c>
    </row>
    <row r="241" spans="6:7" x14ac:dyDescent="0.3">
      <c r="F241" s="25" t="s">
        <v>2962</v>
      </c>
      <c r="G241" s="26">
        <v>3</v>
      </c>
    </row>
    <row r="242" spans="6:7" x14ac:dyDescent="0.3">
      <c r="F242" s="25" t="s">
        <v>2856</v>
      </c>
      <c r="G242" s="26">
        <v>1</v>
      </c>
    </row>
    <row r="243" spans="6:7" x14ac:dyDescent="0.3">
      <c r="F243" s="25" t="s">
        <v>3069</v>
      </c>
      <c r="G243" s="26">
        <v>1</v>
      </c>
    </row>
    <row r="244" spans="6:7" x14ac:dyDescent="0.3">
      <c r="F244" s="25" t="s">
        <v>2820</v>
      </c>
      <c r="G244" s="26">
        <v>1</v>
      </c>
    </row>
    <row r="245" spans="6:7" x14ac:dyDescent="0.3">
      <c r="F245" s="25" t="s">
        <v>2978</v>
      </c>
      <c r="G245" s="26">
        <v>2</v>
      </c>
    </row>
    <row r="246" spans="6:7" x14ac:dyDescent="0.3">
      <c r="F246" s="25" t="s">
        <v>2991</v>
      </c>
      <c r="G246" s="26">
        <v>1</v>
      </c>
    </row>
    <row r="247" spans="6:7" x14ac:dyDescent="0.3">
      <c r="F247" s="25" t="s">
        <v>3075</v>
      </c>
      <c r="G247" s="26">
        <v>6</v>
      </c>
    </row>
    <row r="248" spans="6:7" x14ac:dyDescent="0.3">
      <c r="F248" s="25" t="s">
        <v>2939</v>
      </c>
      <c r="G248" s="26">
        <v>1</v>
      </c>
    </row>
    <row r="249" spans="6:7" x14ac:dyDescent="0.3">
      <c r="F249" s="25" t="s">
        <v>2902</v>
      </c>
      <c r="G249" s="26">
        <v>4</v>
      </c>
    </row>
    <row r="250" spans="6:7" x14ac:dyDescent="0.3">
      <c r="F250" s="25" t="s">
        <v>2945</v>
      </c>
      <c r="G250" s="26">
        <v>3</v>
      </c>
    </row>
    <row r="251" spans="6:7" x14ac:dyDescent="0.3">
      <c r="F251" s="25" t="s">
        <v>2930</v>
      </c>
      <c r="G251" s="26">
        <v>1</v>
      </c>
    </row>
    <row r="252" spans="6:7" x14ac:dyDescent="0.3">
      <c r="F252" s="25" t="s">
        <v>3031</v>
      </c>
      <c r="G252" s="26">
        <v>1</v>
      </c>
    </row>
    <row r="253" spans="6:7" x14ac:dyDescent="0.3">
      <c r="F253" s="25" t="s">
        <v>3086</v>
      </c>
      <c r="G253" s="26">
        <v>7</v>
      </c>
    </row>
    <row r="254" spans="6:7" x14ac:dyDescent="0.3">
      <c r="F254" s="25" t="s">
        <v>2879</v>
      </c>
      <c r="G254" s="26">
        <v>1</v>
      </c>
    </row>
    <row r="255" spans="6:7" x14ac:dyDescent="0.3">
      <c r="F255" s="25" t="s">
        <v>2960</v>
      </c>
      <c r="G255" s="26">
        <v>4</v>
      </c>
    </row>
    <row r="256" spans="6:7" x14ac:dyDescent="0.3">
      <c r="F256" s="25" t="s">
        <v>2853</v>
      </c>
      <c r="G256" s="26">
        <v>2</v>
      </c>
    </row>
    <row r="257" spans="6:7" x14ac:dyDescent="0.3">
      <c r="F257" s="25" t="s">
        <v>2919</v>
      </c>
      <c r="G257" s="26">
        <v>2</v>
      </c>
    </row>
    <row r="258" spans="6:7" x14ac:dyDescent="0.3">
      <c r="F258" s="25" t="s">
        <v>3077</v>
      </c>
      <c r="G258" s="26">
        <v>1</v>
      </c>
    </row>
    <row r="259" spans="6:7" x14ac:dyDescent="0.3">
      <c r="F259" s="25" t="s">
        <v>2833</v>
      </c>
      <c r="G259" s="26">
        <v>34</v>
      </c>
    </row>
    <row r="260" spans="6:7" x14ac:dyDescent="0.3">
      <c r="F260" s="25" t="s">
        <v>2849</v>
      </c>
      <c r="G260" s="26">
        <v>4</v>
      </c>
    </row>
    <row r="261" spans="6:7" x14ac:dyDescent="0.3">
      <c r="F261" s="25" t="s">
        <v>2840</v>
      </c>
      <c r="G261" s="26">
        <v>5</v>
      </c>
    </row>
    <row r="262" spans="6:7" x14ac:dyDescent="0.3">
      <c r="F262" s="25" t="s">
        <v>3076</v>
      </c>
      <c r="G262" s="26">
        <v>1</v>
      </c>
    </row>
    <row r="263" spans="6:7" x14ac:dyDescent="0.3">
      <c r="F263" s="25" t="s">
        <v>3045</v>
      </c>
      <c r="G263" s="26">
        <v>1</v>
      </c>
    </row>
    <row r="264" spans="6:7" x14ac:dyDescent="0.3">
      <c r="F264" s="25" t="s">
        <v>2861</v>
      </c>
      <c r="G264" s="26">
        <v>16</v>
      </c>
    </row>
    <row r="265" spans="6:7" x14ac:dyDescent="0.3">
      <c r="F265" s="25" t="s">
        <v>2843</v>
      </c>
      <c r="G265" s="26">
        <v>18</v>
      </c>
    </row>
    <row r="266" spans="6:7" x14ac:dyDescent="0.3">
      <c r="F266" s="25" t="s">
        <v>2821</v>
      </c>
      <c r="G266" s="26">
        <v>25</v>
      </c>
    </row>
    <row r="267" spans="6:7" x14ac:dyDescent="0.3">
      <c r="F267" s="25" t="s">
        <v>2873</v>
      </c>
      <c r="G267" s="26">
        <v>12</v>
      </c>
    </row>
    <row r="268" spans="6:7" x14ac:dyDescent="0.3">
      <c r="F268" s="25" t="s">
        <v>3037</v>
      </c>
      <c r="G268" s="26">
        <v>2</v>
      </c>
    </row>
    <row r="269" spans="6:7" x14ac:dyDescent="0.3">
      <c r="F269" s="25" t="s">
        <v>2924</v>
      </c>
      <c r="G269" s="26">
        <v>3</v>
      </c>
    </row>
    <row r="270" spans="6:7" x14ac:dyDescent="0.3">
      <c r="F270" s="25" t="s">
        <v>2925</v>
      </c>
      <c r="G270" s="26">
        <v>1</v>
      </c>
    </row>
    <row r="271" spans="6:7" x14ac:dyDescent="0.3">
      <c r="F271" s="25" t="s">
        <v>3063</v>
      </c>
      <c r="G271" s="26">
        <v>1</v>
      </c>
    </row>
    <row r="272" spans="6:7" x14ac:dyDescent="0.3">
      <c r="F272" s="25" t="s">
        <v>3005</v>
      </c>
      <c r="G272" s="26">
        <v>1</v>
      </c>
    </row>
    <row r="273" spans="6:7" x14ac:dyDescent="0.3">
      <c r="F273" s="25" t="s">
        <v>2824</v>
      </c>
      <c r="G273" s="26">
        <v>4</v>
      </c>
    </row>
    <row r="274" spans="6:7" x14ac:dyDescent="0.3">
      <c r="F274" s="25" t="s">
        <v>3090</v>
      </c>
      <c r="G274" s="26">
        <v>1</v>
      </c>
    </row>
    <row r="275" spans="6:7" x14ac:dyDescent="0.3">
      <c r="F275" s="25" t="s">
        <v>2845</v>
      </c>
      <c r="G275" s="26">
        <v>6</v>
      </c>
    </row>
    <row r="276" spans="6:7" x14ac:dyDescent="0.3">
      <c r="F276" s="25" t="s">
        <v>2999</v>
      </c>
      <c r="G276" s="26">
        <v>1</v>
      </c>
    </row>
    <row r="277" spans="6:7" x14ac:dyDescent="0.3">
      <c r="F277" s="25" t="s">
        <v>2854</v>
      </c>
      <c r="G277" s="26">
        <v>8</v>
      </c>
    </row>
    <row r="278" spans="6:7" x14ac:dyDescent="0.3">
      <c r="F278" s="25" t="s">
        <v>2822</v>
      </c>
      <c r="G278" s="26">
        <v>3</v>
      </c>
    </row>
    <row r="279" spans="6:7" x14ac:dyDescent="0.3">
      <c r="F279" s="25" t="s">
        <v>2835</v>
      </c>
      <c r="G279" s="26">
        <v>6</v>
      </c>
    </row>
    <row r="280" spans="6:7" x14ac:dyDescent="0.3">
      <c r="F280" s="25" t="s">
        <v>2852</v>
      </c>
      <c r="G280" s="26">
        <v>8</v>
      </c>
    </row>
    <row r="281" spans="6:7" x14ac:dyDescent="0.3">
      <c r="F281" s="25" t="s">
        <v>2850</v>
      </c>
      <c r="G281" s="26">
        <v>5</v>
      </c>
    </row>
    <row r="282" spans="6:7" x14ac:dyDescent="0.3">
      <c r="F282" s="25" t="s">
        <v>3008</v>
      </c>
      <c r="G282" s="26">
        <v>1</v>
      </c>
    </row>
    <row r="283" spans="6:7" x14ac:dyDescent="0.3">
      <c r="F283" s="25" t="s">
        <v>2887</v>
      </c>
      <c r="G283" s="26">
        <v>1</v>
      </c>
    </row>
    <row r="284" spans="6:7" x14ac:dyDescent="0.3">
      <c r="F284" s="25" t="s">
        <v>3003</v>
      </c>
      <c r="G284" s="26">
        <v>2</v>
      </c>
    </row>
    <row r="285" spans="6:7" x14ac:dyDescent="0.3">
      <c r="F285" s="25" t="s">
        <v>2915</v>
      </c>
      <c r="G285" s="26">
        <v>6</v>
      </c>
    </row>
    <row r="286" spans="6:7" x14ac:dyDescent="0.3">
      <c r="F286" s="25" t="s">
        <v>2876</v>
      </c>
      <c r="G286" s="26">
        <v>25</v>
      </c>
    </row>
    <row r="287" spans="6:7" x14ac:dyDescent="0.3">
      <c r="F287" s="25" t="s">
        <v>2886</v>
      </c>
      <c r="G287" s="26">
        <v>1</v>
      </c>
    </row>
    <row r="288" spans="6:7" x14ac:dyDescent="0.3">
      <c r="F288" s="25" t="s">
        <v>2952</v>
      </c>
      <c r="G288" s="26">
        <v>3</v>
      </c>
    </row>
    <row r="289" spans="6:7" x14ac:dyDescent="0.3">
      <c r="F289" s="25" t="s">
        <v>3018</v>
      </c>
      <c r="G289" s="26">
        <v>1</v>
      </c>
    </row>
    <row r="290" spans="6:7" x14ac:dyDescent="0.3">
      <c r="F290" s="25" t="s">
        <v>2981</v>
      </c>
      <c r="G290" s="26">
        <v>3</v>
      </c>
    </row>
    <row r="291" spans="6:7" x14ac:dyDescent="0.3">
      <c r="F291" s="25" t="s">
        <v>2860</v>
      </c>
      <c r="G291" s="26">
        <v>8</v>
      </c>
    </row>
    <row r="292" spans="6:7" x14ac:dyDescent="0.3">
      <c r="F292" s="25" t="s">
        <v>3115</v>
      </c>
      <c r="G292" s="26">
        <v>2</v>
      </c>
    </row>
    <row r="293" spans="6:7" x14ac:dyDescent="0.3">
      <c r="F293" s="25" t="s">
        <v>3020</v>
      </c>
      <c r="G293" s="26">
        <v>5</v>
      </c>
    </row>
    <row r="294" spans="6:7" x14ac:dyDescent="0.3">
      <c r="F294" s="25" t="s">
        <v>2921</v>
      </c>
      <c r="G294" s="26">
        <v>1</v>
      </c>
    </row>
    <row r="295" spans="6:7" x14ac:dyDescent="0.3">
      <c r="F295" s="25" t="s">
        <v>2858</v>
      </c>
      <c r="G295" s="26">
        <v>1</v>
      </c>
    </row>
    <row r="296" spans="6:7" x14ac:dyDescent="0.3">
      <c r="F296" s="25" t="s">
        <v>2882</v>
      </c>
      <c r="G296" s="26">
        <v>7</v>
      </c>
    </row>
    <row r="297" spans="6:7" x14ac:dyDescent="0.3">
      <c r="F297" s="25" t="s">
        <v>3013</v>
      </c>
      <c r="G297" s="26">
        <v>1</v>
      </c>
    </row>
    <row r="298" spans="6:7" x14ac:dyDescent="0.3">
      <c r="F298" s="25" t="s">
        <v>2878</v>
      </c>
      <c r="G298" s="26">
        <v>2</v>
      </c>
    </row>
    <row r="299" spans="6:7" x14ac:dyDescent="0.3">
      <c r="F299" s="25" t="s">
        <v>3048</v>
      </c>
      <c r="G299" s="26">
        <v>1</v>
      </c>
    </row>
    <row r="300" spans="6:7" x14ac:dyDescent="0.3">
      <c r="F300" s="25" t="s">
        <v>2910</v>
      </c>
      <c r="G300" s="26">
        <v>1</v>
      </c>
    </row>
    <row r="301" spans="6:7" x14ac:dyDescent="0.3">
      <c r="F301" s="25" t="s">
        <v>2937</v>
      </c>
      <c r="G301" s="26">
        <v>1</v>
      </c>
    </row>
    <row r="302" spans="6:7" x14ac:dyDescent="0.3">
      <c r="F302" s="25" t="s">
        <v>2973</v>
      </c>
      <c r="G302" s="26">
        <v>1</v>
      </c>
    </row>
    <row r="303" spans="6:7" x14ac:dyDescent="0.3">
      <c r="F303" s="25" t="s">
        <v>2832</v>
      </c>
      <c r="G303" s="26">
        <v>3</v>
      </c>
    </row>
    <row r="304" spans="6:7" x14ac:dyDescent="0.3">
      <c r="F304" s="25" t="s">
        <v>3078</v>
      </c>
      <c r="G304" s="26">
        <v>3</v>
      </c>
    </row>
    <row r="305" spans="6:7" x14ac:dyDescent="0.3">
      <c r="F305" s="25" t="s">
        <v>3055</v>
      </c>
      <c r="G305" s="26">
        <v>1</v>
      </c>
    </row>
    <row r="306" spans="6:7" x14ac:dyDescent="0.3">
      <c r="F306" s="25" t="s">
        <v>3052</v>
      </c>
      <c r="G306" s="26">
        <v>1</v>
      </c>
    </row>
    <row r="307" spans="6:7" x14ac:dyDescent="0.3">
      <c r="F307" s="25" t="s">
        <v>2847</v>
      </c>
      <c r="G307" s="26">
        <v>3</v>
      </c>
    </row>
    <row r="308" spans="6:7" x14ac:dyDescent="0.3">
      <c r="F308" s="25" t="s">
        <v>2935</v>
      </c>
      <c r="G308" s="26">
        <v>1</v>
      </c>
    </row>
    <row r="309" spans="6:7" x14ac:dyDescent="0.3">
      <c r="F309" s="25" t="s">
        <v>2895</v>
      </c>
      <c r="G309" s="26">
        <v>2</v>
      </c>
    </row>
    <row r="310" spans="6:7" x14ac:dyDescent="0.3">
      <c r="F310" s="25" t="s">
        <v>3019</v>
      </c>
      <c r="G310" s="26">
        <v>4</v>
      </c>
    </row>
    <row r="311" spans="6:7" x14ac:dyDescent="0.3">
      <c r="F311" s="25" t="s">
        <v>2819</v>
      </c>
      <c r="G311" s="26">
        <v>27</v>
      </c>
    </row>
    <row r="312" spans="6:7" x14ac:dyDescent="0.3">
      <c r="F312" s="25" t="s">
        <v>2890</v>
      </c>
      <c r="G312" s="26">
        <v>1</v>
      </c>
    </row>
    <row r="313" spans="6:7" x14ac:dyDescent="0.3">
      <c r="F313" s="25" t="s">
        <v>2954</v>
      </c>
      <c r="G313" s="26">
        <v>1</v>
      </c>
    </row>
    <row r="314" spans="6:7" x14ac:dyDescent="0.3">
      <c r="F314" s="25" t="s">
        <v>3034</v>
      </c>
      <c r="G314" s="26">
        <v>1</v>
      </c>
    </row>
    <row r="315" spans="6:7" x14ac:dyDescent="0.3">
      <c r="F315" s="25" t="s">
        <v>2830</v>
      </c>
      <c r="G315" s="26">
        <v>2</v>
      </c>
    </row>
    <row r="316" spans="6:7" x14ac:dyDescent="0.3">
      <c r="F316" s="25" t="s">
        <v>2975</v>
      </c>
      <c r="G316" s="26">
        <v>2</v>
      </c>
    </row>
    <row r="317" spans="6:7" x14ac:dyDescent="0.3">
      <c r="F317" s="25" t="s">
        <v>2969</v>
      </c>
      <c r="G317" s="26">
        <v>1</v>
      </c>
    </row>
    <row r="318" spans="6:7" x14ac:dyDescent="0.3">
      <c r="F318" s="25" t="s">
        <v>3087</v>
      </c>
      <c r="G318" s="26">
        <v>2</v>
      </c>
    </row>
    <row r="319" spans="6:7" x14ac:dyDescent="0.3">
      <c r="F319" s="25" t="s">
        <v>2869</v>
      </c>
      <c r="G319" s="26">
        <v>3</v>
      </c>
    </row>
    <row r="320" spans="6:7" x14ac:dyDescent="0.3">
      <c r="F320" s="25" t="s">
        <v>3080</v>
      </c>
      <c r="G320" s="26">
        <v>1</v>
      </c>
    </row>
    <row r="321" spans="6:7" x14ac:dyDescent="0.3">
      <c r="F321" s="25" t="s">
        <v>2929</v>
      </c>
      <c r="G321" s="26">
        <v>2</v>
      </c>
    </row>
    <row r="322" spans="6:7" x14ac:dyDescent="0.3">
      <c r="F322" s="25" t="s">
        <v>2885</v>
      </c>
      <c r="G322" s="26">
        <v>4</v>
      </c>
    </row>
    <row r="323" spans="6:7" x14ac:dyDescent="0.3">
      <c r="F323" s="25" t="s">
        <v>2846</v>
      </c>
      <c r="G323" s="26">
        <v>10</v>
      </c>
    </row>
    <row r="324" spans="6:7" x14ac:dyDescent="0.3">
      <c r="F324" s="25" t="s">
        <v>2986</v>
      </c>
      <c r="G324" s="26">
        <v>1</v>
      </c>
    </row>
    <row r="325" spans="6:7" x14ac:dyDescent="0.3">
      <c r="F325" s="25" t="s">
        <v>2933</v>
      </c>
      <c r="G325" s="26">
        <v>3</v>
      </c>
    </row>
    <row r="326" spans="6:7" x14ac:dyDescent="0.3">
      <c r="F326" s="25" t="s">
        <v>3066</v>
      </c>
      <c r="G326" s="26">
        <v>1</v>
      </c>
    </row>
    <row r="327" spans="6:7" x14ac:dyDescent="0.3">
      <c r="F327" s="25" t="s">
        <v>2972</v>
      </c>
      <c r="G327" s="26">
        <v>1</v>
      </c>
    </row>
    <row r="328" spans="6:7" x14ac:dyDescent="0.3">
      <c r="F328" s="25" t="s">
        <v>3141</v>
      </c>
      <c r="G328" s="26">
        <v>864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9CC"/>
  </sheetPr>
  <dimension ref="A1:A2"/>
  <sheetViews>
    <sheetView showGridLines="0" zoomScale="85" zoomScaleNormal="85" workbookViewId="0">
      <selection activeCell="Q32" sqref="Q32"/>
    </sheetView>
  </sheetViews>
  <sheetFormatPr baseColWidth="10" defaultRowHeight="14.4" x14ac:dyDescent="0.3"/>
  <sheetData>
    <row r="1" spans="1:1" s="1" customFormat="1" x14ac:dyDescent="0.3">
      <c r="A1" s="1" t="s">
        <v>1083</v>
      </c>
    </row>
    <row r="2" spans="1:1" s="1" customFormat="1" x14ac:dyDescent="0.3">
      <c r="A2" s="1" t="s">
        <v>1084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Indice</vt:lpstr>
      <vt:lpstr>ReadMe</vt:lpstr>
      <vt:lpstr>Dataset_Análisis de alquiler de</vt:lpstr>
      <vt:lpstr>DataBaseA</vt:lpstr>
      <vt:lpstr>Preguntas y Respuestas</vt:lpstr>
      <vt:lpstr>Tablas Aux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Eduardo Villantoy Bustamante</dc:creator>
  <cp:lastModifiedBy>ederv</cp:lastModifiedBy>
  <dcterms:created xsi:type="dcterms:W3CDTF">2025-03-24T18:48:40Z</dcterms:created>
  <dcterms:modified xsi:type="dcterms:W3CDTF">2026-01-08T23:38:41Z</dcterms:modified>
</cp:coreProperties>
</file>